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Stage Legend" sheetId="3" state="visible" r:id="rId3"/>
    <sheet name="RFP Data" sheetId="4" state="visible" r:id="rId4"/>
    <sheet name="Awards" sheetId="5" state="visible" r:id="rId5"/>
  </sheets>
  <definedNames>
    <definedName name="_xlnm._FilterDatabase" localSheetId="3" hidden="1">'RFP Data'!$A$1:$AA$687</definedName>
    <definedName name="_xlnm._FilterDatabase" localSheetId="4" hidden="1">'Awards'!$A$1:$AA$85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$#,##0"/>
    <numFmt numFmtId="166" formatCode="YYYY-MM-DD HH:MM"/>
    <numFmt numFmtId="167" formatCode="0.0%"/>
    <numFmt numFmtId="168" formatCode="MM/DD/YYYY"/>
    <numFmt numFmtId="169" formatCode="yyyy-mm-dd"/>
  </numFmts>
  <fonts count="22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sz val="11"/>
    </font>
    <font>
      <name val="Arial"/>
      <b val="1"/>
      <color rgb="002E5090"/>
      <sz val="12"/>
    </font>
    <font>
      <name val="Arial"/>
      <b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color rgb="00006100"/>
      <sz val="10"/>
    </font>
    <font>
      <name val="Arial"/>
      <b val="1"/>
      <color rgb="00274E13"/>
      <sz val="10"/>
    </font>
    <font>
      <name val="Arial"/>
      <b val="1"/>
      <color rgb="00990000"/>
      <sz val="10"/>
    </font>
    <font>
      <name val="Arial"/>
      <b val="1"/>
      <color rgb="001B2A4A"/>
      <sz val="14"/>
    </font>
    <font>
      <name val="Arial"/>
      <color rgb="00888888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color rgb="0027AE60"/>
      <sz val="11"/>
    </font>
    <font>
      <name val="Calibri"/>
      <b val="1"/>
      <color rgb="00FFFFFF"/>
      <sz val="11"/>
    </font>
    <font>
      <name val="Calibri"/>
      <sz val="10"/>
    </font>
    <font>
      <b val="1"/>
      <sz val="12"/>
    </font>
    <font>
      <name val="Calibri"/>
      <b val="1"/>
      <color rgb="00FFFFFF"/>
      <sz val="10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E0B2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E0E0E0"/>
      </patternFill>
    </fill>
    <fill>
      <patternFill patternType="solid">
        <fgColor rgb="00F4CCCC"/>
      </patternFill>
    </fill>
    <fill>
      <patternFill patternType="solid">
        <fgColor rgb="002E5090"/>
      </patternFill>
    </fill>
    <fill>
      <patternFill patternType="solid">
        <fgColor rgb="00E8D5F5"/>
      </patternFill>
    </fill>
    <fill>
      <patternFill patternType="solid">
        <fgColor rgb="001B2A4A"/>
        <bgColor rgb="001B2A4A"/>
      </patternFill>
    </fill>
    <fill>
      <patternFill patternType="solid">
        <fgColor rgb="00FFFFFF"/>
        <bgColor rgb="00FFFFFF"/>
      </patternFill>
    </fill>
    <fill>
      <patternFill patternType="solid">
        <fgColor rgb="00F8F9FC"/>
        <bgColor rgb="00F8F9FC"/>
      </patternFill>
    </fill>
    <fill>
      <patternFill patternType="solid">
        <fgColor rgb="00305496"/>
        <bgColor rgb="00305496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  <border>
      <right style="thin">
        <color rgb="00E9EDF4"/>
      </right>
      <bottom style="thin">
        <color rgb="00D0D5DD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9" fillId="7" borderId="1" applyAlignment="1" pivotButton="0" quotePrefix="0" xfId="0">
      <alignment vertical="center"/>
    </xf>
    <xf numFmtId="0" fontId="10" fillId="8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166" fontId="0" fillId="4" borderId="1" applyAlignment="1" pivotButton="0" quotePrefix="0" xfId="0">
      <alignment vertical="center"/>
    </xf>
    <xf numFmtId="0" fontId="7" fillId="10" borderId="1" applyAlignment="1" pivotButton="0" quotePrefix="0" xfId="0">
      <alignment vertical="center"/>
    </xf>
    <xf numFmtId="164" fontId="9" fillId="5" borderId="1" applyAlignment="1" pivotButton="0" quotePrefix="0" xfId="0">
      <alignment vertical="center"/>
    </xf>
    <xf numFmtId="0" fontId="7" fillId="11" borderId="1" applyAlignment="1" pivotButton="0" quotePrefix="0" xfId="0">
      <alignment vertical="center"/>
    </xf>
    <xf numFmtId="0" fontId="11" fillId="12" borderId="1" applyAlignment="1" pivotButton="0" quotePrefix="0" xfId="0">
      <alignment vertical="center"/>
    </xf>
    <xf numFmtId="0" fontId="12" fillId="0" borderId="0" pivotButton="0" quotePrefix="0" xfId="0"/>
    <xf numFmtId="0" fontId="13" fillId="0" borderId="0" pivotButton="0" quotePrefix="0" xfId="0"/>
    <xf numFmtId="0" fontId="14" fillId="13" borderId="0" pivotButton="0" quotePrefix="0" xfId="0"/>
    <xf numFmtId="0" fontId="15" fillId="0" borderId="0" pivotButton="0" quotePrefix="0" xfId="0"/>
    <xf numFmtId="165" fontId="15" fillId="0" borderId="0" pivotButton="0" quotePrefix="0" xfId="0"/>
    <xf numFmtId="167" fontId="15" fillId="0" borderId="0" pivotButton="0" quotePrefix="0" xfId="0"/>
    <xf numFmtId="0" fontId="7" fillId="0" borderId="0" pivotButton="0" quotePrefix="0" xfId="0"/>
    <xf numFmtId="0" fontId="2" fillId="3" borderId="0" pivotButton="0" quotePrefix="0" xfId="0"/>
    <xf numFmtId="0" fontId="2" fillId="10" borderId="0" pivotButton="0" quotePrefix="0" xfId="0"/>
    <xf numFmtId="0" fontId="2" fillId="6" borderId="0" pivotButton="0" quotePrefix="0" xfId="0"/>
    <xf numFmtId="0" fontId="2" fillId="5" borderId="0" pivotButton="0" quotePrefix="0" xfId="0"/>
    <xf numFmtId="0" fontId="2" fillId="9" borderId="0" pivotButton="0" quotePrefix="0" xfId="0"/>
    <xf numFmtId="0" fontId="2" fillId="14" borderId="0" pivotButton="0" quotePrefix="0" xfId="0"/>
    <xf numFmtId="0" fontId="2" fillId="11" borderId="0" pivotButton="0" quotePrefix="0" xfId="0"/>
    <xf numFmtId="167" fontId="16" fillId="0" borderId="0" pivotButton="0" quotePrefix="0" xfId="0"/>
    <xf numFmtId="0" fontId="5" fillId="2" borderId="0" pivotButton="0" quotePrefix="0" xfId="0"/>
    <xf numFmtId="0" fontId="7" fillId="3" borderId="0" pivotButton="0" quotePrefix="0" xfId="0"/>
    <xf numFmtId="0" fontId="6" fillId="0" borderId="0" pivotButton="0" quotePrefix="0" xfId="0"/>
    <xf numFmtId="0" fontId="7" fillId="10" borderId="0" pivotButton="0" quotePrefix="0" xfId="0"/>
    <xf numFmtId="0" fontId="7" fillId="6" borderId="0" pivotButton="0" quotePrefix="0" xfId="0"/>
    <xf numFmtId="0" fontId="7" fillId="5" borderId="0" pivotButton="0" quotePrefix="0" xfId="0"/>
    <xf numFmtId="0" fontId="7" fillId="9" borderId="0" pivotButton="0" quotePrefix="0" xfId="0"/>
    <xf numFmtId="0" fontId="7" fillId="14" borderId="0" pivotButton="0" quotePrefix="0" xfId="0"/>
    <xf numFmtId="0" fontId="7" fillId="11" borderId="0" pivotButton="0" quotePrefix="0" xfId="0"/>
    <xf numFmtId="0" fontId="7" fillId="8" borderId="0" pivotButton="0" quotePrefix="0" xfId="0"/>
    <xf numFmtId="0" fontId="7" fillId="12" borderId="0" pivotButton="0" quotePrefix="0" xfId="0"/>
    <xf numFmtId="164" fontId="0" fillId="0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4" borderId="1" applyAlignment="1" pivotButton="0" quotePrefix="0" xfId="0">
      <alignment vertical="center"/>
    </xf>
    <xf numFmtId="164" fontId="9" fillId="5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5" fontId="15" fillId="0" borderId="0" pivotButton="0" quotePrefix="0" xfId="0"/>
    <xf numFmtId="167" fontId="15" fillId="0" borderId="0" pivotButton="0" quotePrefix="0" xfId="0"/>
    <xf numFmtId="167" fontId="16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17" fillId="2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vertical="center"/>
    </xf>
    <xf numFmtId="165" fontId="18" fillId="0" borderId="2" applyAlignment="1" pivotButton="0" quotePrefix="0" xfId="0">
      <alignment vertical="center"/>
    </xf>
    <xf numFmtId="0" fontId="18" fillId="0" borderId="2" applyAlignment="1" pivotButton="0" quotePrefix="0" xfId="0">
      <alignment vertical="center"/>
    </xf>
    <xf numFmtId="165" fontId="18" fillId="0" borderId="2" applyAlignment="1" pivotButton="0" quotePrefix="0" xfId="0">
      <alignment vertical="center"/>
    </xf>
    <xf numFmtId="0" fontId="19" fillId="0" borderId="0" pivotButton="0" quotePrefix="0" xfId="0"/>
    <xf numFmtId="0" fontId="20" fillId="15" borderId="0" applyAlignment="1" pivotButton="0" quotePrefix="0" xfId="0">
      <alignment horizontal="center" vertical="center" wrapText="1"/>
    </xf>
    <xf numFmtId="0" fontId="18" fillId="16" borderId="3" applyAlignment="1" pivotButton="0" quotePrefix="0" xfId="0">
      <alignment vertical="center"/>
    </xf>
    <xf numFmtId="168" fontId="18" fillId="16" borderId="3" applyAlignment="1" pivotButton="0" quotePrefix="0" xfId="0">
      <alignment vertical="center"/>
    </xf>
    <xf numFmtId="0" fontId="18" fillId="17" borderId="3" applyAlignment="1" pivotButton="0" quotePrefix="0" xfId="0">
      <alignment vertical="center"/>
    </xf>
    <xf numFmtId="168" fontId="18" fillId="17" borderId="3" applyAlignment="1" pivotButton="0" quotePrefix="0" xfId="0">
      <alignment vertical="center"/>
    </xf>
    <xf numFmtId="168" fontId="18" fillId="16" borderId="3" applyAlignment="1" pivotButton="0" quotePrefix="0" xfId="0">
      <alignment vertical="center"/>
    </xf>
    <xf numFmtId="168" fontId="18" fillId="17" borderId="3" applyAlignment="1" pivotButton="0" quotePrefix="0" xfId="0">
      <alignment vertical="center"/>
    </xf>
    <xf numFmtId="0" fontId="20" fillId="2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 wrapText="1"/>
    </xf>
    <xf numFmtId="0" fontId="21" fillId="15" borderId="0" applyAlignment="1" pivotButton="0" quotePrefix="0" xfId="0">
      <alignment horizontal="center" vertical="center" wrapText="1"/>
    </xf>
    <xf numFmtId="0" fontId="17" fillId="15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21" fillId="2" borderId="0" applyAlignment="1" pivotButton="0" quotePrefix="0" xfId="0">
      <alignment horizontal="center" vertical="center"/>
    </xf>
    <xf numFmtId="169" fontId="0" fillId="0" borderId="0" pivotButton="0" quotePrefix="0" xfId="0"/>
    <xf numFmtId="0" fontId="21" fillId="1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1" t="inlineStr">
        <is>
          <t>Last Updated: May 01, 2026 04:35 AM</t>
        </is>
      </c>
      <c r="B1" t="inlineStr">
        <is>
          <t>2026-06-23 11:45 EDT</t>
        </is>
      </c>
    </row>
    <row r="2">
      <c r="A2" t="inlineStr">
        <is>
          <t>Total Deals in RFP Data: 652</t>
        </is>
      </c>
    </row>
    <row r="3">
      <c r="A3" t="inlineStr">
        <is>
          <t>Total Awards: 81</t>
        </is>
      </c>
    </row>
    <row r="4">
      <c r="A4" t="inlineStr">
        <is>
          <t>Source: HubSpot CRM (live pull)</t>
        </is>
      </c>
    </row>
    <row r="5">
      <c r="A5" t="inlineStr">
        <is>
          <t>Agency State: sourced from associated Company object agency_state property</t>
        </is>
      </c>
    </row>
    <row r="6">
      <c r="A6" t="inlineStr">
        <is>
          <t>Total Records:</t>
        </is>
      </c>
      <c r="B6" t="n">
        <v>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" customWidth="1" min="3" max="3"/>
    <col width="35" customWidth="1" min="4" max="4"/>
    <col width="20" customWidth="1" min="5" max="5"/>
  </cols>
  <sheetData>
    <row r="1">
      <c r="A1" s="29" t="inlineStr">
        <is>
          <t>CAPS RFP DASHBOARD - SUMMARY</t>
        </is>
      </c>
    </row>
    <row r="2">
      <c r="A2" s="30" t="inlineStr">
        <is>
          <t>Last Refreshed: April 23, 2026</t>
        </is>
      </c>
    </row>
    <row r="4">
      <c r="A4" s="31" t="inlineStr">
        <is>
          <t>OVERVIEW METRICS</t>
        </is>
      </c>
    </row>
    <row r="5">
      <c r="A5" s="2" t="inlineStr">
        <is>
          <t>Total RFPs</t>
        </is>
      </c>
      <c r="B5" s="32">
        <f>COUNTA('RFP Data'!A2:A687)</f>
        <v/>
      </c>
    </row>
    <row r="6">
      <c r="A6" s="2" t="inlineStr">
        <is>
          <t>RFPs with Amount</t>
        </is>
      </c>
      <c r="B6" s="32">
        <f>COUNTA('RFP Data'!L2:L687)</f>
        <v/>
      </c>
    </row>
    <row r="7">
      <c r="A7" s="2" t="inlineStr">
        <is>
          <t>Total Pipeline Value</t>
        </is>
      </c>
      <c r="B7" s="66">
        <f>SUM('RFP Data'!L2:L687)</f>
        <v/>
      </c>
    </row>
    <row r="8">
      <c r="A8" s="2" t="inlineStr">
        <is>
          <t>Average Deal Size</t>
        </is>
      </c>
      <c r="B8" s="66">
        <f>IF(B6&gt;0,B7/B6,0)</f>
        <v/>
      </c>
    </row>
    <row r="10">
      <c r="A10" s="31" t="inlineStr">
        <is>
          <t>INTERVIEW METRICS</t>
        </is>
      </c>
    </row>
    <row r="11">
      <c r="A11" s="2" t="inlineStr">
        <is>
          <t>Total Deals with Interviews</t>
        </is>
      </c>
      <c r="B11" s="32">
        <f>COUNTIF('RFP Data'!H2:H687,"Yes")</f>
        <v/>
      </c>
      <c r="D11" s="2" t="inlineStr">
        <is>
          <t>Subcategory: Interview</t>
        </is>
      </c>
      <c r="E11" s="32">
        <f>COUNTIF('RFP Data'!I2:I687,"Interview")</f>
        <v/>
      </c>
    </row>
    <row r="12">
      <c r="A12" s="2" t="inlineStr">
        <is>
          <t>Interview Rate (of Total)</t>
        </is>
      </c>
      <c r="B12" s="67">
        <f>IF(B5&gt;0,B11/B5,0)</f>
        <v/>
      </c>
      <c r="D12" s="2" t="inlineStr">
        <is>
          <t>Subcategory: BAFO</t>
        </is>
      </c>
      <c r="E12" s="32">
        <f>COUNTIF('RFP Data'!I2:I687,"BAFO")</f>
        <v/>
      </c>
    </row>
    <row r="14">
      <c r="A14" s="31" t="inlineStr">
        <is>
          <t>AWARD TIMELINE METRICS</t>
        </is>
      </c>
    </row>
    <row r="15">
      <c r="A15" s="2" t="inlineStr">
        <is>
          <t>Deals with Intent to Award Date</t>
        </is>
      </c>
      <c r="B15" s="32">
        <f>COUNTA('RFP Data'!S2:S687)</f>
        <v/>
      </c>
      <c r="D15" s="2" t="inlineStr">
        <is>
          <t>Intent to Award Value ($)</t>
        </is>
      </c>
      <c r="E15" s="66">
        <f>SUMPRODUCT(('RFP Data'!S2:S687&lt;&gt;"")*1,'RFP Data'!L2:L687)</f>
        <v/>
      </c>
    </row>
    <row r="16">
      <c r="A16" s="2" t="inlineStr">
        <is>
          <t>Deals with Tentatively Awarded Date</t>
        </is>
      </c>
      <c r="B16" s="32">
        <f>COUNTA('RFP Data'!T2:T687)</f>
        <v/>
      </c>
    </row>
    <row r="17">
      <c r="A17" s="2" t="inlineStr">
        <is>
          <t>Deals with Awarded Date</t>
        </is>
      </c>
      <c r="B17" s="32">
        <f>COUNTA('RFP Data'!U2:U687)</f>
        <v/>
      </c>
      <c r="D17" s="2" t="inlineStr">
        <is>
          <t>Awarded Value ($)</t>
        </is>
      </c>
      <c r="E17" s="66">
        <f>SUMPRODUCT(('RFP Data'!U2:U687&lt;&gt;"")*1,'RFP Data'!L2:L687)</f>
        <v/>
      </c>
    </row>
    <row r="20">
      <c r="A20" s="31" t="inlineStr">
        <is>
          <t>BY STAGE</t>
        </is>
      </c>
    </row>
    <row r="21">
      <c r="A21" s="35" t="inlineStr">
        <is>
          <t>Stage</t>
        </is>
      </c>
      <c r="B21" s="35" t="inlineStr">
        <is>
          <t>Count</t>
        </is>
      </c>
      <c r="D21" s="35" t="inlineStr">
        <is>
          <t>Stage</t>
        </is>
      </c>
      <c r="E21" s="35" t="inlineStr">
        <is>
          <t>Total Value ($)</t>
        </is>
      </c>
    </row>
    <row r="22">
      <c r="A22" s="36" t="inlineStr">
        <is>
          <t>Submitted</t>
        </is>
      </c>
      <c r="B22" s="32">
        <f>COUNTIF('RFP Data'!G2:G687,A22)</f>
        <v/>
      </c>
      <c r="D22" s="36" t="inlineStr">
        <is>
          <t>Submitted</t>
        </is>
      </c>
      <c r="E22" s="66">
        <f>SUMIF('RFP Data'!G2:G687,D22,'RFP Data'!L2:L687)</f>
        <v/>
      </c>
    </row>
    <row r="23">
      <c r="A23" s="37" t="inlineStr">
        <is>
          <t>Interview</t>
        </is>
      </c>
      <c r="B23" s="32">
        <f>COUNTIF('RFP Data'!G2:G687,A23)</f>
        <v/>
      </c>
      <c r="D23" s="37" t="inlineStr">
        <is>
          <t>Interview</t>
        </is>
      </c>
      <c r="E23" s="66">
        <f>SUMIF('RFP Data'!G2:G687,D23,'RFP Data'!L2:L687)</f>
        <v/>
      </c>
    </row>
    <row r="24">
      <c r="A24" s="38" t="inlineStr">
        <is>
          <t>Intent to Award</t>
        </is>
      </c>
      <c r="B24" s="32">
        <f>COUNTIF('RFP Data'!G2:G687,A24)</f>
        <v/>
      </c>
      <c r="D24" s="38" t="inlineStr">
        <is>
          <t>Intent to Award</t>
        </is>
      </c>
      <c r="E24" s="66">
        <f>SUMIF('RFP Data'!G2:G687,D24,'RFP Data'!L2:L687)</f>
        <v/>
      </c>
    </row>
    <row r="25">
      <c r="A25" s="39" t="inlineStr">
        <is>
          <t>Closed Won</t>
        </is>
      </c>
      <c r="B25" s="32">
        <f>COUNTIF('RFP Data'!G2:G687,A25)</f>
        <v/>
      </c>
      <c r="D25" s="39" t="inlineStr">
        <is>
          <t>Closed Won</t>
        </is>
      </c>
      <c r="E25" s="66">
        <f>SUMIF('RFP Data'!G2:G687,D25,'RFP Data'!L2:L687)</f>
        <v/>
      </c>
    </row>
    <row r="26">
      <c r="A26" s="40" t="inlineStr">
        <is>
          <t>Closed Lost</t>
        </is>
      </c>
      <c r="B26" s="32">
        <f>COUNTIF('RFP Data'!G2:G687,A26)</f>
        <v/>
      </c>
      <c r="D26" s="40" t="inlineStr">
        <is>
          <t>Closed Lost</t>
        </is>
      </c>
      <c r="E26" s="66">
        <f>SUMIF('RFP Data'!G2:G687,D26,'RFP Data'!L2:L687)</f>
        <v/>
      </c>
    </row>
    <row r="27">
      <c r="A27" s="41" t="inlineStr">
        <is>
          <t>Terminated</t>
        </is>
      </c>
      <c r="B27" s="32">
        <f>COUNTIF('RFP Data'!G2:G687,A27)</f>
        <v/>
      </c>
      <c r="D27" s="41" t="inlineStr">
        <is>
          <t>Terminated</t>
        </is>
      </c>
      <c r="E27" s="66">
        <f>SUMIF('RFP Data'!G2:G687,D27,'RFP Data'!L2:L687)</f>
        <v/>
      </c>
    </row>
    <row r="28">
      <c r="A28" s="42" t="inlineStr">
        <is>
          <t>RFx Cancelled</t>
        </is>
      </c>
      <c r="B28" s="32">
        <f>COUNTIF('RFP Data'!G2:G687,A28)</f>
        <v/>
      </c>
      <c r="D28" s="42" t="inlineStr">
        <is>
          <t>RFx Cancelled</t>
        </is>
      </c>
      <c r="E28" s="66">
        <f>SUMIF('RFP Data'!G2:G687,D28,'RFP Data'!L2:L687)</f>
        <v/>
      </c>
    </row>
    <row r="31">
      <c r="A31" s="31" t="inlineStr">
        <is>
          <t>BY OWNER</t>
        </is>
      </c>
    </row>
    <row r="32">
      <c r="A32" s="35" t="inlineStr">
        <is>
          <t>Owner</t>
        </is>
      </c>
      <c r="B32" s="35" t="inlineStr">
        <is>
          <t>Count</t>
        </is>
      </c>
      <c r="D32" s="35" t="inlineStr">
        <is>
          <t>Owner</t>
        </is>
      </c>
      <c r="E32" s="35" t="inlineStr">
        <is>
          <t>Total Value ($)</t>
        </is>
      </c>
    </row>
    <row r="33">
      <c r="A33" s="2" t="inlineStr">
        <is>
          <t>Ashutosh Chauhan</t>
        </is>
      </c>
      <c r="B33" s="32">
        <f>COUNTIF('RFP Data'!O2:O687,A33)</f>
        <v/>
      </c>
      <c r="D33" s="2" t="inlineStr">
        <is>
          <t>Ashutosh Chauhan</t>
        </is>
      </c>
      <c r="E33" s="66">
        <f>SUMIF('RFP Data'!O2:O687,D33,'RFP Data'!L2:L687)</f>
        <v/>
      </c>
    </row>
    <row r="34">
      <c r="A34" s="2" t="inlineStr">
        <is>
          <t>Jyothsna Nanda kishore</t>
        </is>
      </c>
      <c r="B34" s="32">
        <f>COUNTIF('RFP Data'!O2:O687,A34)</f>
        <v/>
      </c>
      <c r="D34" s="2" t="inlineStr">
        <is>
          <t>Jyothsna Nanda kishore</t>
        </is>
      </c>
      <c r="E34" s="66">
        <f>SUMIF('RFP Data'!O2:O687,D34,'RFP Data'!L2:L687)</f>
        <v/>
      </c>
    </row>
    <row r="35">
      <c r="A35" s="2" t="inlineStr">
        <is>
          <t>Abhishek Zalani</t>
        </is>
      </c>
      <c r="B35" s="32">
        <f>COUNTIF('RFP Data'!O2:O687,A35)</f>
        <v/>
      </c>
      <c r="D35" s="2" t="inlineStr">
        <is>
          <t>Abhishek Zalani</t>
        </is>
      </c>
      <c r="E35" s="66">
        <f>SUMIF('RFP Data'!O2:O687,D35,'RFP Data'!L2:L687)</f>
        <v/>
      </c>
    </row>
    <row r="36">
      <c r="A36" s="2" t="inlineStr">
        <is>
          <t>Savya Atrey</t>
        </is>
      </c>
      <c r="B36" s="32">
        <f>COUNTIF('RFP Data'!O2:O687,A36)</f>
        <v/>
      </c>
      <c r="D36" s="2" t="inlineStr">
        <is>
          <t>Savya Atrey</t>
        </is>
      </c>
      <c r="E36" s="66">
        <f>SUMIF('RFP Data'!O2:O687,D36,'RFP Data'!L2:L687)</f>
        <v/>
      </c>
    </row>
    <row r="37">
      <c r="A37" s="2" t="inlineStr">
        <is>
          <t>Madhav Mitruka</t>
        </is>
      </c>
      <c r="B37" s="32">
        <f>COUNTIF('RFP Data'!O2:O687,A37)</f>
        <v/>
      </c>
      <c r="D37" s="2" t="inlineStr">
        <is>
          <t>Madhav Mitruka</t>
        </is>
      </c>
      <c r="E37" s="66">
        <f>SUMIF('RFP Data'!O2:O687,D37,'RFP Data'!L2:L687)</f>
        <v/>
      </c>
    </row>
    <row r="38">
      <c r="A38" s="2" t="inlineStr">
        <is>
          <t>Arshdeep Kaur</t>
        </is>
      </c>
      <c r="B38" s="32">
        <f>COUNTIF('RFP Data'!O2:O687,A38)</f>
        <v/>
      </c>
      <c r="D38" s="2" t="inlineStr">
        <is>
          <t>Arshdeep Kaur</t>
        </is>
      </c>
      <c r="E38" s="66">
        <f>SUMIF('RFP Data'!O2:O687,D38,'RFP Data'!L2:L687)</f>
        <v/>
      </c>
    </row>
    <row r="39">
      <c r="A39" s="2" t="inlineStr">
        <is>
          <t>Vinay Srinivasan</t>
        </is>
      </c>
      <c r="B39" s="32">
        <f>COUNTIF('RFP Data'!O2:O687,A39)</f>
        <v/>
      </c>
      <c r="D39" s="2" t="inlineStr">
        <is>
          <t>Vinay Srinivasan</t>
        </is>
      </c>
      <c r="E39" s="66">
        <f>SUMIF('RFP Data'!O2:O687,D39,'RFP Data'!L2:L687)</f>
        <v/>
      </c>
    </row>
    <row r="40">
      <c r="A40" s="2" t="inlineStr">
        <is>
          <t>Ritoban Maitra</t>
        </is>
      </c>
      <c r="B40" s="32">
        <f>COUNTIF('RFP Data'!O2:O687,A40)</f>
        <v/>
      </c>
      <c r="D40" s="2" t="inlineStr">
        <is>
          <t>Ritoban Maitra</t>
        </is>
      </c>
      <c r="E40" s="66">
        <f>SUMIF('RFP Data'!O2:O687,D40,'RFP Data'!L2:L687)</f>
        <v/>
      </c>
    </row>
    <row r="41">
      <c r="A41" s="2" t="inlineStr">
        <is>
          <t>Ashley Lamaniya</t>
        </is>
      </c>
      <c r="B41" s="32">
        <f>COUNTIF('RFP Data'!O2:O687,A41)</f>
        <v/>
      </c>
      <c r="D41" s="2" t="inlineStr">
        <is>
          <t>Ashley Lamaniya</t>
        </is>
      </c>
      <c r="E41" s="66">
        <f>SUMIF('RFP Data'!O2:O687,D41,'RFP Data'!L2:L687)</f>
        <v/>
      </c>
    </row>
    <row r="42">
      <c r="A42" s="2" t="inlineStr">
        <is>
          <t>Hrithik Srivastava</t>
        </is>
      </c>
      <c r="B42" s="32">
        <f>COUNTIF('RFP Data'!O2:O687,A42)</f>
        <v/>
      </c>
      <c r="D42" s="2" t="inlineStr">
        <is>
          <t>Hrithik Srivastava</t>
        </is>
      </c>
      <c r="E42" s="66">
        <f>SUMIF('RFP Data'!O2:O687,D42,'RFP Data'!L2:L687)</f>
        <v/>
      </c>
    </row>
    <row r="45">
      <c r="A45" s="31" t="inlineStr">
        <is>
          <t>BY SERVICE CATEGORY</t>
        </is>
      </c>
    </row>
    <row r="46">
      <c r="A46" s="35" t="inlineStr">
        <is>
          <t>Category</t>
        </is>
      </c>
      <c r="B46" s="35" t="inlineStr">
        <is>
          <t>Count</t>
        </is>
      </c>
      <c r="D46" s="35" t="inlineStr">
        <is>
          <t>Category</t>
        </is>
      </c>
      <c r="E46" s="35" t="inlineStr">
        <is>
          <t>Total Value ($)</t>
        </is>
      </c>
    </row>
    <row r="47">
      <c r="A47" s="2" t="inlineStr">
        <is>
          <t>Managed Services (MSP)</t>
        </is>
      </c>
      <c r="B47" s="32">
        <f>COUNTIF('RFP Data'!M2:M687,"*"&amp;A47&amp;"*")</f>
        <v/>
      </c>
      <c r="D47" s="2" t="inlineStr">
        <is>
          <t>Managed Services (MSP)</t>
        </is>
      </c>
      <c r="E47" s="66">
        <f>SUMIF('RFP Data'!M2:M687,"*"&amp;D47&amp;"*",'RFP Data'!L2:L687)</f>
        <v/>
      </c>
    </row>
    <row r="48">
      <c r="A48" s="2" t="inlineStr">
        <is>
          <t>Consulting</t>
        </is>
      </c>
      <c r="B48" s="32">
        <f>COUNTIF('RFP Data'!M2:M687,"*"&amp;A48&amp;"*")</f>
        <v/>
      </c>
      <c r="D48" s="2" t="inlineStr">
        <is>
          <t>Consulting</t>
        </is>
      </c>
      <c r="E48" s="66">
        <f>SUMIF('RFP Data'!M2:M687,"*"&amp;D48&amp;"*",'RFP Data'!L2:L687)</f>
        <v/>
      </c>
    </row>
    <row r="49">
      <c r="A49" s="2" t="inlineStr">
        <is>
          <t>Platform Implementation (ERP, CRMs)</t>
        </is>
      </c>
      <c r="B49" s="32">
        <f>COUNTIF('RFP Data'!M2:M687,"*"&amp;A49&amp;"*")</f>
        <v/>
      </c>
      <c r="D49" s="2" t="inlineStr">
        <is>
          <t>Platform Implementation (ERP, CRMs)</t>
        </is>
      </c>
      <c r="E49" s="66">
        <f>SUMIF('RFP Data'!M2:M687,"*"&amp;D49&amp;"*",'RFP Data'!L2:L687)</f>
        <v/>
      </c>
    </row>
    <row r="50">
      <c r="A50" s="2" t="inlineStr">
        <is>
          <t>Staff Augmentation</t>
        </is>
      </c>
      <c r="B50" s="32">
        <f>COUNTIF('RFP Data'!M2:M687,"*"&amp;A50&amp;"*")</f>
        <v/>
      </c>
      <c r="D50" s="2" t="inlineStr">
        <is>
          <t>Staff Augmentation</t>
        </is>
      </c>
      <c r="E50" s="66">
        <f>SUMIF('RFP Data'!M2:M687,"*"&amp;D50&amp;"*",'RFP Data'!L2:L687)</f>
        <v/>
      </c>
    </row>
    <row r="51">
      <c r="A51" s="2" t="inlineStr">
        <is>
          <t>Reseller</t>
        </is>
      </c>
      <c r="B51" s="32">
        <f>COUNTIF('RFP Data'!M2:M687,"*"&amp;A51&amp;"*")</f>
        <v/>
      </c>
      <c r="D51" s="2" t="inlineStr">
        <is>
          <t>Reseller</t>
        </is>
      </c>
      <c r="E51" s="66">
        <f>SUMIF('RFP Data'!M2:M687,"*"&amp;D51&amp;"*",'RFP Data'!L2:L687)</f>
        <v/>
      </c>
    </row>
    <row r="52">
      <c r="A52" s="2" t="inlineStr">
        <is>
          <t>Audits and Assessment</t>
        </is>
      </c>
      <c r="B52" s="32">
        <f>COUNTIF('RFP Data'!M2:M687,"*"&amp;A52&amp;"*")</f>
        <v/>
      </c>
      <c r="D52" s="2" t="inlineStr">
        <is>
          <t>Audits and Assessment</t>
        </is>
      </c>
      <c r="E52" s="66">
        <f>SUMIF('RFP Data'!M2:M687,"*"&amp;D52&amp;"*",'RFP Data'!L2:L687)</f>
        <v/>
      </c>
    </row>
    <row r="53">
      <c r="A53" s="2" t="inlineStr">
        <is>
          <t>Modernization / Migration</t>
        </is>
      </c>
      <c r="B53" s="32">
        <f>COUNTIF('RFP Data'!M2:M687,"*"&amp;A53&amp;"*")</f>
        <v/>
      </c>
      <c r="D53" s="2" t="inlineStr">
        <is>
          <t>Modernization / Migration</t>
        </is>
      </c>
      <c r="E53" s="66">
        <f>SUMIF('RFP Data'!M2:M687,"*"&amp;D53&amp;"*",'RFP Data'!L2:L687)</f>
        <v/>
      </c>
    </row>
    <row r="54">
      <c r="A54" s="2" t="inlineStr">
        <is>
          <t>Support &amp; Maintenance</t>
        </is>
      </c>
      <c r="B54" s="32">
        <f>COUNTIF('RFP Data'!M2:M687,"*"&amp;A54&amp;"*")</f>
        <v/>
      </c>
      <c r="D54" s="2" t="inlineStr">
        <is>
          <t>Support &amp; Maintenance</t>
        </is>
      </c>
      <c r="E54" s="66">
        <f>SUMIF('RFP Data'!M2:M687,"*"&amp;D54&amp;"*",'RFP Data'!L2:L687)</f>
        <v/>
      </c>
    </row>
    <row r="55">
      <c r="A55" s="2" t="inlineStr">
        <is>
          <t>Training</t>
        </is>
      </c>
      <c r="B55" s="32">
        <f>COUNTIF('RFP Data'!M2:M687,"*"&amp;A55&amp;"*")</f>
        <v/>
      </c>
      <c r="D55" s="2" t="inlineStr">
        <is>
          <t>Training</t>
        </is>
      </c>
      <c r="E55" s="66">
        <f>SUMIF('RFP Data'!M2:M687,"*"&amp;D55&amp;"*",'RFP Data'!L2:L687)</f>
        <v/>
      </c>
    </row>
    <row r="58">
      <c r="A58" s="31" t="inlineStr">
        <is>
          <t>WIN / LOSS METRICS</t>
        </is>
      </c>
    </row>
    <row r="59">
      <c r="A59" s="2" t="inlineStr">
        <is>
          <t>Closed Won</t>
        </is>
      </c>
      <c r="B59" s="32">
        <f>COUNTIF('RFP Data'!G2:G687,"Closed Won")</f>
        <v/>
      </c>
      <c r="D59" s="2" t="inlineStr">
        <is>
          <t>Closed Won Value</t>
        </is>
      </c>
      <c r="E59" s="66">
        <f>SUMIF('RFP Data'!G2:G687,"Closed Won",'RFP Data'!L2:L687)</f>
        <v/>
      </c>
    </row>
    <row r="60">
      <c r="A60" s="2" t="inlineStr">
        <is>
          <t>Closed Lost</t>
        </is>
      </c>
      <c r="B60" s="32">
        <f>COUNTIF('RFP Data'!G2:G687,"Closed Lost")</f>
        <v/>
      </c>
      <c r="D60" s="2" t="inlineStr">
        <is>
          <t>Closed Lost Value</t>
        </is>
      </c>
      <c r="E60" s="66">
        <f>SUMIF('RFP Data'!G2:G687,"Closed Lost",'RFP Data'!L2:L687)</f>
        <v/>
      </c>
    </row>
    <row r="61">
      <c r="A61" s="2" t="inlineStr">
        <is>
          <t>Win Rate</t>
        </is>
      </c>
      <c r="B61" s="68">
        <f>IF((B59+B60)&gt;0,B59/(B59+B60),0)</f>
        <v/>
      </c>
      <c r="D61" s="2" t="inlineStr">
        <is>
          <t>Win Rate by Value</t>
        </is>
      </c>
      <c r="E61" s="68">
        <f>IF((E59+E60)&gt;0,E59/(E59+E60),0)</f>
        <v/>
      </c>
    </row>
    <row r="63">
      <c r="A63" s="2" t="inlineStr">
        <is>
          <t>Won after Interview</t>
        </is>
      </c>
      <c r="B63" s="32">
        <f>COUNTIFS('RFP Data'!G2:G687,"Closed Won",'RFP Data'!H2:H687,"Yes")</f>
        <v/>
      </c>
    </row>
    <row r="64">
      <c r="A64" s="2" t="inlineStr">
        <is>
          <t>Lost after Interview</t>
        </is>
      </c>
      <c r="B64" s="32">
        <f>COUNTIFS('RFP Data'!G2:G687,"Closed Lost",'RFP Data'!H2:H687,"Yes")</f>
        <v/>
      </c>
    </row>
    <row r="65">
      <c r="A65" s="2" t="inlineStr">
        <is>
          <t>Interview-to-Win Rate</t>
        </is>
      </c>
      <c r="B65" s="68">
        <f>IF((B63+B64)&gt;0,B63/(B63+B64),0)</f>
        <v/>
      </c>
    </row>
  </sheetData>
  <mergeCells count="8">
    <mergeCell ref="A4:E4"/>
    <mergeCell ref="A20:E20"/>
    <mergeCell ref="A10:E10"/>
    <mergeCell ref="A1:E1"/>
    <mergeCell ref="A45:E45"/>
    <mergeCell ref="A14:E14"/>
    <mergeCell ref="A58:E58"/>
    <mergeCell ref="A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20" customWidth="1" min="3" max="3"/>
  </cols>
  <sheetData>
    <row r="1">
      <c r="A1" s="44" t="inlineStr">
        <is>
          <t>Stage</t>
        </is>
      </c>
      <c r="B1" s="44" t="inlineStr">
        <is>
          <t>Description</t>
        </is>
      </c>
      <c r="C1" s="44" t="inlineStr">
        <is>
          <t>HubSpot Internal ID</t>
        </is>
      </c>
    </row>
    <row r="2">
      <c r="A2" s="45" t="inlineStr">
        <is>
          <t>Submitted</t>
        </is>
      </c>
      <c r="B2" s="46" t="inlineStr">
        <is>
          <t>Bid has been submitted and is awaiting review</t>
        </is>
      </c>
      <c r="C2" s="30" t="inlineStr">
        <is>
          <t>presentationscheduled</t>
        </is>
      </c>
    </row>
    <row r="3">
      <c r="A3" s="47" t="inlineStr">
        <is>
          <t>Interview</t>
        </is>
      </c>
      <c r="B3" s="46" t="inlineStr">
        <is>
          <t>Shortlisted for interview / BAFO stage</t>
        </is>
      </c>
      <c r="C3" s="30" t="inlineStr">
        <is>
          <t>1620129473</t>
        </is>
      </c>
    </row>
    <row r="4">
      <c r="A4" s="48" t="inlineStr">
        <is>
          <t>Intent to Award</t>
        </is>
      </c>
      <c r="B4" s="46" t="inlineStr">
        <is>
          <t>Agency has indicated intent to award</t>
        </is>
      </c>
      <c r="C4" s="30" t="inlineStr">
        <is>
          <t>2485737153</t>
        </is>
      </c>
    </row>
    <row r="5">
      <c r="A5" s="49" t="inlineStr">
        <is>
          <t>Closed Won</t>
        </is>
      </c>
      <c r="B5" s="46" t="inlineStr">
        <is>
          <t>Deal has been won</t>
        </is>
      </c>
      <c r="C5" s="30" t="inlineStr">
        <is>
          <t>closedwon</t>
        </is>
      </c>
    </row>
    <row r="6">
      <c r="A6" s="50" t="inlineStr">
        <is>
          <t>Closed Lost</t>
        </is>
      </c>
      <c r="B6" s="46" t="inlineStr">
        <is>
          <t>Deal has been lost</t>
        </is>
      </c>
      <c r="C6" s="30" t="inlineStr">
        <is>
          <t>closedlost</t>
        </is>
      </c>
    </row>
    <row r="7">
      <c r="A7" s="51" t="inlineStr">
        <is>
          <t>Terminated</t>
        </is>
      </c>
      <c r="B7" s="46" t="inlineStr">
        <is>
          <t>RFP process was terminated by the agency</t>
        </is>
      </c>
      <c r="C7" s="30" t="inlineStr">
        <is>
          <t>2203296493</t>
        </is>
      </c>
    </row>
    <row r="8">
      <c r="A8" s="52" t="inlineStr">
        <is>
          <t>RFx Cancelled</t>
        </is>
      </c>
      <c r="B8" s="46" t="inlineStr">
        <is>
          <t>RFP was cancelled before completion</t>
        </is>
      </c>
      <c r="C8" s="30" t="inlineStr">
        <is>
          <t>2766010076</t>
        </is>
      </c>
    </row>
    <row r="11">
      <c r="A11" s="3" t="inlineStr">
        <is>
          <t>Interview Subcategories</t>
        </is>
      </c>
    </row>
    <row r="12">
      <c r="A12" s="53" t="inlineStr">
        <is>
          <t>Interview</t>
        </is>
      </c>
      <c r="B12" s="46" t="inlineStr">
        <is>
          <t>Standard interview — presentation, Q&amp;A, demo</t>
        </is>
      </c>
    </row>
    <row r="13">
      <c r="A13" s="54" t="inlineStr">
        <is>
          <t>BAFO</t>
        </is>
      </c>
      <c r="B13" s="46" t="inlineStr">
        <is>
          <t>Best and Final Offer — revised/final proposal requested</t>
        </is>
      </c>
    </row>
    <row r="15">
      <c r="A15" s="3" t="inlineStr">
        <is>
          <t>Award Timeline</t>
        </is>
      </c>
    </row>
    <row r="16">
      <c r="A16" s="35" t="inlineStr">
        <is>
          <t>Intent to Award Date</t>
        </is>
      </c>
      <c r="B16" s="46" t="inlineStr">
        <is>
          <t>Agency communicates intent to award — not yet official</t>
        </is>
      </c>
    </row>
    <row r="17">
      <c r="A17" s="35" t="inlineStr">
        <is>
          <t>Tentatively Awarded Date</t>
        </is>
      </c>
      <c r="B17" s="46" t="inlineStr">
        <is>
          <t>Tentative/conditional award — may be subject to protest period</t>
        </is>
      </c>
    </row>
    <row r="18">
      <c r="A18" s="49" t="inlineStr">
        <is>
          <t>Awarded Date</t>
        </is>
      </c>
      <c r="B18" s="46" t="inlineStr">
        <is>
          <t>Formal award — contract execution can begin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50" customWidth="1" min="4" max="4"/>
    <col width="35" customWidth="1" min="5" max="5"/>
    <col width="14" customWidth="1" min="6" max="6"/>
    <col width="16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  <col width="28" customWidth="1" min="13" max="13"/>
    <col width="16" customWidth="1" min="14" max="14"/>
    <col width="22" customWidth="1" min="15" max="15"/>
    <col width="22" customWidth="1" min="16" max="16"/>
    <col width="16" customWidth="1" min="17" max="17"/>
    <col width="14" customWidth="1" min="18" max="18"/>
    <col width="18" customWidth="1" min="19" max="19"/>
    <col width="22" customWidth="1" min="20" max="20"/>
    <col width="14" customWidth="1" min="21" max="21"/>
    <col width="16" customWidth="1" min="22" max="22"/>
    <col width="30" customWidth="1" min="23" max="23"/>
    <col width="30" customWidth="1" min="24" max="24"/>
    <col width="14" customWidth="1" min="25" max="25"/>
    <col width="60" customWidth="1" min="26" max="26"/>
    <col width="14" customWidth="1" min="27" max="27"/>
  </cols>
  <sheetData>
    <row r="1" ht="30" customHeight="1">
      <c r="A1" s="97" t="inlineStr">
        <is>
          <t>S.No.</t>
        </is>
      </c>
      <c r="B1" s="97" t="inlineStr">
        <is>
          <t>HubSpot ID</t>
        </is>
      </c>
      <c r="C1" s="97" t="inlineStr">
        <is>
          <t>RFP Number</t>
        </is>
      </c>
      <c r="D1" s="97" t="inlineStr">
        <is>
          <t>Deal Name</t>
        </is>
      </c>
      <c r="E1" s="97" t="inlineStr">
        <is>
          <t>Agency</t>
        </is>
      </c>
      <c r="F1" s="97" t="inlineStr">
        <is>
          <t>Agency State</t>
        </is>
      </c>
      <c r="G1" s="97" t="inlineStr">
        <is>
          <t>Stage</t>
        </is>
      </c>
      <c r="H1" s="97" t="inlineStr">
        <is>
          <t>Interview Flag</t>
        </is>
      </c>
      <c r="I1" s="97" t="inlineStr">
        <is>
          <t>Interview Subcategory</t>
        </is>
      </c>
      <c r="J1" s="97" t="inlineStr">
        <is>
          <t>Bid Closing Date</t>
        </is>
      </c>
      <c r="K1" s="97" t="inlineStr">
        <is>
          <t>Submission Date</t>
        </is>
      </c>
      <c r="L1" s="97" t="inlineStr">
        <is>
          <t>Amount ($)</t>
        </is>
      </c>
      <c r="M1" s="97" t="inlineStr">
        <is>
          <t>Service Category</t>
        </is>
      </c>
      <c r="N1" s="97" t="inlineStr">
        <is>
          <t>Submission Mode</t>
        </is>
      </c>
      <c r="O1" s="97" t="inlineStr">
        <is>
          <t>Owner</t>
        </is>
      </c>
      <c r="P1" s="97" t="inlineStr">
        <is>
          <t>Interview Type</t>
        </is>
      </c>
      <c r="Q1" s="97" t="inlineStr">
        <is>
          <t>Interview Date</t>
        </is>
      </c>
      <c r="R1" s="97" t="inlineStr">
        <is>
          <t>BAFO Date</t>
        </is>
      </c>
      <c r="S1" s="97" t="inlineStr">
        <is>
          <t>Intent to Award Date</t>
        </is>
      </c>
      <c r="T1" s="97" t="inlineStr">
        <is>
          <t>Tentatively Awarded Date</t>
        </is>
      </c>
      <c r="U1" s="97" t="inlineStr">
        <is>
          <t>Awarded Date</t>
        </is>
      </c>
      <c r="V1" s="97" t="inlineStr">
        <is>
          <t>Award Status</t>
        </is>
      </c>
      <c r="W1" s="97" t="inlineStr">
        <is>
          <t>Won Reason</t>
        </is>
      </c>
      <c r="X1" s="97" t="inlineStr">
        <is>
          <t>Lost Reason</t>
        </is>
      </c>
      <c r="Y1" s="97" t="inlineStr">
        <is>
          <t>Created Date</t>
        </is>
      </c>
      <c r="Z1" s="97" t="inlineStr">
        <is>
          <t>HubSpot Link</t>
        </is>
      </c>
      <c r="AA1" s="97" t="inlineStr">
        <is>
          <t>Delivery Required</t>
        </is>
      </c>
    </row>
    <row r="2">
      <c r="A2" t="n">
        <v>1</v>
      </c>
      <c r="B2" t="inlineStr">
        <is>
          <t>180942918364</t>
        </is>
      </c>
      <c r="D2" t="inlineStr">
        <is>
          <t>CITY WEBSITE REPLACEMENT PLATFORM</t>
        </is>
      </c>
      <c r="E2" t="inlineStr">
        <is>
          <t>City of Englewood</t>
        </is>
      </c>
      <c r="F2" t="inlineStr">
        <is>
          <t>Colorado</t>
        </is>
      </c>
      <c r="G2" t="inlineStr">
        <is>
          <t>Closed Lost</t>
        </is>
      </c>
      <c r="H2" t="inlineStr">
        <is>
          <t>No</t>
        </is>
      </c>
      <c r="J2" s="96" t="n">
        <v>45938</v>
      </c>
      <c r="K2" s="96" t="n">
        <v>45680</v>
      </c>
      <c r="M2" t="inlineStr">
        <is>
          <t>Modernization / Migration</t>
        </is>
      </c>
      <c r="O2" t="inlineStr">
        <is>
          <t>Madhav Mitruka</t>
        </is>
      </c>
      <c r="Y2" t="inlineStr">
        <is>
          <t>2025-10-08</t>
        </is>
      </c>
      <c r="Z2" t="inlineStr">
        <is>
          <t>https://app.hubspot.com/contacts/243046792/record/0-3/180942918364</t>
        </is>
      </c>
    </row>
    <row r="3">
      <c r="A3" t="n">
        <v>2</v>
      </c>
      <c r="B3" t="inlineStr">
        <is>
          <t>235860602564</t>
        </is>
      </c>
      <c r="C3" t="inlineStr">
        <is>
          <t>RFQ-AR-1398</t>
        </is>
      </c>
      <c r="D3" t="inlineStr">
        <is>
          <t xml:space="preserve">Metropolitan Water District of Southern California - On-Call Information Technology Cybersecurity Services </t>
        </is>
      </c>
      <c r="E3" t="inlineStr">
        <is>
          <t>Metropolitan Water District of Southern California</t>
        </is>
      </c>
      <c r="F3" t="inlineStr">
        <is>
          <t>California</t>
        </is>
      </c>
      <c r="G3" t="inlineStr">
        <is>
          <t>Closed Won</t>
        </is>
      </c>
      <c r="H3" t="inlineStr">
        <is>
          <t>No</t>
        </is>
      </c>
      <c r="J3" s="96" t="n">
        <v>45999</v>
      </c>
      <c r="K3" s="96" t="n">
        <v>45771</v>
      </c>
      <c r="M3" t="inlineStr">
        <is>
          <t>Managed Services (MSP)</t>
        </is>
      </c>
      <c r="N3" t="inlineStr">
        <is>
          <t>Portal</t>
        </is>
      </c>
      <c r="O3" t="inlineStr">
        <is>
          <t>Madhav Mitruka</t>
        </is>
      </c>
      <c r="S3" t="inlineStr">
        <is>
          <t>2025-12-02</t>
        </is>
      </c>
      <c r="U3" s="96" t="n">
        <v>45993</v>
      </c>
      <c r="Y3" t="inlineStr">
        <is>
          <t>2025-12-08</t>
        </is>
      </c>
      <c r="Z3" t="inlineStr">
        <is>
          <t>https://app.hubspot.com/contacts/243046792/record/0-3/235860602564</t>
        </is>
      </c>
    </row>
    <row r="4">
      <c r="A4" t="n">
        <v>3</v>
      </c>
      <c r="B4" t="inlineStr">
        <is>
          <t>127482765035</t>
        </is>
      </c>
      <c r="C4" t="inlineStr">
        <is>
          <t>RFP NO. NC- 2025-14</t>
        </is>
      </c>
      <c r="D4" t="inlineStr">
        <is>
          <t>Fresno County Superintendent of Schools - Computer Maintenance &amp; Technology Support Services</t>
        </is>
      </c>
      <c r="E4" t="inlineStr">
        <is>
          <t>FRESNO COUNTY SUPERINTENDENT OF SCHOOLS</t>
        </is>
      </c>
      <c r="F4" t="inlineStr">
        <is>
          <t>California</t>
        </is>
      </c>
      <c r="G4" t="inlineStr">
        <is>
          <t>Closed Won</t>
        </is>
      </c>
      <c r="H4" t="inlineStr">
        <is>
          <t>No</t>
        </is>
      </c>
      <c r="J4" s="96" t="n">
        <v>45796</v>
      </c>
      <c r="K4" s="96" t="n">
        <v>45796</v>
      </c>
      <c r="L4" t="n">
        <v>500000</v>
      </c>
      <c r="M4" t="inlineStr">
        <is>
          <t>Consulting;Support &amp; Maintenance</t>
        </is>
      </c>
      <c r="N4" t="inlineStr">
        <is>
          <t>Email</t>
        </is>
      </c>
      <c r="O4" t="inlineStr">
        <is>
          <t>Arshdeep Kaur</t>
        </is>
      </c>
      <c r="S4" t="inlineStr">
        <is>
          <t>2025-06-13</t>
        </is>
      </c>
      <c r="U4" s="96" t="n">
        <v>45968</v>
      </c>
      <c r="V4" t="inlineStr">
        <is>
          <t>In Process</t>
        </is>
      </c>
      <c r="Y4" t="inlineStr">
        <is>
          <t>2025-07-23</t>
        </is>
      </c>
      <c r="Z4" t="inlineStr">
        <is>
          <t>https://app.hubspot.com/contacts/243046792/record/0-3/127482765035</t>
        </is>
      </c>
      <c r="AA4" t="inlineStr">
        <is>
          <t>No</t>
        </is>
      </c>
    </row>
    <row r="5">
      <c r="A5" t="n">
        <v>4</v>
      </c>
      <c r="B5" t="inlineStr">
        <is>
          <t>127743477490</t>
        </is>
      </c>
      <c r="D5" t="inlineStr">
        <is>
          <t>EPIC 6- RFP 21.25 Technology Solutions &amp; Services</t>
        </is>
      </c>
      <c r="E5" t="inlineStr">
        <is>
          <t>Region 6 Education Service Center</t>
        </is>
      </c>
      <c r="F5" t="inlineStr">
        <is>
          <t>Texas</t>
        </is>
      </c>
      <c r="G5" t="inlineStr">
        <is>
          <t>Closed Won</t>
        </is>
      </c>
      <c r="H5" t="inlineStr">
        <is>
          <t>No</t>
        </is>
      </c>
      <c r="J5" s="96" t="n">
        <v>46142</v>
      </c>
      <c r="K5" s="96" t="n">
        <v>45807</v>
      </c>
      <c r="M5" t="inlineStr">
        <is>
          <t>Staff Augmentation</t>
        </is>
      </c>
      <c r="N5" t="inlineStr">
        <is>
          <t>Portal</t>
        </is>
      </c>
      <c r="O5" t="inlineStr">
        <is>
          <t>Jyothsna Nanda kishore</t>
        </is>
      </c>
      <c r="S5" t="inlineStr">
        <is>
          <t>2025-06-16</t>
        </is>
      </c>
      <c r="U5" s="96" t="n">
        <v>45831</v>
      </c>
      <c r="Y5" t="inlineStr">
        <is>
          <t>2025-07-23</t>
        </is>
      </c>
      <c r="Z5" t="inlineStr">
        <is>
          <t>https://app.hubspot.com/contacts/243046792/record/0-3/127743477490</t>
        </is>
      </c>
      <c r="AA5" t="inlineStr">
        <is>
          <t>No</t>
        </is>
      </c>
    </row>
    <row r="6">
      <c r="A6" t="n">
        <v>5</v>
      </c>
      <c r="B6" t="inlineStr">
        <is>
          <t>175110048474</t>
        </is>
      </c>
      <c r="D6" t="inlineStr">
        <is>
          <t>Commonwealth of Pennsylvania - Agile ITQ Development</t>
        </is>
      </c>
      <c r="E6" t="inlineStr">
        <is>
          <t>Commonwealth of Pennsylvania</t>
        </is>
      </c>
      <c r="F6" t="inlineStr">
        <is>
          <t>Pennsylvania</t>
        </is>
      </c>
      <c r="G6" t="inlineStr">
        <is>
          <t>Closed Won</t>
        </is>
      </c>
      <c r="H6" t="inlineStr">
        <is>
          <t>No</t>
        </is>
      </c>
      <c r="J6" s="96" t="n">
        <v>45932</v>
      </c>
      <c r="K6" s="96" t="n">
        <v>45832</v>
      </c>
      <c r="M6" t="inlineStr">
        <is>
          <t>Staff Augmentation</t>
        </is>
      </c>
      <c r="N6" t="inlineStr">
        <is>
          <t>Portal</t>
        </is>
      </c>
      <c r="O6" t="inlineStr">
        <is>
          <t>Madhav Mitruka</t>
        </is>
      </c>
      <c r="S6" t="inlineStr">
        <is>
          <t>2025-10-02</t>
        </is>
      </c>
      <c r="U6" s="96" t="n">
        <v>45932</v>
      </c>
      <c r="Y6" t="inlineStr">
        <is>
          <t>2025-10-02</t>
        </is>
      </c>
      <c r="Z6" t="inlineStr">
        <is>
          <t>https://app.hubspot.com/contacts/243046792/record/0-3/175110048474</t>
        </is>
      </c>
      <c r="AA6" t="inlineStr">
        <is>
          <t>No</t>
        </is>
      </c>
    </row>
    <row r="7">
      <c r="A7" t="n">
        <v>6</v>
      </c>
      <c r="B7" t="inlineStr">
        <is>
          <t>106496879328</t>
        </is>
      </c>
      <c r="C7" t="inlineStr">
        <is>
          <t>928</t>
        </is>
      </c>
      <c r="D7" t="inlineStr">
        <is>
          <t>Cybersecurity &amp; Information Security Services</t>
        </is>
      </c>
      <c r="G7" t="inlineStr">
        <is>
          <t>Closed Lost</t>
        </is>
      </c>
      <c r="H7" t="inlineStr">
        <is>
          <t>No</t>
        </is>
      </c>
      <c r="J7" s="96" t="n">
        <v>46112</v>
      </c>
      <c r="K7" s="96" t="n">
        <v>45834</v>
      </c>
      <c r="O7" t="inlineStr">
        <is>
          <t>Madhav Mitruka</t>
        </is>
      </c>
      <c r="Y7" t="inlineStr">
        <is>
          <t>2025-06-25</t>
        </is>
      </c>
      <c r="Z7" t="inlineStr">
        <is>
          <t>https://app.hubspot.com/contacts/243046792/record/0-3/106496879328</t>
        </is>
      </c>
    </row>
    <row r="8">
      <c r="A8" t="n">
        <v>7</v>
      </c>
      <c r="B8" t="inlineStr">
        <is>
          <t>121105638127</t>
        </is>
      </c>
      <c r="C8" t="inlineStr">
        <is>
          <t>25-0212-IT</t>
        </is>
      </c>
      <c r="D8" t="inlineStr">
        <is>
          <t>MICROSOFT OFFICE 365, EXCHANGE,DEFENDER, TRAINING AND TECH SUPPORT</t>
        </is>
      </c>
      <c r="E8" t="inlineStr">
        <is>
          <t>City of Florissant</t>
        </is>
      </c>
      <c r="F8" t="inlineStr">
        <is>
          <t>Missouri</t>
        </is>
      </c>
      <c r="G8" t="inlineStr">
        <is>
          <t>Closed Lost</t>
        </is>
      </c>
      <c r="H8" t="inlineStr">
        <is>
          <t>No</t>
        </is>
      </c>
      <c r="J8" s="96" t="n">
        <v>46113</v>
      </c>
      <c r="K8" s="96" t="n">
        <v>45835</v>
      </c>
      <c r="M8" t="inlineStr">
        <is>
          <t>Consulting</t>
        </is>
      </c>
      <c r="O8" t="inlineStr">
        <is>
          <t>Jyothsna Nanda kishore</t>
        </is>
      </c>
      <c r="U8" s="96" t="n"/>
      <c r="V8" t="inlineStr">
        <is>
          <t>In Process</t>
        </is>
      </c>
      <c r="Y8" t="inlineStr">
        <is>
          <t>2025-07-17</t>
        </is>
      </c>
      <c r="Z8" t="inlineStr">
        <is>
          <t>https://app.hubspot.com/contacts/243046792/record/0-3/121105638127</t>
        </is>
      </c>
      <c r="AA8" t="inlineStr">
        <is>
          <t>Yes</t>
        </is>
      </c>
    </row>
    <row r="9">
      <c r="A9" t="n">
        <v>8</v>
      </c>
      <c r="B9" t="inlineStr">
        <is>
          <t>110969525953</t>
        </is>
      </c>
      <c r="C9" t="inlineStr">
        <is>
          <t>NA</t>
        </is>
      </c>
      <c r="D9" t="inlineStr">
        <is>
          <t>Managed IT Services - Lucas County</t>
        </is>
      </c>
      <c r="E9" t="inlineStr">
        <is>
          <t>Lucas County Board of Developmental Disabilities</t>
        </is>
      </c>
      <c r="F9" t="inlineStr">
        <is>
          <t>Ohio</t>
        </is>
      </c>
      <c r="G9" t="inlineStr">
        <is>
          <t>Closed Lost</t>
        </is>
      </c>
      <c r="H9" t="inlineStr">
        <is>
          <t>No</t>
        </is>
      </c>
      <c r="J9" s="96" t="n">
        <v>46113</v>
      </c>
      <c r="K9" s="96" t="n">
        <v>45841</v>
      </c>
      <c r="L9" s="65" t="n">
        <v>381250</v>
      </c>
      <c r="M9" t="inlineStr">
        <is>
          <t>Managed Services (MSP)</t>
        </is>
      </c>
      <c r="N9" t="inlineStr">
        <is>
          <t>Portal</t>
        </is>
      </c>
      <c r="O9" t="inlineStr">
        <is>
          <t>Jyothsna Nanda kishore</t>
        </is>
      </c>
      <c r="Y9" t="inlineStr">
        <is>
          <t>2025-07-02</t>
        </is>
      </c>
      <c r="Z9" t="inlineStr">
        <is>
          <t>https://app.hubspot.com/contacts/243046792/record/0-3/110969525953</t>
        </is>
      </c>
    </row>
    <row r="10">
      <c r="A10" t="n">
        <v>9</v>
      </c>
      <c r="B10" t="inlineStr">
        <is>
          <t>135153706705</t>
        </is>
      </c>
      <c r="C10" t="inlineStr">
        <is>
          <t>RFQ1762822</t>
        </is>
      </c>
      <c r="D10" t="inlineStr">
        <is>
          <t>Implementation of Electronic Filing (eFiling)</t>
        </is>
      </c>
      <c r="E10" t="inlineStr">
        <is>
          <t xml:space="preserve">U.S. Consumer Product Safety Commission (CPSC) </t>
        </is>
      </c>
      <c r="F10" t="inlineStr">
        <is>
          <t>Washington, D.C.</t>
        </is>
      </c>
      <c r="G10" t="inlineStr">
        <is>
          <t>Closed Lost</t>
        </is>
      </c>
      <c r="H10" t="inlineStr">
        <is>
          <t>No</t>
        </is>
      </c>
      <c r="J10" s="96" t="n">
        <v>46106</v>
      </c>
      <c r="K10" s="96" t="n">
        <v>45845</v>
      </c>
      <c r="M10" t="inlineStr">
        <is>
          <t>Platform Implementation (ERP, CRMs)</t>
        </is>
      </c>
      <c r="O10" t="inlineStr">
        <is>
          <t>Jyothsna Nanda kishore</t>
        </is>
      </c>
      <c r="Y10" t="inlineStr">
        <is>
          <t>2025-07-31</t>
        </is>
      </c>
      <c r="Z10" t="inlineStr">
        <is>
          <t>https://app.hubspot.com/contacts/243046792/record/0-3/135153706705</t>
        </is>
      </c>
    </row>
    <row r="11">
      <c r="A11" t="n">
        <v>10</v>
      </c>
      <c r="B11" t="inlineStr">
        <is>
          <t>119087249139</t>
        </is>
      </c>
      <c r="D11" t="inlineStr">
        <is>
          <t>Enterprise Private Cloud Disaster Recovery Services</t>
        </is>
      </c>
      <c r="E11" t="inlineStr">
        <is>
          <t>Contra Costa County</t>
        </is>
      </c>
      <c r="F11" t="inlineStr">
        <is>
          <t>California</t>
        </is>
      </c>
      <c r="G11" t="inlineStr">
        <is>
          <t>Closed Lost</t>
        </is>
      </c>
      <c r="H11" t="inlineStr">
        <is>
          <t>Yes</t>
        </is>
      </c>
      <c r="I11" t="inlineStr">
        <is>
          <t>Interview</t>
        </is>
      </c>
      <c r="J11" s="96" t="n">
        <v>46146</v>
      </c>
      <c r="K11" s="96" t="n">
        <v>45848</v>
      </c>
      <c r="L11" s="65" t="n">
        <v>290000</v>
      </c>
      <c r="M11" t="inlineStr">
        <is>
          <t>Consulting</t>
        </is>
      </c>
      <c r="N11" t="inlineStr">
        <is>
          <t>Email</t>
        </is>
      </c>
      <c r="O11" t="inlineStr">
        <is>
          <t>Jyothsna Nanda kishore</t>
        </is>
      </c>
      <c r="P11" t="inlineStr">
        <is>
          <t>Interview Scheduled</t>
        </is>
      </c>
      <c r="Q11" t="inlineStr">
        <is>
          <t>2025-09-18</t>
        </is>
      </c>
      <c r="Y11" t="inlineStr">
        <is>
          <t>2025-07-11</t>
        </is>
      </c>
      <c r="Z11" t="inlineStr">
        <is>
          <t>https://app.hubspot.com/contacts/243046792/record/0-3/119087249139</t>
        </is>
      </c>
    </row>
    <row r="12">
      <c r="A12" t="n">
        <v>11</v>
      </c>
      <c r="B12" t="inlineStr">
        <is>
          <t>118951637707</t>
        </is>
      </c>
      <c r="C12" t="inlineStr">
        <is>
          <t>RFP_F_0000000055</t>
        </is>
      </c>
      <c r="D12" t="inlineStr">
        <is>
          <t>CRM ROADMAP: DISCOVERY &amp; PHASE 1 IMPLEMTATION</t>
        </is>
      </c>
      <c r="E12" t="inlineStr">
        <is>
          <t>University of Colorado</t>
        </is>
      </c>
      <c r="F12" t="inlineStr">
        <is>
          <t>Colorado</t>
        </is>
      </c>
      <c r="G12" t="inlineStr">
        <is>
          <t>Closed Lost</t>
        </is>
      </c>
      <c r="H12" t="inlineStr">
        <is>
          <t>No</t>
        </is>
      </c>
      <c r="J12" s="96" t="n">
        <v>45975</v>
      </c>
      <c r="K12" s="96" t="n">
        <v>45852</v>
      </c>
      <c r="L12" s="65" t="n">
        <v>254000</v>
      </c>
      <c r="O12" t="inlineStr">
        <is>
          <t>Jyothsna Nanda kishore</t>
        </is>
      </c>
      <c r="Y12" t="inlineStr">
        <is>
          <t>2025-07-11</t>
        </is>
      </c>
      <c r="Z12" t="inlineStr">
        <is>
          <t>https://app.hubspot.com/contacts/243046792/record/0-3/118951637707</t>
        </is>
      </c>
    </row>
    <row r="13">
      <c r="A13" t="n">
        <v>12</v>
      </c>
      <c r="B13" t="inlineStr">
        <is>
          <t>110968805088</t>
        </is>
      </c>
      <c r="C13" t="inlineStr">
        <is>
          <t>C001203</t>
        </is>
      </c>
      <c r="D13" t="inlineStr">
        <is>
          <t>Senior Java Architect</t>
        </is>
      </c>
      <c r="E13" t="inlineStr">
        <is>
          <t>New York State Office of the State Comptroller</t>
        </is>
      </c>
      <c r="F13" t="inlineStr">
        <is>
          <t>New York</t>
        </is>
      </c>
      <c r="G13" t="inlineStr">
        <is>
          <t>Closed Lost</t>
        </is>
      </c>
      <c r="H13" t="inlineStr">
        <is>
          <t>No</t>
        </is>
      </c>
      <c r="J13" s="96" t="n">
        <v>46113</v>
      </c>
      <c r="K13" s="96" t="n">
        <v>45854</v>
      </c>
      <c r="M13" t="inlineStr">
        <is>
          <t>Staff Augmentation</t>
        </is>
      </c>
      <c r="N13" t="inlineStr">
        <is>
          <t>Email</t>
        </is>
      </c>
      <c r="O13" t="inlineStr">
        <is>
          <t>Jyothsna Nanda kishore</t>
        </is>
      </c>
      <c r="Y13" t="inlineStr">
        <is>
          <t>2025-07-02</t>
        </is>
      </c>
      <c r="Z13" t="inlineStr">
        <is>
          <t>https://app.hubspot.com/contacts/243046792/record/0-3/110968805088</t>
        </is>
      </c>
    </row>
    <row r="14">
      <c r="A14" t="n">
        <v>13</v>
      </c>
      <c r="B14" t="inlineStr">
        <is>
          <t>110968874738</t>
        </is>
      </c>
      <c r="C14" t="inlineStr">
        <is>
          <t>2025-019</t>
        </is>
      </c>
      <c r="D14" t="inlineStr">
        <is>
          <t>(ERP) Tyler Software Configuration &amp; Customization Services- QSL</t>
        </is>
      </c>
      <c r="G14" t="inlineStr">
        <is>
          <t>Closed Lost</t>
        </is>
      </c>
      <c r="H14" t="inlineStr">
        <is>
          <t>No</t>
        </is>
      </c>
      <c r="J14" s="96" t="n">
        <v>45937</v>
      </c>
      <c r="K14" s="96" t="n">
        <v>45859</v>
      </c>
      <c r="N14" t="inlineStr">
        <is>
          <t>Portal</t>
        </is>
      </c>
      <c r="O14" t="inlineStr">
        <is>
          <t>Madhav Mitruka</t>
        </is>
      </c>
      <c r="Y14" t="inlineStr">
        <is>
          <t>2025-07-03</t>
        </is>
      </c>
      <c r="Z14" t="inlineStr">
        <is>
          <t>https://app.hubspot.com/contacts/243046792/record/0-3/110968874738</t>
        </is>
      </c>
    </row>
    <row r="15">
      <c r="A15" t="n">
        <v>14</v>
      </c>
      <c r="B15" t="inlineStr">
        <is>
          <t>110712028891</t>
        </is>
      </c>
      <c r="D15" t="inlineStr">
        <is>
          <t>Oregon League of Cities - STAFFING SERVICES WITH RELATED SERVICES AND SOLUTIONS</t>
        </is>
      </c>
      <c r="E15" t="inlineStr">
        <is>
          <t>Oregon League of Cities</t>
        </is>
      </c>
      <c r="F15" t="inlineStr">
        <is>
          <t>Oregon</t>
        </is>
      </c>
      <c r="G15" t="inlineStr">
        <is>
          <t>Closed Won</t>
        </is>
      </c>
      <c r="H15" t="inlineStr">
        <is>
          <t>No</t>
        </is>
      </c>
      <c r="J15" s="96" t="n">
        <v>46007</v>
      </c>
      <c r="K15" s="96" t="n">
        <v>45859</v>
      </c>
      <c r="M15" t="inlineStr">
        <is>
          <t>Staff Augmentation</t>
        </is>
      </c>
      <c r="N15" t="inlineStr">
        <is>
          <t>Portal</t>
        </is>
      </c>
      <c r="O15" t="inlineStr">
        <is>
          <t>Madhav Mitruka</t>
        </is>
      </c>
      <c r="S15" t="inlineStr">
        <is>
          <t>2025-12-15</t>
        </is>
      </c>
      <c r="U15" s="96" t="n">
        <v>46066</v>
      </c>
      <c r="Y15" t="inlineStr">
        <is>
          <t>2025-07-01</t>
        </is>
      </c>
      <c r="Z15" t="inlineStr">
        <is>
          <t>https://app.hubspot.com/contacts/243046792/record/0-3/110712028891</t>
        </is>
      </c>
      <c r="AA15" t="inlineStr">
        <is>
          <t>Yes</t>
        </is>
      </c>
    </row>
    <row r="16">
      <c r="A16" t="n">
        <v>15</v>
      </c>
      <c r="B16" t="inlineStr">
        <is>
          <t>110968803016</t>
        </is>
      </c>
      <c r="C16" t="inlineStr">
        <is>
          <t>RFQ-0011580-TECH-2025</t>
        </is>
      </c>
      <c r="D16" t="inlineStr">
        <is>
          <t>Power Platform/Azure Fabric Launch RFQ</t>
        </is>
      </c>
      <c r="G16" t="inlineStr">
        <is>
          <t>Closed Lost</t>
        </is>
      </c>
      <c r="H16" t="inlineStr">
        <is>
          <t>No</t>
        </is>
      </c>
      <c r="J16" s="96" t="n">
        <v>45936</v>
      </c>
      <c r="K16" s="96" t="n">
        <v>45860</v>
      </c>
      <c r="M16" t="inlineStr">
        <is>
          <t>Consulting</t>
        </is>
      </c>
      <c r="N16" t="inlineStr">
        <is>
          <t>Portal</t>
        </is>
      </c>
      <c r="O16" t="inlineStr">
        <is>
          <t>Madhav Mitruka</t>
        </is>
      </c>
      <c r="Y16" t="inlineStr">
        <is>
          <t>2025-07-02</t>
        </is>
      </c>
      <c r="Z16" t="inlineStr">
        <is>
          <t>https://app.hubspot.com/contacts/243046792/record/0-3/110968803016</t>
        </is>
      </c>
    </row>
    <row r="17">
      <c r="A17" t="n">
        <v>16</v>
      </c>
      <c r="B17" t="inlineStr">
        <is>
          <t>127424133880</t>
        </is>
      </c>
      <c r="C17" t="inlineStr">
        <is>
          <t>5400028271</t>
        </is>
      </c>
      <c r="D17" t="inlineStr">
        <is>
          <t>State of South Carolina - STC Dynamics Managed Service Provider</t>
        </is>
      </c>
      <c r="E17" t="inlineStr">
        <is>
          <t>State of South Carolina</t>
        </is>
      </c>
      <c r="F17" t="inlineStr">
        <is>
          <t>South Carolina</t>
        </is>
      </c>
      <c r="G17" t="inlineStr">
        <is>
          <t>Closed Won</t>
        </is>
      </c>
      <c r="H17" t="inlineStr">
        <is>
          <t>No</t>
        </is>
      </c>
      <c r="J17" s="96" t="n">
        <v>45971</v>
      </c>
      <c r="K17" s="96" t="n">
        <v>45860</v>
      </c>
      <c r="M17" t="inlineStr">
        <is>
          <t>Managed Services (MSP);Staff Augmentation</t>
        </is>
      </c>
      <c r="N17" t="inlineStr">
        <is>
          <t>Email</t>
        </is>
      </c>
      <c r="O17" t="inlineStr">
        <is>
          <t>Jyothsna Nanda kishore</t>
        </is>
      </c>
      <c r="S17" t="inlineStr">
        <is>
          <t>2025-11-06</t>
        </is>
      </c>
      <c r="U17" s="96" t="n">
        <v>45967</v>
      </c>
      <c r="Y17" t="inlineStr">
        <is>
          <t>2025-07-22</t>
        </is>
      </c>
      <c r="Z17" t="inlineStr">
        <is>
          <t>https://app.hubspot.com/contacts/243046792/record/0-3/127424133880</t>
        </is>
      </c>
      <c r="AA17" t="inlineStr">
        <is>
          <t>Yes</t>
        </is>
      </c>
    </row>
    <row r="18">
      <c r="A18" t="n">
        <v>17</v>
      </c>
      <c r="B18" t="inlineStr">
        <is>
          <t>114864544502</t>
        </is>
      </c>
      <c r="D18" t="inlineStr">
        <is>
          <t>University System of New Hampshire - Workday Related Staff Augmentation and Project Work</t>
        </is>
      </c>
      <c r="E18" t="inlineStr">
        <is>
          <t>University System of New Hampshire</t>
        </is>
      </c>
      <c r="F18" t="inlineStr">
        <is>
          <t>New Hampshire</t>
        </is>
      </c>
      <c r="G18" t="inlineStr">
        <is>
          <t>Closed Won</t>
        </is>
      </c>
      <c r="H18" t="inlineStr">
        <is>
          <t>No</t>
        </is>
      </c>
      <c r="J18" s="96" t="n">
        <v>45981</v>
      </c>
      <c r="K18" s="96" t="n">
        <v>45861</v>
      </c>
      <c r="M18" t="inlineStr">
        <is>
          <t>Staff Augmentation</t>
        </is>
      </c>
      <c r="N18" t="inlineStr">
        <is>
          <t>Portal</t>
        </is>
      </c>
      <c r="O18" t="inlineStr">
        <is>
          <t>Madhav Mitruka</t>
        </is>
      </c>
      <c r="S18" t="inlineStr">
        <is>
          <t>2025-11-20</t>
        </is>
      </c>
      <c r="U18" s="96" t="n">
        <v>46009</v>
      </c>
      <c r="Y18" t="inlineStr">
        <is>
          <t>2025-07-08</t>
        </is>
      </c>
      <c r="Z18" t="inlineStr">
        <is>
          <t>https://app.hubspot.com/contacts/243046792/record/0-3/114864544502</t>
        </is>
      </c>
    </row>
    <row r="19">
      <c r="A19" t="n">
        <v>18</v>
      </c>
      <c r="B19" t="inlineStr">
        <is>
          <t>114864633585</t>
        </is>
      </c>
      <c r="D19" t="inlineStr">
        <is>
          <t>IT Services</t>
        </is>
      </c>
      <c r="E19" t="inlineStr">
        <is>
          <t>Midway City Corporation</t>
        </is>
      </c>
      <c r="F19" t="inlineStr">
        <is>
          <t>Utah</t>
        </is>
      </c>
      <c r="G19" t="inlineStr">
        <is>
          <t>Closed Lost</t>
        </is>
      </c>
      <c r="H19" t="inlineStr">
        <is>
          <t>No</t>
        </is>
      </c>
      <c r="J19" s="96" t="n">
        <v>45943</v>
      </c>
      <c r="K19" s="96" t="n">
        <v>45866</v>
      </c>
      <c r="L19" s="65" t="n">
        <v>130560</v>
      </c>
      <c r="N19" t="inlineStr">
        <is>
          <t>Email</t>
        </is>
      </c>
      <c r="O19" t="inlineStr">
        <is>
          <t>Madhav Mitruka</t>
        </is>
      </c>
      <c r="Y19" t="inlineStr">
        <is>
          <t>2025-07-09</t>
        </is>
      </c>
      <c r="Z19" t="inlineStr">
        <is>
          <t>https://app.hubspot.com/contacts/243046792/record/0-3/114864633585</t>
        </is>
      </c>
    </row>
    <row r="20">
      <c r="A20" t="n">
        <v>19</v>
      </c>
      <c r="B20" t="inlineStr">
        <is>
          <t>114864655035</t>
        </is>
      </c>
      <c r="D20" t="inlineStr">
        <is>
          <t>IT CYBERSECURITY MANAGED SERVICES</t>
        </is>
      </c>
      <c r="E20" t="inlineStr">
        <is>
          <t>Clark Township</t>
        </is>
      </c>
      <c r="F20" t="inlineStr">
        <is>
          <t>New Jersey</t>
        </is>
      </c>
      <c r="G20" t="inlineStr">
        <is>
          <t>Closed Lost</t>
        </is>
      </c>
      <c r="H20" t="inlineStr">
        <is>
          <t>No</t>
        </is>
      </c>
      <c r="J20" s="96" t="n">
        <v>45943</v>
      </c>
      <c r="K20" s="96" t="n">
        <v>45867</v>
      </c>
      <c r="L20" s="65" t="n">
        <v>444440</v>
      </c>
      <c r="M20" t="inlineStr">
        <is>
          <t>Managed Services (MSP)</t>
        </is>
      </c>
      <c r="N20" t="inlineStr">
        <is>
          <t>Offline</t>
        </is>
      </c>
      <c r="O20" t="inlineStr">
        <is>
          <t>Madhav Mitruka</t>
        </is>
      </c>
      <c r="Y20" t="inlineStr">
        <is>
          <t>2025-07-09</t>
        </is>
      </c>
      <c r="Z20" t="inlineStr">
        <is>
          <t>https://app.hubspot.com/contacts/243046792/record/0-3/114864655035</t>
        </is>
      </c>
    </row>
    <row r="21">
      <c r="A21" t="n">
        <v>20</v>
      </c>
      <c r="B21" t="inlineStr">
        <is>
          <t>115653873387</t>
        </is>
      </c>
      <c r="D21" t="inlineStr">
        <is>
          <t>Implementation Services for Microsoft Power Platform Solution for NYS Department of Health’s Temporary Healthcare Staffing Agency Registration System</t>
        </is>
      </c>
      <c r="E21" t="inlineStr">
        <is>
          <t>New York State Department of Health</t>
        </is>
      </c>
      <c r="F21" t="inlineStr">
        <is>
          <t>New York</t>
        </is>
      </c>
      <c r="G21" t="inlineStr">
        <is>
          <t>Closed Lost</t>
        </is>
      </c>
      <c r="H21" t="inlineStr">
        <is>
          <t>No</t>
        </is>
      </c>
      <c r="J21" s="96" t="n">
        <v>45936</v>
      </c>
      <c r="K21" s="96" t="n">
        <v>45868</v>
      </c>
      <c r="L21" s="65" t="n">
        <v>111000</v>
      </c>
      <c r="M21" t="inlineStr">
        <is>
          <t>Platform Implementation (ERP, CRMs)</t>
        </is>
      </c>
      <c r="N21" t="inlineStr">
        <is>
          <t>Email</t>
        </is>
      </c>
      <c r="O21" t="inlineStr">
        <is>
          <t>Madhav Mitruka</t>
        </is>
      </c>
      <c r="Y21" t="inlineStr">
        <is>
          <t>2025-07-07</t>
        </is>
      </c>
      <c r="Z21" t="inlineStr">
        <is>
          <t>https://app.hubspot.com/contacts/243046792/record/0-3/115653873387</t>
        </is>
      </c>
    </row>
    <row r="22">
      <c r="A22" t="n">
        <v>21</v>
      </c>
      <c r="B22" t="inlineStr">
        <is>
          <t>134586521300</t>
        </is>
      </c>
      <c r="D22" t="inlineStr">
        <is>
          <t>SMUD.org Software and Technical Infrastructure Upgrade</t>
        </is>
      </c>
      <c r="E22" t="inlineStr">
        <is>
          <t>Sacramento Municipal Utility District</t>
        </is>
      </c>
      <c r="F22" t="inlineStr">
        <is>
          <t>California</t>
        </is>
      </c>
      <c r="G22" t="inlineStr">
        <is>
          <t>Closed Lost</t>
        </is>
      </c>
      <c r="H22" t="inlineStr">
        <is>
          <t>No</t>
        </is>
      </c>
      <c r="J22" s="96" t="n">
        <v>45975</v>
      </c>
      <c r="K22" s="96" t="n">
        <v>45868</v>
      </c>
      <c r="O22" t="inlineStr">
        <is>
          <t>Jyothsna Nanda kishore</t>
        </is>
      </c>
      <c r="Y22" t="inlineStr">
        <is>
          <t>2025-07-31</t>
        </is>
      </c>
      <c r="Z22" t="inlineStr">
        <is>
          <t>https://app.hubspot.com/contacts/243046792/record/0-3/134586521300</t>
        </is>
      </c>
    </row>
    <row r="23">
      <c r="A23" t="n">
        <v>22</v>
      </c>
      <c r="B23" t="inlineStr">
        <is>
          <t>110968802000</t>
        </is>
      </c>
      <c r="C23" t="inlineStr">
        <is>
          <t>201-2025-1000-1</t>
        </is>
      </c>
      <c r="D23" t="inlineStr">
        <is>
          <t>School Data Migration</t>
        </is>
      </c>
      <c r="E23" t="inlineStr">
        <is>
          <t>North Dakota Department of Public Instruction</t>
        </is>
      </c>
      <c r="F23" t="inlineStr">
        <is>
          <t>North Dakota</t>
        </is>
      </c>
      <c r="G23" t="inlineStr">
        <is>
          <t>Terminated</t>
        </is>
      </c>
      <c r="H23" t="inlineStr">
        <is>
          <t>No</t>
        </is>
      </c>
      <c r="J23" s="96" t="n">
        <v>46154</v>
      </c>
      <c r="K23" s="96" t="n">
        <v>45868</v>
      </c>
      <c r="L23" s="65" t="n">
        <v>193000</v>
      </c>
      <c r="M23" t="inlineStr">
        <is>
          <t>Modernization / Migration</t>
        </is>
      </c>
      <c r="N23" t="inlineStr">
        <is>
          <t>Portal</t>
        </is>
      </c>
      <c r="O23" t="inlineStr">
        <is>
          <t>Arshdeep Kaur</t>
        </is>
      </c>
      <c r="U23" s="96" t="n"/>
      <c r="Y23" t="inlineStr">
        <is>
          <t>2025-07-02</t>
        </is>
      </c>
      <c r="Z23" t="inlineStr">
        <is>
          <t>https://app.hubspot.com/contacts/243046792/record/0-3/110968802000</t>
        </is>
      </c>
      <c r="AA23" t="inlineStr">
        <is>
          <t>Yes</t>
        </is>
      </c>
    </row>
    <row r="24">
      <c r="A24" t="n">
        <v>23</v>
      </c>
      <c r="B24" t="inlineStr">
        <is>
          <t>121105455817</t>
        </is>
      </c>
      <c r="D24" t="inlineStr">
        <is>
          <t>MSSP</t>
        </is>
      </c>
      <c r="E24" t="inlineStr">
        <is>
          <t>City of Aurora</t>
        </is>
      </c>
      <c r="F24" t="inlineStr">
        <is>
          <t>Illinois</t>
        </is>
      </c>
      <c r="G24" t="inlineStr">
        <is>
          <t>Closed Lost</t>
        </is>
      </c>
      <c r="H24" t="inlineStr">
        <is>
          <t>No</t>
        </is>
      </c>
      <c r="J24" s="96" t="n">
        <v>45947</v>
      </c>
      <c r="K24" s="96" t="n">
        <v>45875</v>
      </c>
      <c r="L24" s="65" t="n">
        <v>4000000</v>
      </c>
      <c r="N24" t="inlineStr">
        <is>
          <t>Portal</t>
        </is>
      </c>
      <c r="O24" t="inlineStr">
        <is>
          <t>Madhav Mitruka</t>
        </is>
      </c>
      <c r="Y24" t="inlineStr">
        <is>
          <t>2025-07-15</t>
        </is>
      </c>
      <c r="Z24" t="inlineStr">
        <is>
          <t>https://app.hubspot.com/contacts/243046792/record/0-3/121105455817</t>
        </is>
      </c>
    </row>
    <row r="25">
      <c r="A25" t="n">
        <v>24</v>
      </c>
      <c r="B25" t="inlineStr">
        <is>
          <t>123259080428</t>
        </is>
      </c>
      <c r="C25" t="inlineStr">
        <is>
          <t>26-08-09</t>
        </is>
      </c>
      <c r="D25" t="inlineStr">
        <is>
          <t>[Destroyed] Cybersecurity Pilot - Privileged Access Management (Pam)</t>
        </is>
      </c>
      <c r="E25" t="inlineStr">
        <is>
          <t>Weslaco ISD</t>
        </is>
      </c>
      <c r="F25" t="inlineStr">
        <is>
          <t>Texas</t>
        </is>
      </c>
      <c r="G25" t="inlineStr">
        <is>
          <t>Closed Lost</t>
        </is>
      </c>
      <c r="H25" t="inlineStr">
        <is>
          <t>No</t>
        </is>
      </c>
      <c r="J25" s="96" t="n">
        <v>45964</v>
      </c>
      <c r="K25" s="96" t="n">
        <v>45876</v>
      </c>
      <c r="L25" s="65" t="n">
        <v>34800</v>
      </c>
      <c r="M25" t="inlineStr">
        <is>
          <t>Managed Services (MSP)</t>
        </is>
      </c>
      <c r="N25" t="inlineStr">
        <is>
          <t>Portal</t>
        </is>
      </c>
      <c r="O25" t="inlineStr">
        <is>
          <t>Jyothsna Nanda kishore</t>
        </is>
      </c>
      <c r="Y25" t="inlineStr">
        <is>
          <t>2025-07-18</t>
        </is>
      </c>
      <c r="Z25" t="inlineStr">
        <is>
          <t>https://app.hubspot.com/contacts/243046792/record/0-3/123259080428</t>
        </is>
      </c>
    </row>
    <row r="26">
      <c r="A26" t="n">
        <v>25</v>
      </c>
      <c r="B26" t="inlineStr">
        <is>
          <t>122926380739</t>
        </is>
      </c>
      <c r="D26" t="inlineStr">
        <is>
          <t>Clark County- Managed IT Services</t>
        </is>
      </c>
      <c r="E26" t="inlineStr">
        <is>
          <t>Clark County Sheriff's Office</t>
        </is>
      </c>
      <c r="F26" t="inlineStr">
        <is>
          <t>Ohio</t>
        </is>
      </c>
      <c r="G26" t="inlineStr">
        <is>
          <t>Closed Lost</t>
        </is>
      </c>
      <c r="H26" t="inlineStr">
        <is>
          <t>No</t>
        </is>
      </c>
      <c r="J26" s="96" t="n">
        <v>45975</v>
      </c>
      <c r="K26" s="96" t="n">
        <v>45876</v>
      </c>
      <c r="O26" t="inlineStr">
        <is>
          <t>Jyothsna Nanda kishore</t>
        </is>
      </c>
      <c r="Y26" t="inlineStr">
        <is>
          <t>2025-07-18</t>
        </is>
      </c>
      <c r="Z26" t="inlineStr">
        <is>
          <t>https://app.hubspot.com/contacts/243046792/record/0-3/122926380739</t>
        </is>
      </c>
    </row>
    <row r="27">
      <c r="A27" t="n">
        <v>26</v>
      </c>
      <c r="B27" t="inlineStr">
        <is>
          <t>114864545523</t>
        </is>
      </c>
      <c r="C27" t="inlineStr">
        <is>
          <t>25-003QP</t>
        </is>
      </c>
      <c r="D27" t="inlineStr">
        <is>
          <t>25-003QP-Accela Business Systems Analysis</t>
        </is>
      </c>
      <c r="E27" t="inlineStr">
        <is>
          <t>City of Seattle</t>
        </is>
      </c>
      <c r="F27" t="inlineStr">
        <is>
          <t>Washington</t>
        </is>
      </c>
      <c r="G27" t="inlineStr">
        <is>
          <t>Closed Lost</t>
        </is>
      </c>
      <c r="H27" t="inlineStr">
        <is>
          <t>Yes</t>
        </is>
      </c>
      <c r="I27" t="inlineStr">
        <is>
          <t>Interview</t>
        </is>
      </c>
      <c r="J27" s="96" t="n">
        <v>45999</v>
      </c>
      <c r="K27" s="96" t="n">
        <v>45876</v>
      </c>
      <c r="L27" s="65" t="n">
        <v>477043</v>
      </c>
      <c r="M27" t="inlineStr">
        <is>
          <t>Consulting;Staff Augmentation</t>
        </is>
      </c>
      <c r="N27" t="inlineStr">
        <is>
          <t>Portal</t>
        </is>
      </c>
      <c r="O27" t="inlineStr">
        <is>
          <t>Ashutosh Chauhan</t>
        </is>
      </c>
      <c r="P27" t="inlineStr">
        <is>
          <t>Interview Scheduled</t>
        </is>
      </c>
      <c r="Q27" t="inlineStr">
        <is>
          <t>2025-11-05</t>
        </is>
      </c>
      <c r="Y27" t="inlineStr">
        <is>
          <t>2025-07-08</t>
        </is>
      </c>
      <c r="Z27" t="inlineStr">
        <is>
          <t>https://app.hubspot.com/contacts/243046792/record/0-3/114864545523</t>
        </is>
      </c>
    </row>
    <row r="28">
      <c r="A28" t="n">
        <v>27</v>
      </c>
      <c r="B28" t="inlineStr">
        <is>
          <t>120592685811</t>
        </is>
      </c>
      <c r="C28" t="inlineStr">
        <is>
          <t>RFQ-1001295</t>
        </is>
      </c>
      <c r="D28" t="inlineStr">
        <is>
          <t>Iowa State University - Cybersecurity Services for Iowa Political Subdivisions</t>
        </is>
      </c>
      <c r="E28" t="inlineStr">
        <is>
          <t>Iowa State University</t>
        </is>
      </c>
      <c r="F28" t="inlineStr">
        <is>
          <t>Iowa</t>
        </is>
      </c>
      <c r="G28" t="inlineStr">
        <is>
          <t>Closed Won</t>
        </is>
      </c>
      <c r="H28" t="inlineStr">
        <is>
          <t>No</t>
        </is>
      </c>
      <c r="J28" s="96" t="n">
        <v>45981</v>
      </c>
      <c r="K28" s="96" t="n">
        <v>45877</v>
      </c>
      <c r="M28" t="inlineStr">
        <is>
          <t>Audits and Assessment</t>
        </is>
      </c>
      <c r="N28" t="inlineStr">
        <is>
          <t>Portal</t>
        </is>
      </c>
      <c r="O28" t="inlineStr">
        <is>
          <t>Jyothsna Nanda kishore</t>
        </is>
      </c>
      <c r="S28" t="inlineStr">
        <is>
          <t>2025-11-20</t>
        </is>
      </c>
      <c r="U28" s="96" t="n">
        <v>46156</v>
      </c>
      <c r="Y28" t="inlineStr">
        <is>
          <t>2025-07-15</t>
        </is>
      </c>
      <c r="Z28" t="inlineStr">
        <is>
          <t>https://app.hubspot.com/contacts/243046792/record/0-3/120592685811</t>
        </is>
      </c>
      <c r="AA28" t="inlineStr">
        <is>
          <t>Yes</t>
        </is>
      </c>
    </row>
    <row r="29">
      <c r="A29" t="n">
        <v>28</v>
      </c>
      <c r="B29" t="inlineStr">
        <is>
          <t>132776618729</t>
        </is>
      </c>
      <c r="C29" t="inlineStr">
        <is>
          <t>IT-26-002</t>
        </is>
      </c>
      <c r="D29" t="inlineStr">
        <is>
          <t>IT Professional Services - Laguna Beach</t>
        </is>
      </c>
      <c r="E29" t="inlineStr">
        <is>
          <t>Laguna Beach</t>
        </is>
      </c>
      <c r="F29" t="inlineStr">
        <is>
          <t>California</t>
        </is>
      </c>
      <c r="G29" t="inlineStr">
        <is>
          <t>Closed Lost</t>
        </is>
      </c>
      <c r="H29" t="inlineStr">
        <is>
          <t>No</t>
        </is>
      </c>
      <c r="J29" s="96" t="n">
        <v>45943</v>
      </c>
      <c r="K29" s="96" t="n">
        <v>45880</v>
      </c>
      <c r="M29" t="inlineStr">
        <is>
          <t>Managed Services (MSP)</t>
        </is>
      </c>
      <c r="N29" t="inlineStr">
        <is>
          <t>Portal</t>
        </is>
      </c>
      <c r="O29" t="inlineStr">
        <is>
          <t>Madhav Mitruka</t>
        </is>
      </c>
      <c r="Y29" t="inlineStr">
        <is>
          <t>2025-07-29</t>
        </is>
      </c>
      <c r="Z29" t="inlineStr">
        <is>
          <t>https://app.hubspot.com/contacts/243046792/record/0-3/132776618729</t>
        </is>
      </c>
    </row>
    <row r="30">
      <c r="A30" t="n">
        <v>29</v>
      </c>
      <c r="B30" t="inlineStr">
        <is>
          <t>114864632540</t>
        </is>
      </c>
      <c r="D30" t="inlineStr">
        <is>
          <t>LP&amp;L Oracle Utility Systems Support and Optimization Services</t>
        </is>
      </c>
      <c r="E30" t="inlineStr">
        <is>
          <t>Lubbock Power &amp; Light</t>
        </is>
      </c>
      <c r="F30" t="inlineStr">
        <is>
          <t>Texas</t>
        </is>
      </c>
      <c r="G30" t="inlineStr">
        <is>
          <t>Closed Lost</t>
        </is>
      </c>
      <c r="H30" t="inlineStr">
        <is>
          <t>No</t>
        </is>
      </c>
      <c r="J30" s="96" t="n">
        <v>45943</v>
      </c>
      <c r="K30" s="96" t="n">
        <v>45881</v>
      </c>
      <c r="L30" s="65" t="n">
        <v>288000</v>
      </c>
      <c r="N30" t="inlineStr">
        <is>
          <t>Portal</t>
        </is>
      </c>
      <c r="O30" t="inlineStr">
        <is>
          <t>Madhav Mitruka</t>
        </is>
      </c>
      <c r="Y30" t="inlineStr">
        <is>
          <t>2025-07-09</t>
        </is>
      </c>
      <c r="Z30" t="inlineStr">
        <is>
          <t>https://app.hubspot.com/contacts/243046792/record/0-3/114864632540</t>
        </is>
      </c>
    </row>
    <row r="31">
      <c r="A31" t="n">
        <v>30</v>
      </c>
      <c r="B31" t="inlineStr">
        <is>
          <t>135506178796</t>
        </is>
      </c>
      <c r="C31" t="inlineStr">
        <is>
          <t>RFP No: 7-30-25</t>
        </is>
      </c>
      <c r="D31" t="inlineStr">
        <is>
          <t>Virtual CISO Services, HCCC Mountain Line, New Jersey</t>
        </is>
      </c>
      <c r="E31" t="inlineStr">
        <is>
          <t>Hudson County Community College</t>
        </is>
      </c>
      <c r="F31" t="inlineStr">
        <is>
          <t>New Jersey</t>
        </is>
      </c>
      <c r="G31" t="inlineStr">
        <is>
          <t>Closed Lost</t>
        </is>
      </c>
      <c r="H31" t="inlineStr">
        <is>
          <t>No</t>
        </is>
      </c>
      <c r="J31" s="96" t="n">
        <v>45960</v>
      </c>
      <c r="K31" s="96" t="n">
        <v>45882</v>
      </c>
      <c r="L31" s="65" t="n">
        <v>236100</v>
      </c>
      <c r="M31" t="inlineStr">
        <is>
          <t>Managed Services (MSP)</t>
        </is>
      </c>
      <c r="N31" t="inlineStr">
        <is>
          <t>Offline</t>
        </is>
      </c>
      <c r="O31" t="inlineStr">
        <is>
          <t>Jyothsna Nanda kishore</t>
        </is>
      </c>
      <c r="Y31" t="inlineStr">
        <is>
          <t>2025-08-01</t>
        </is>
      </c>
      <c r="Z31" t="inlineStr">
        <is>
          <t>https://app.hubspot.com/contacts/243046792/record/0-3/135506178796</t>
        </is>
      </c>
    </row>
    <row r="32">
      <c r="A32" t="n">
        <v>31</v>
      </c>
      <c r="B32" t="inlineStr">
        <is>
          <t>137470794434</t>
        </is>
      </c>
      <c r="C32" t="inlineStr">
        <is>
          <t>BD-26-1274-TAOFF-TAOFF-119023</t>
        </is>
      </c>
      <c r="D32" t="inlineStr">
        <is>
          <t>RFP - IT Support Services</t>
        </is>
      </c>
      <c r="E32" t="inlineStr">
        <is>
          <t>TOWN OF GRAFTON, OFFICE OF THE TOWN ADMINISTRATOR</t>
        </is>
      </c>
      <c r="F32" t="inlineStr">
        <is>
          <t>Massachusetts</t>
        </is>
      </c>
      <c r="G32" t="inlineStr">
        <is>
          <t>Closed Lost</t>
        </is>
      </c>
      <c r="H32" t="inlineStr">
        <is>
          <t>No</t>
        </is>
      </c>
      <c r="J32" s="96" t="n">
        <v>45975</v>
      </c>
      <c r="K32" s="96" t="n">
        <v>45885</v>
      </c>
      <c r="O32" t="inlineStr">
        <is>
          <t>Jyothsna Nanda kishore</t>
        </is>
      </c>
      <c r="Y32" t="inlineStr">
        <is>
          <t>2025-08-06</t>
        </is>
      </c>
      <c r="Z32" t="inlineStr">
        <is>
          <t>https://app.hubspot.com/contacts/243046792/record/0-3/137470794434</t>
        </is>
      </c>
    </row>
    <row r="33">
      <c r="A33" t="n">
        <v>32</v>
      </c>
      <c r="B33" t="inlineStr">
        <is>
          <t>129524913852</t>
        </is>
      </c>
      <c r="C33" t="inlineStr">
        <is>
          <t>2124952</t>
        </is>
      </c>
      <c r="D33" t="inlineStr">
        <is>
          <t>Broadcom CA ESP dSeries Workload Automation Migration</t>
        </is>
      </c>
      <c r="E33" t="inlineStr">
        <is>
          <t>New York State Office of the State Comptroller</t>
        </is>
      </c>
      <c r="F33" t="inlineStr">
        <is>
          <t>New York</t>
        </is>
      </c>
      <c r="G33" t="inlineStr">
        <is>
          <t>Closed Lost</t>
        </is>
      </c>
      <c r="H33" t="inlineStr">
        <is>
          <t>Yes</t>
        </is>
      </c>
      <c r="I33" t="inlineStr">
        <is>
          <t>Interview</t>
        </is>
      </c>
      <c r="J33" s="96" t="n">
        <v>46182</v>
      </c>
      <c r="K33" s="96" t="n">
        <v>45887</v>
      </c>
      <c r="L33" s="65" t="n">
        <v>126200</v>
      </c>
      <c r="M33" t="inlineStr">
        <is>
          <t>Modernization / Migration</t>
        </is>
      </c>
      <c r="N33" t="inlineStr">
        <is>
          <t>Email</t>
        </is>
      </c>
      <c r="O33" t="inlineStr">
        <is>
          <t>Madhav Mitruka</t>
        </is>
      </c>
      <c r="P33" t="inlineStr">
        <is>
          <t>Interview Scheduled</t>
        </is>
      </c>
      <c r="Q33" t="inlineStr">
        <is>
          <t>2025-10-23</t>
        </is>
      </c>
      <c r="Y33" t="inlineStr">
        <is>
          <t>2025-07-28</t>
        </is>
      </c>
      <c r="Z33" t="inlineStr">
        <is>
          <t>https://app.hubspot.com/contacts/243046792/record/0-3/129524913852</t>
        </is>
      </c>
      <c r="AA33" t="inlineStr">
        <is>
          <t>Yes</t>
        </is>
      </c>
    </row>
    <row r="34">
      <c r="A34" t="n">
        <v>33</v>
      </c>
      <c r="B34" t="inlineStr">
        <is>
          <t>122926374597</t>
        </is>
      </c>
      <c r="D34" t="inlineStr">
        <is>
          <t>Managed IT Services</t>
        </is>
      </c>
      <c r="E34" t="inlineStr">
        <is>
          <t>City of Sultan</t>
        </is>
      </c>
      <c r="F34" t="inlineStr">
        <is>
          <t>Washington</t>
        </is>
      </c>
      <c r="G34" t="inlineStr">
        <is>
          <t>Closed Lost</t>
        </is>
      </c>
      <c r="H34" t="inlineStr">
        <is>
          <t>Yes</t>
        </is>
      </c>
      <c r="I34" t="inlineStr">
        <is>
          <t>Interview</t>
        </is>
      </c>
      <c r="J34" s="96" t="n">
        <v>45999</v>
      </c>
      <c r="K34" s="96" t="n">
        <v>45889</v>
      </c>
      <c r="M34" t="inlineStr">
        <is>
          <t>Managed Services (MSP)</t>
        </is>
      </c>
      <c r="O34" t="inlineStr">
        <is>
          <t>Madhav Mitruka</t>
        </is>
      </c>
      <c r="P34" t="inlineStr">
        <is>
          <t>Interview Scheduled</t>
        </is>
      </c>
      <c r="Q34" t="inlineStr">
        <is>
          <t>2025-09-17</t>
        </is>
      </c>
      <c r="Y34" t="inlineStr">
        <is>
          <t>2025-07-18</t>
        </is>
      </c>
      <c r="Z34" t="inlineStr">
        <is>
          <t>https://app.hubspot.com/contacts/243046792/record/0-3/122926374597</t>
        </is>
      </c>
    </row>
    <row r="35">
      <c r="A35" t="n">
        <v>34</v>
      </c>
      <c r="B35" t="inlineStr">
        <is>
          <t>137207253716</t>
        </is>
      </c>
      <c r="C35" t="inlineStr">
        <is>
          <t>SRC0000032957</t>
        </is>
      </c>
      <c r="D35" t="inlineStr">
        <is>
          <t>Peoplesoft Managed Services</t>
        </is>
      </c>
      <c r="E35" t="inlineStr">
        <is>
          <t>Ohio Department of Taxation</t>
        </is>
      </c>
      <c r="F35" t="inlineStr">
        <is>
          <t>Ohio</t>
        </is>
      </c>
      <c r="G35" t="inlineStr">
        <is>
          <t>Closed Lost</t>
        </is>
      </c>
      <c r="H35" t="inlineStr">
        <is>
          <t>No</t>
        </is>
      </c>
      <c r="J35" s="96" t="n">
        <v>45960</v>
      </c>
      <c r="K35" s="96" t="n">
        <v>45890</v>
      </c>
      <c r="L35" s="65" t="n">
        <v>47400</v>
      </c>
      <c r="M35" t="inlineStr">
        <is>
          <t>Managed Services (MSP)</t>
        </is>
      </c>
      <c r="N35" t="inlineStr">
        <is>
          <t>Portal</t>
        </is>
      </c>
      <c r="O35" t="inlineStr">
        <is>
          <t>Madhav Mitruka</t>
        </is>
      </c>
      <c r="Y35" t="inlineStr">
        <is>
          <t>2025-08-06</t>
        </is>
      </c>
      <c r="Z35" t="inlineStr">
        <is>
          <t>https://app.hubspot.com/contacts/243046792/record/0-3/137207253716</t>
        </is>
      </c>
    </row>
    <row r="36">
      <c r="A36" t="n">
        <v>35</v>
      </c>
      <c r="B36" t="inlineStr">
        <is>
          <t>142119196407</t>
        </is>
      </c>
      <c r="D36" t="inlineStr">
        <is>
          <t>Information Technology Consulting and Support| Tahoe</t>
        </is>
      </c>
      <c r="E36" t="inlineStr">
        <is>
          <t>Tahoe Transportation District</t>
        </is>
      </c>
      <c r="F36" t="inlineStr">
        <is>
          <t>Nevada</t>
        </is>
      </c>
      <c r="G36" t="inlineStr">
        <is>
          <t>Closed Lost</t>
        </is>
      </c>
      <c r="H36" t="inlineStr">
        <is>
          <t>No</t>
        </is>
      </c>
      <c r="J36" s="96" t="n">
        <v>45936</v>
      </c>
      <c r="K36" s="96" t="n">
        <v>45891</v>
      </c>
      <c r="L36" s="65" t="n">
        <v>318549</v>
      </c>
      <c r="M36" t="inlineStr">
        <is>
          <t>Managed Services (MSP)</t>
        </is>
      </c>
      <c r="O36" t="inlineStr">
        <is>
          <t>Madhav Mitruka</t>
        </is>
      </c>
      <c r="Y36" t="inlineStr">
        <is>
          <t>2025-08-14</t>
        </is>
      </c>
      <c r="Z36" t="inlineStr">
        <is>
          <t>https://app.hubspot.com/contacts/243046792/record/0-3/142119196407</t>
        </is>
      </c>
    </row>
    <row r="37">
      <c r="A37" t="n">
        <v>36</v>
      </c>
      <c r="B37" t="inlineStr">
        <is>
          <t>137470794439</t>
        </is>
      </c>
      <c r="C37" t="inlineStr">
        <is>
          <t>ITS-001-26</t>
        </is>
      </c>
      <c r="D37" t="inlineStr">
        <is>
          <t>HIPAA Privacy &amp; Security Assessment</t>
        </is>
      </c>
      <c r="E37" t="inlineStr">
        <is>
          <t>Boston Public Health Commission</t>
        </is>
      </c>
      <c r="F37" t="inlineStr">
        <is>
          <t>Massachusetts</t>
        </is>
      </c>
      <c r="G37" t="inlineStr">
        <is>
          <t>Closed Lost</t>
        </is>
      </c>
      <c r="H37" t="inlineStr">
        <is>
          <t>No</t>
        </is>
      </c>
      <c r="J37" s="96" t="n">
        <v>45972</v>
      </c>
      <c r="K37" s="96" t="n">
        <v>45891</v>
      </c>
      <c r="L37" s="65" t="n">
        <v>56300</v>
      </c>
      <c r="M37" t="inlineStr">
        <is>
          <t>Consulting</t>
        </is>
      </c>
      <c r="N37" t="inlineStr">
        <is>
          <t>Email</t>
        </is>
      </c>
      <c r="O37" t="inlineStr">
        <is>
          <t>Jyothsna Nanda kishore</t>
        </is>
      </c>
      <c r="Y37" t="inlineStr">
        <is>
          <t>2025-08-06</t>
        </is>
      </c>
      <c r="Z37" t="inlineStr">
        <is>
          <t>https://app.hubspot.com/contacts/243046792/record/0-3/137470794439</t>
        </is>
      </c>
    </row>
    <row r="38">
      <c r="A38" t="n">
        <v>37</v>
      </c>
      <c r="B38" t="inlineStr">
        <is>
          <t>141008904946</t>
        </is>
      </c>
      <c r="C38" t="inlineStr">
        <is>
          <t>AD-25-RFP-2027</t>
        </is>
      </c>
      <c r="D38" t="inlineStr">
        <is>
          <t>IT Outsourced Help Desk and Infrastructure</t>
        </is>
      </c>
      <c r="E38" t="inlineStr">
        <is>
          <t>Housing Authority of the City of New Haven d/b/a Elm City Communities (ECC)</t>
        </is>
      </c>
      <c r="F38" t="inlineStr">
        <is>
          <t>Connecticut</t>
        </is>
      </c>
      <c r="G38" t="inlineStr">
        <is>
          <t>Closed Lost</t>
        </is>
      </c>
      <c r="H38" t="inlineStr">
        <is>
          <t>Yes</t>
        </is>
      </c>
      <c r="I38" t="inlineStr">
        <is>
          <t>Interview</t>
        </is>
      </c>
      <c r="J38" s="96" t="n">
        <v>45979</v>
      </c>
      <c r="K38" s="96" t="n">
        <v>45891</v>
      </c>
      <c r="L38" s="65" t="n">
        <v>3200000</v>
      </c>
      <c r="N38" t="inlineStr">
        <is>
          <t>Portal</t>
        </is>
      </c>
      <c r="O38" t="inlineStr">
        <is>
          <t>Madhav Mitruka</t>
        </is>
      </c>
      <c r="P38" t="inlineStr">
        <is>
          <t>Interview Scheduled</t>
        </is>
      </c>
      <c r="Q38" t="inlineStr">
        <is>
          <t>2025-10-16</t>
        </is>
      </c>
      <c r="Y38" t="inlineStr">
        <is>
          <t>2025-08-13</t>
        </is>
      </c>
      <c r="Z38" t="inlineStr">
        <is>
          <t>https://app.hubspot.com/contacts/243046792/record/0-3/141008904946</t>
        </is>
      </c>
    </row>
    <row r="39">
      <c r="A39" t="n">
        <v>38</v>
      </c>
      <c r="B39" t="inlineStr">
        <is>
          <t>135506180801</t>
        </is>
      </c>
      <c r="C39" t="inlineStr">
        <is>
          <t>RFP 25-HR-001</t>
        </is>
      </c>
      <c r="D39" t="inlineStr">
        <is>
          <t>HR Civil Service Records Management System</t>
        </is>
      </c>
      <c r="E39" t="inlineStr">
        <is>
          <t>County of Oswego</t>
        </is>
      </c>
      <c r="F39" t="inlineStr">
        <is>
          <t>New York</t>
        </is>
      </c>
      <c r="G39" t="inlineStr">
        <is>
          <t>Closed Lost</t>
        </is>
      </c>
      <c r="H39" t="inlineStr">
        <is>
          <t>No</t>
        </is>
      </c>
      <c r="J39" s="96" t="n">
        <v>45944</v>
      </c>
      <c r="K39" s="96" t="n">
        <v>45896</v>
      </c>
      <c r="L39" s="65" t="n">
        <v>320760</v>
      </c>
      <c r="N39" t="inlineStr">
        <is>
          <t>Portal</t>
        </is>
      </c>
      <c r="O39" t="inlineStr">
        <is>
          <t>Jyothsna Nanda kishore</t>
        </is>
      </c>
      <c r="Y39" t="inlineStr">
        <is>
          <t>2025-08-01</t>
        </is>
      </c>
      <c r="Z39" t="inlineStr">
        <is>
          <t>https://app.hubspot.com/contacts/243046792/record/0-3/135506180801</t>
        </is>
      </c>
    </row>
    <row r="40">
      <c r="A40" t="n">
        <v>39</v>
      </c>
      <c r="B40" t="inlineStr">
        <is>
          <t>137815198453</t>
        </is>
      </c>
      <c r="C40" t="inlineStr">
        <is>
          <t>RFP No. FIN0825-001</t>
        </is>
      </c>
      <c r="D40" t="inlineStr">
        <is>
          <t>Municipal Water District of Orange County (MWDOC) Enterprise Planning Resource (ERP) System Architecture and Configuration (RFP No. FIN0825-001)</t>
        </is>
      </c>
      <c r="E40" t="inlineStr">
        <is>
          <t>Municipal Water District of Orange County (MWDOC)</t>
        </is>
      </c>
      <c r="F40" t="inlineStr">
        <is>
          <t>California</t>
        </is>
      </c>
      <c r="G40" t="inlineStr">
        <is>
          <t>Closed Won</t>
        </is>
      </c>
      <c r="H40" t="inlineStr">
        <is>
          <t>Yes</t>
        </is>
      </c>
      <c r="I40" t="inlineStr">
        <is>
          <t>Interview</t>
        </is>
      </c>
      <c r="J40" s="96" t="n">
        <v>45936</v>
      </c>
      <c r="K40" s="96" t="n">
        <v>45905</v>
      </c>
      <c r="L40" s="65" t="n">
        <v>90000</v>
      </c>
      <c r="M40" t="inlineStr">
        <is>
          <t>Platform Implementation (ERP, CRMs)</t>
        </is>
      </c>
      <c r="N40" t="inlineStr">
        <is>
          <t>Email</t>
        </is>
      </c>
      <c r="O40" t="inlineStr">
        <is>
          <t>Madhav Mitruka</t>
        </is>
      </c>
      <c r="P40" t="inlineStr">
        <is>
          <t>Interview Scheduled</t>
        </is>
      </c>
      <c r="Q40" t="inlineStr">
        <is>
          <t>2025-09-17</t>
        </is>
      </c>
      <c r="S40" t="inlineStr">
        <is>
          <t>2025-10-13</t>
        </is>
      </c>
      <c r="U40" s="96" t="n">
        <v>45972</v>
      </c>
      <c r="V40" t="inlineStr">
        <is>
          <t>In Process</t>
        </is>
      </c>
      <c r="Y40" t="inlineStr">
        <is>
          <t>2025-08-06</t>
        </is>
      </c>
      <c r="Z40" t="inlineStr">
        <is>
          <t>https://app.hubspot.com/contacts/243046792/record/0-3/137815198453</t>
        </is>
      </c>
      <c r="AA40" t="inlineStr">
        <is>
          <t>Yes</t>
        </is>
      </c>
    </row>
    <row r="41">
      <c r="A41" t="n">
        <v>40</v>
      </c>
      <c r="B41" t="inlineStr">
        <is>
          <t>140837167831</t>
        </is>
      </c>
      <c r="C41" t="inlineStr">
        <is>
          <t xml:space="preserve"> PCS25-004RFP</t>
        </is>
      </c>
      <c r="D41" t="inlineStr">
        <is>
          <t>Workday Student Implementation Project Support Portland Community College</t>
        </is>
      </c>
      <c r="E41" t="inlineStr">
        <is>
          <t>Portland Community College</t>
        </is>
      </c>
      <c r="F41" t="inlineStr">
        <is>
          <t>Oregon</t>
        </is>
      </c>
      <c r="G41" t="inlineStr">
        <is>
          <t>RFx Cancelled</t>
        </is>
      </c>
      <c r="H41" t="inlineStr">
        <is>
          <t>No</t>
        </is>
      </c>
      <c r="J41" s="96" t="n">
        <v>46031</v>
      </c>
      <c r="K41" s="96" t="n">
        <v>45905</v>
      </c>
      <c r="L41" s="65" t="n">
        <v>278144</v>
      </c>
      <c r="M41" t="inlineStr">
        <is>
          <t>Platform Implementation (ERP, CRMs)</t>
        </is>
      </c>
      <c r="N41" t="inlineStr">
        <is>
          <t>Portal</t>
        </is>
      </c>
      <c r="O41" t="inlineStr">
        <is>
          <t>Jyothsna Nanda kishore</t>
        </is>
      </c>
      <c r="Y41" t="inlineStr">
        <is>
          <t>2025-08-12</t>
        </is>
      </c>
      <c r="Z41" t="inlineStr">
        <is>
          <t>https://app.hubspot.com/contacts/243046792/record/0-3/140837167831</t>
        </is>
      </c>
    </row>
    <row r="42">
      <c r="A42" t="n">
        <v>41</v>
      </c>
      <c r="B42" t="inlineStr">
        <is>
          <t>144659633851</t>
        </is>
      </c>
      <c r="C42" t="inlineStr">
        <is>
          <t>RFQ1777899S</t>
        </is>
      </c>
      <c r="D42" t="inlineStr">
        <is>
          <t>REISSED- G0014 Enterprise Service Bus (ESB) Integration Modernization Project</t>
        </is>
      </c>
      <c r="E42" t="inlineStr">
        <is>
          <t>New York City Department of Education (NYCDOE)</t>
        </is>
      </c>
      <c r="F42" t="inlineStr">
        <is>
          <t>New York</t>
        </is>
      </c>
      <c r="G42" t="inlineStr">
        <is>
          <t>Closed Lost</t>
        </is>
      </c>
      <c r="H42" t="inlineStr">
        <is>
          <t>No</t>
        </is>
      </c>
      <c r="J42" s="96" t="n">
        <v>46163</v>
      </c>
      <c r="K42" s="96" t="n">
        <v>45908</v>
      </c>
      <c r="N42" t="inlineStr">
        <is>
          <t>Email</t>
        </is>
      </c>
      <c r="O42" t="inlineStr">
        <is>
          <t>Madhav Mitruka</t>
        </is>
      </c>
      <c r="Y42" t="inlineStr">
        <is>
          <t>2025-08-22</t>
        </is>
      </c>
      <c r="Z42" t="inlineStr">
        <is>
          <t>https://app.hubspot.com/contacts/243046792/record/0-3/144659633851</t>
        </is>
      </c>
    </row>
    <row r="43">
      <c r="A43" t="n">
        <v>42</v>
      </c>
      <c r="B43" t="inlineStr">
        <is>
          <t>155752318681</t>
        </is>
      </c>
      <c r="C43" t="inlineStr">
        <is>
          <t>2026-018</t>
        </is>
      </c>
      <c r="D43" t="inlineStr">
        <is>
          <t>RFP 2026-018 VMware Managed Services</t>
        </is>
      </c>
      <c r="E43" t="inlineStr">
        <is>
          <t>University of Maine System</t>
        </is>
      </c>
      <c r="F43" t="inlineStr">
        <is>
          <t>Maine</t>
        </is>
      </c>
      <c r="G43" t="inlineStr">
        <is>
          <t>Closed Lost</t>
        </is>
      </c>
      <c r="H43" t="inlineStr">
        <is>
          <t>No</t>
        </is>
      </c>
      <c r="J43" s="96" t="n">
        <v>45975</v>
      </c>
      <c r="K43" s="96" t="n">
        <v>45911</v>
      </c>
      <c r="O43" t="inlineStr">
        <is>
          <t>Jyothsna Nanda kishore</t>
        </is>
      </c>
      <c r="Y43" t="inlineStr">
        <is>
          <t>2025-09-04</t>
        </is>
      </c>
      <c r="Z43" t="inlineStr">
        <is>
          <t>https://app.hubspot.com/contacts/243046792/record/0-3/155752318681</t>
        </is>
      </c>
    </row>
    <row r="44">
      <c r="A44" t="n">
        <v>43</v>
      </c>
      <c r="B44" t="inlineStr">
        <is>
          <t>142160624331</t>
        </is>
      </c>
      <c r="C44" t="inlineStr">
        <is>
          <t>RFP194982</t>
        </is>
      </c>
      <c r="D44" t="inlineStr">
        <is>
          <t>Customer Program Tracking and Management Platform</t>
        </is>
      </c>
      <c r="E44" t="inlineStr">
        <is>
          <t>City of Palo Alto</t>
        </is>
      </c>
      <c r="F44" t="inlineStr">
        <is>
          <t>California</t>
        </is>
      </c>
      <c r="G44" t="inlineStr">
        <is>
          <t>Closed Lost</t>
        </is>
      </c>
      <c r="H44" t="inlineStr">
        <is>
          <t>No</t>
        </is>
      </c>
      <c r="J44" s="96" t="n">
        <v>45993</v>
      </c>
      <c r="K44" s="96" t="n">
        <v>45911</v>
      </c>
      <c r="L44" s="65" t="n">
        <v>1095180</v>
      </c>
      <c r="M44" t="inlineStr">
        <is>
          <t>Platform Implementation (ERP, CRMs)</t>
        </is>
      </c>
      <c r="N44" t="inlineStr">
        <is>
          <t>Portal</t>
        </is>
      </c>
      <c r="O44" t="inlineStr">
        <is>
          <t>Ashutosh Chauhan</t>
        </is>
      </c>
      <c r="Y44" t="inlineStr">
        <is>
          <t>2025-08-14</t>
        </is>
      </c>
      <c r="Z44" t="inlineStr">
        <is>
          <t>https://app.hubspot.com/contacts/243046792/record/0-3/142160624331</t>
        </is>
      </c>
    </row>
    <row r="45">
      <c r="A45" t="n">
        <v>44</v>
      </c>
      <c r="B45" t="inlineStr">
        <is>
          <t>128661476072</t>
        </is>
      </c>
      <c r="C45" t="inlineStr">
        <is>
          <t>2025-RFP-003</t>
        </is>
      </c>
      <c r="D45" t="inlineStr">
        <is>
          <t>Enterprise Database Management Software Solution</t>
        </is>
      </c>
      <c r="E45" t="inlineStr">
        <is>
          <t>Neoride</t>
        </is>
      </c>
      <c r="F45" t="inlineStr">
        <is>
          <t>Ohio</t>
        </is>
      </c>
      <c r="G45" t="inlineStr">
        <is>
          <t>Closed Lost</t>
        </is>
      </c>
      <c r="H45" t="inlineStr">
        <is>
          <t>No</t>
        </is>
      </c>
      <c r="J45" s="96" t="n">
        <v>45938</v>
      </c>
      <c r="K45" s="96" t="n">
        <v>45912</v>
      </c>
      <c r="L45" s="65" t="n">
        <v>385000</v>
      </c>
      <c r="M45" t="inlineStr">
        <is>
          <t>Managed Services (MSP)</t>
        </is>
      </c>
      <c r="N45" t="inlineStr">
        <is>
          <t>Portal</t>
        </is>
      </c>
      <c r="O45" t="inlineStr">
        <is>
          <t>Madhav Mitruka</t>
        </is>
      </c>
      <c r="Y45" t="inlineStr">
        <is>
          <t>2025-07-24</t>
        </is>
      </c>
      <c r="Z45" t="inlineStr">
        <is>
          <t>https://app.hubspot.com/contacts/243046792/record/0-3/128661476072</t>
        </is>
      </c>
    </row>
    <row r="46">
      <c r="A46" t="n">
        <v>45</v>
      </c>
      <c r="B46" t="inlineStr">
        <is>
          <t>145653736145</t>
        </is>
      </c>
      <c r="D46" t="inlineStr">
        <is>
          <t>Information Technology Managed Services</t>
        </is>
      </c>
      <c r="E46" t="inlineStr">
        <is>
          <t>North Tahoe Public Utility District</t>
        </is>
      </c>
      <c r="F46" t="inlineStr">
        <is>
          <t>California</t>
        </is>
      </c>
      <c r="G46" t="inlineStr">
        <is>
          <t>Closed Lost</t>
        </is>
      </c>
      <c r="H46" t="inlineStr">
        <is>
          <t>No</t>
        </is>
      </c>
      <c r="J46" s="96" t="n">
        <v>45943</v>
      </c>
      <c r="K46" s="96" t="n">
        <v>45912</v>
      </c>
      <c r="M46" t="inlineStr">
        <is>
          <t>Managed Services (MSP)</t>
        </is>
      </c>
      <c r="N46" t="inlineStr">
        <is>
          <t>Email</t>
        </is>
      </c>
      <c r="O46" t="inlineStr">
        <is>
          <t>Madhav Mitruka</t>
        </is>
      </c>
      <c r="Y46" t="inlineStr">
        <is>
          <t>2025-08-25</t>
        </is>
      </c>
      <c r="Z46" t="inlineStr">
        <is>
          <t>https://app.hubspot.com/contacts/243046792/record/0-3/145653736145</t>
        </is>
      </c>
    </row>
    <row r="47">
      <c r="A47" t="n">
        <v>46</v>
      </c>
      <c r="B47" t="inlineStr">
        <is>
          <t>155021639360</t>
        </is>
      </c>
      <c r="D47" t="inlineStr">
        <is>
          <t>IT and Cybersecurity</t>
        </is>
      </c>
      <c r="E47" t="inlineStr">
        <is>
          <t>City of Mary Esther</t>
        </is>
      </c>
      <c r="F47" t="inlineStr">
        <is>
          <t>Florida</t>
        </is>
      </c>
      <c r="G47" t="inlineStr">
        <is>
          <t>Closed Lost</t>
        </is>
      </c>
      <c r="H47" t="inlineStr">
        <is>
          <t>No</t>
        </is>
      </c>
      <c r="J47" s="96" t="n">
        <v>46001</v>
      </c>
      <c r="K47" s="96" t="n">
        <v>45912</v>
      </c>
      <c r="O47" t="inlineStr">
        <is>
          <t>Jyothsna Nanda kishore</t>
        </is>
      </c>
      <c r="Y47" t="inlineStr">
        <is>
          <t>2025-09-03</t>
        </is>
      </c>
      <c r="Z47" t="inlineStr">
        <is>
          <t>https://app.hubspot.com/contacts/243046792/record/0-3/155021639360</t>
        </is>
      </c>
    </row>
    <row r="48">
      <c r="A48" t="n">
        <v>47</v>
      </c>
      <c r="B48" t="inlineStr">
        <is>
          <t>140837204686</t>
        </is>
      </c>
      <c r="D48" t="inlineStr">
        <is>
          <t>ERP Software Needs Analysis</t>
        </is>
      </c>
      <c r="E48" t="inlineStr">
        <is>
          <t>Town of Mooresville</t>
        </is>
      </c>
      <c r="F48" t="inlineStr">
        <is>
          <t>North Carolina</t>
        </is>
      </c>
      <c r="G48" t="inlineStr">
        <is>
          <t>Closed Lost</t>
        </is>
      </c>
      <c r="H48" t="inlineStr">
        <is>
          <t>No</t>
        </is>
      </c>
      <c r="J48" s="96" t="n">
        <v>46036</v>
      </c>
      <c r="K48" s="96" t="n">
        <v>45915</v>
      </c>
      <c r="M48" t="inlineStr">
        <is>
          <t>Consulting</t>
        </is>
      </c>
      <c r="O48" t="inlineStr">
        <is>
          <t>Madhav Mitruka</t>
        </is>
      </c>
      <c r="Y48" t="inlineStr">
        <is>
          <t>2025-08-12</t>
        </is>
      </c>
      <c r="Z48" t="inlineStr">
        <is>
          <t>https://app.hubspot.com/contacts/243046792/record/0-3/140837204686</t>
        </is>
      </c>
    </row>
    <row r="49">
      <c r="A49" t="n">
        <v>48</v>
      </c>
      <c r="B49" t="inlineStr">
        <is>
          <t>134489494217</t>
        </is>
      </c>
      <c r="D49" t="inlineStr">
        <is>
          <t>Florida Department of Management Services - Prequalification for Information Technology Staff Augmentation Services (Supplemental) 2025</t>
        </is>
      </c>
      <c r="E49" t="inlineStr">
        <is>
          <t>Florida Department of Management Services</t>
        </is>
      </c>
      <c r="F49" t="inlineStr">
        <is>
          <t>Florida</t>
        </is>
      </c>
      <c r="G49" t="inlineStr">
        <is>
          <t>Closed Won</t>
        </is>
      </c>
      <c r="H49" t="inlineStr">
        <is>
          <t>No</t>
        </is>
      </c>
      <c r="J49" s="96" t="n">
        <v>45932</v>
      </c>
      <c r="K49" s="96" t="n">
        <v>45916</v>
      </c>
      <c r="M49" t="inlineStr">
        <is>
          <t>Staff Augmentation</t>
        </is>
      </c>
      <c r="N49" t="inlineStr">
        <is>
          <t>Portal</t>
        </is>
      </c>
      <c r="O49" t="inlineStr">
        <is>
          <t>Madhav Mitruka</t>
        </is>
      </c>
      <c r="S49" t="inlineStr">
        <is>
          <t>2025-09-16</t>
        </is>
      </c>
      <c r="U49" s="96" t="n">
        <v>46049</v>
      </c>
      <c r="Y49" t="inlineStr">
        <is>
          <t>2025-07-30</t>
        </is>
      </c>
      <c r="Z49" t="inlineStr">
        <is>
          <t>https://app.hubspot.com/contacts/243046792/record/0-3/134489494217</t>
        </is>
      </c>
      <c r="AA49" t="inlineStr">
        <is>
          <t>No</t>
        </is>
      </c>
    </row>
    <row r="50">
      <c r="A50" t="n">
        <v>49</v>
      </c>
      <c r="B50" t="inlineStr">
        <is>
          <t>137152430816</t>
        </is>
      </c>
      <c r="C50" t="inlineStr">
        <is>
          <t>25-551HDA-INFOT-B-48408</t>
        </is>
      </c>
      <c r="D50" t="inlineStr">
        <is>
          <t>Managed Database Services</t>
        </is>
      </c>
      <c r="E50" t="inlineStr">
        <is>
          <t>Illinois Housing Development Authority</t>
        </is>
      </c>
      <c r="F50" t="inlineStr">
        <is>
          <t>Illinois</t>
        </is>
      </c>
      <c r="G50" t="inlineStr">
        <is>
          <t>Closed Lost</t>
        </is>
      </c>
      <c r="H50" t="inlineStr">
        <is>
          <t>No</t>
        </is>
      </c>
      <c r="J50" s="96" t="n">
        <v>45943</v>
      </c>
      <c r="K50" s="96" t="n">
        <v>45918</v>
      </c>
      <c r="L50" s="65" t="n">
        <v>800000</v>
      </c>
      <c r="N50" t="inlineStr">
        <is>
          <t>Portal</t>
        </is>
      </c>
      <c r="O50" t="inlineStr">
        <is>
          <t>Madhav Mitruka</t>
        </is>
      </c>
      <c r="Y50" t="inlineStr">
        <is>
          <t>2025-08-05</t>
        </is>
      </c>
      <c r="Z50" t="inlineStr">
        <is>
          <t>https://app.hubspot.com/contacts/243046792/record/0-3/137152430816</t>
        </is>
      </c>
    </row>
    <row r="51">
      <c r="A51" t="n">
        <v>50</v>
      </c>
      <c r="B51" t="inlineStr">
        <is>
          <t>156444965596</t>
        </is>
      </c>
      <c r="D51" t="inlineStr">
        <is>
          <t>Update of Oracle PBCS for New Classification and Compensation Structure Integration</t>
        </is>
      </c>
      <c r="E51" t="inlineStr">
        <is>
          <t>City of Raleigh</t>
        </is>
      </c>
      <c r="F51" t="inlineStr">
        <is>
          <t>North Carolina</t>
        </is>
      </c>
      <c r="G51" t="inlineStr">
        <is>
          <t>RFx Cancelled</t>
        </is>
      </c>
      <c r="H51" t="inlineStr">
        <is>
          <t>No</t>
        </is>
      </c>
      <c r="J51" s="96" t="n">
        <v>45964</v>
      </c>
      <c r="K51" s="96" t="n">
        <v>45918</v>
      </c>
      <c r="N51" t="inlineStr">
        <is>
          <t>Email</t>
        </is>
      </c>
      <c r="O51" t="inlineStr">
        <is>
          <t>Jyothsna Nanda kishore</t>
        </is>
      </c>
      <c r="Y51" t="inlineStr">
        <is>
          <t>2025-09-08</t>
        </is>
      </c>
      <c r="Z51" t="inlineStr">
        <is>
          <t>https://app.hubspot.com/contacts/243046792/record/0-3/156444965596</t>
        </is>
      </c>
    </row>
    <row r="52">
      <c r="A52" t="n">
        <v>51</v>
      </c>
      <c r="B52" t="inlineStr">
        <is>
          <t>144653136611</t>
        </is>
      </c>
      <c r="D52" t="inlineStr">
        <is>
          <t>Western Municipal Water District - Data Solution Design, Build &amp; Implementation, Western Municipal Water District (Western Water)</t>
        </is>
      </c>
      <c r="E52" t="inlineStr">
        <is>
          <t xml:space="preserve">Western Municipal Water District </t>
        </is>
      </c>
      <c r="F52" t="inlineStr">
        <is>
          <t>California</t>
        </is>
      </c>
      <c r="G52" t="inlineStr">
        <is>
          <t>Closed Won</t>
        </is>
      </c>
      <c r="H52" t="inlineStr">
        <is>
          <t>No</t>
        </is>
      </c>
      <c r="J52" s="96" t="n">
        <v>46009</v>
      </c>
      <c r="K52" s="96" t="n">
        <v>45918</v>
      </c>
      <c r="L52" s="65" t="n">
        <v>143460</v>
      </c>
      <c r="M52" t="inlineStr">
        <is>
          <t>Modernization / Migration</t>
        </is>
      </c>
      <c r="N52" t="inlineStr">
        <is>
          <t>Portal</t>
        </is>
      </c>
      <c r="O52" t="inlineStr">
        <is>
          <t>Jyothsna Nanda kishore</t>
        </is>
      </c>
      <c r="S52" t="inlineStr">
        <is>
          <t>2025-11-18</t>
        </is>
      </c>
      <c r="U52" s="96" t="n">
        <v>45973</v>
      </c>
      <c r="V52" t="inlineStr">
        <is>
          <t>In Process</t>
        </is>
      </c>
      <c r="Y52" t="inlineStr">
        <is>
          <t>2025-08-22</t>
        </is>
      </c>
      <c r="Z52" t="inlineStr">
        <is>
          <t>https://app.hubspot.com/contacts/243046792/record/0-3/144653136611</t>
        </is>
      </c>
      <c r="AA52" t="inlineStr">
        <is>
          <t>Yes</t>
        </is>
      </c>
    </row>
    <row r="53">
      <c r="A53" t="n">
        <v>52</v>
      </c>
      <c r="B53" t="inlineStr">
        <is>
          <t>141029722846</t>
        </is>
      </c>
      <c r="C53" t="inlineStr">
        <is>
          <t xml:space="preserve">RFP_F-Contr-0000000117 </t>
        </is>
      </c>
      <c r="D53" t="inlineStr">
        <is>
          <t>Workday Managed Services</t>
        </is>
      </c>
      <c r="E53" t="inlineStr">
        <is>
          <t>Contra Costa County</t>
        </is>
      </c>
      <c r="F53" t="inlineStr">
        <is>
          <t>California</t>
        </is>
      </c>
      <c r="G53" t="inlineStr">
        <is>
          <t>Closed Lost</t>
        </is>
      </c>
      <c r="H53" t="inlineStr">
        <is>
          <t>No</t>
        </is>
      </c>
      <c r="J53" s="96" t="n">
        <v>46093</v>
      </c>
      <c r="K53" s="96" t="n">
        <v>45919</v>
      </c>
      <c r="L53" s="65" t="n">
        <v>192500</v>
      </c>
      <c r="M53" t="inlineStr">
        <is>
          <t>Managed Services (MSP)</t>
        </is>
      </c>
      <c r="N53" t="inlineStr">
        <is>
          <t>Portal</t>
        </is>
      </c>
      <c r="O53" t="inlineStr">
        <is>
          <t>Madhav Mitruka</t>
        </is>
      </c>
      <c r="Y53" t="inlineStr">
        <is>
          <t>2025-08-12</t>
        </is>
      </c>
      <c r="Z53" t="inlineStr">
        <is>
          <t>https://app.hubspot.com/contacts/243046792/record/0-3/141029722846</t>
        </is>
      </c>
    </row>
    <row r="54">
      <c r="A54" t="n">
        <v>53</v>
      </c>
      <c r="B54" t="inlineStr">
        <is>
          <t>159502266096</t>
        </is>
      </c>
      <c r="C54" t="inlineStr">
        <is>
          <t>RFQ1771489</t>
        </is>
      </c>
      <c r="D54" t="inlineStr">
        <is>
          <t>Airframe Forecasting Dashboard A.I. Tool</t>
        </is>
      </c>
      <c r="G54" t="inlineStr">
        <is>
          <t>Closed Lost</t>
        </is>
      </c>
      <c r="H54" t="inlineStr">
        <is>
          <t>No</t>
        </is>
      </c>
      <c r="J54" s="96" t="n">
        <v>45932</v>
      </c>
      <c r="K54" s="96" t="n">
        <v>45922</v>
      </c>
      <c r="L54" s="65" t="n">
        <v>52140</v>
      </c>
      <c r="O54" t="inlineStr">
        <is>
          <t>Madhav Mitruka</t>
        </is>
      </c>
      <c r="Y54" t="inlineStr">
        <is>
          <t>2025-09-12</t>
        </is>
      </c>
      <c r="Z54" t="inlineStr">
        <is>
          <t>https://app.hubspot.com/contacts/243046792/record/0-3/159502266096</t>
        </is>
      </c>
    </row>
    <row r="55">
      <c r="A55" t="n">
        <v>54</v>
      </c>
      <c r="B55" t="inlineStr">
        <is>
          <t>159420370672</t>
        </is>
      </c>
      <c r="D55" t="inlineStr">
        <is>
          <t>Data Migration Services</t>
        </is>
      </c>
      <c r="E55" t="inlineStr">
        <is>
          <t>Huntington Park</t>
        </is>
      </c>
      <c r="F55" t="inlineStr">
        <is>
          <t>California</t>
        </is>
      </c>
      <c r="G55" t="inlineStr">
        <is>
          <t>Closed Lost</t>
        </is>
      </c>
      <c r="H55" t="inlineStr">
        <is>
          <t>No</t>
        </is>
      </c>
      <c r="J55" s="96" t="n">
        <v>45940</v>
      </c>
      <c r="K55" s="96" t="n">
        <v>45922</v>
      </c>
      <c r="L55" s="65" t="n">
        <v>40450</v>
      </c>
      <c r="M55" t="inlineStr">
        <is>
          <t>Modernization / Migration</t>
        </is>
      </c>
      <c r="O55" t="inlineStr">
        <is>
          <t>Madhav Mitruka</t>
        </is>
      </c>
      <c r="Y55" t="inlineStr">
        <is>
          <t>2025-09-12</t>
        </is>
      </c>
      <c r="Z55" t="inlineStr">
        <is>
          <t>https://app.hubspot.com/contacts/243046792/record/0-3/159420370672</t>
        </is>
      </c>
    </row>
    <row r="56">
      <c r="A56" t="n">
        <v>55</v>
      </c>
      <c r="B56" t="inlineStr">
        <is>
          <t>146982533875</t>
        </is>
      </c>
      <c r="C56" t="inlineStr">
        <is>
          <t>RFP# 25-26-19</t>
        </is>
      </c>
      <c r="D56" t="inlineStr">
        <is>
          <t>Information Technology (IT) Support Services</t>
        </is>
      </c>
      <c r="E56" t="inlineStr">
        <is>
          <t>City of Santa Clara</t>
        </is>
      </c>
      <c r="F56" t="inlineStr">
        <is>
          <t>California</t>
        </is>
      </c>
      <c r="G56" t="inlineStr">
        <is>
          <t>Closed Lost</t>
        </is>
      </c>
      <c r="H56" t="inlineStr">
        <is>
          <t>No</t>
        </is>
      </c>
      <c r="J56" s="96" t="n">
        <v>45943</v>
      </c>
      <c r="K56" s="96" t="n">
        <v>45922</v>
      </c>
      <c r="M56" t="inlineStr">
        <is>
          <t>Managed Services (MSP)</t>
        </is>
      </c>
      <c r="N56" t="inlineStr">
        <is>
          <t>Email</t>
        </is>
      </c>
      <c r="O56" t="inlineStr">
        <is>
          <t>Madhav Mitruka</t>
        </is>
      </c>
      <c r="Y56" t="inlineStr">
        <is>
          <t>2025-08-28</t>
        </is>
      </c>
      <c r="Z56" t="inlineStr">
        <is>
          <t>https://app.hubspot.com/contacts/243046792/record/0-3/146982533875</t>
        </is>
      </c>
    </row>
    <row r="57">
      <c r="A57" t="n">
        <v>56</v>
      </c>
      <c r="B57" t="inlineStr">
        <is>
          <t>144653137594</t>
        </is>
      </c>
      <c r="D57" t="inlineStr">
        <is>
          <t>Web development and services Colorado Department of Natural Resources (CAIC)</t>
        </is>
      </c>
      <c r="E57" t="inlineStr">
        <is>
          <t>Colorado Avalanche Information Center (“CAIC”)  (Department of Natural Resources)</t>
        </is>
      </c>
      <c r="F57" t="inlineStr">
        <is>
          <t>Colorado</t>
        </is>
      </c>
      <c r="G57" t="inlineStr">
        <is>
          <t>Closed Lost</t>
        </is>
      </c>
      <c r="H57" t="inlineStr">
        <is>
          <t>No</t>
        </is>
      </c>
      <c r="J57" s="96" t="n">
        <v>45964</v>
      </c>
      <c r="K57" s="96" t="n">
        <v>45923</v>
      </c>
      <c r="M57" t="inlineStr">
        <is>
          <t>Consulting;Platform Implementation (ERP, CRMs)</t>
        </is>
      </c>
      <c r="N57" t="inlineStr">
        <is>
          <t>Portal</t>
        </is>
      </c>
      <c r="O57" t="inlineStr">
        <is>
          <t>Jyothsna Nanda kishore</t>
        </is>
      </c>
      <c r="Y57" t="inlineStr">
        <is>
          <t>2025-08-22</t>
        </is>
      </c>
      <c r="Z57" t="inlineStr">
        <is>
          <t>https://app.hubspot.com/contacts/243046792/record/0-3/144653137594</t>
        </is>
      </c>
    </row>
    <row r="58">
      <c r="A58" t="n">
        <v>57</v>
      </c>
      <c r="B58" t="inlineStr">
        <is>
          <t>155514382045</t>
        </is>
      </c>
      <c r="C58" t="inlineStr">
        <is>
          <t>Solicitation No: 226-15</t>
        </is>
      </c>
      <c r="D58" t="inlineStr">
        <is>
          <t>SQL SERVER MANAGEMENT STUDIO (SSMS) PRODUCTIVITY AND DATABASE TOOLSET</t>
        </is>
      </c>
      <c r="E58" t="inlineStr">
        <is>
          <t>The School District of Greenville County (District)</t>
        </is>
      </c>
      <c r="F58" t="inlineStr">
        <is>
          <t>South Carolina</t>
        </is>
      </c>
      <c r="G58" t="inlineStr">
        <is>
          <t>RFx Cancelled</t>
        </is>
      </c>
      <c r="H58" t="inlineStr">
        <is>
          <t>No</t>
        </is>
      </c>
      <c r="J58" s="96" t="n">
        <v>45979</v>
      </c>
      <c r="K58" s="96" t="n">
        <v>45924</v>
      </c>
      <c r="M58" t="inlineStr">
        <is>
          <t>Platform Implementation (ERP, CRMs)</t>
        </is>
      </c>
      <c r="O58" t="inlineStr">
        <is>
          <t>Jyothsna Nanda kishore</t>
        </is>
      </c>
      <c r="Y58" t="inlineStr">
        <is>
          <t>2025-09-04</t>
        </is>
      </c>
      <c r="Z58" t="inlineStr">
        <is>
          <t>https://app.hubspot.com/contacts/243046792/record/0-3/155514382045</t>
        </is>
      </c>
    </row>
    <row r="59">
      <c r="A59" t="n">
        <v>58</v>
      </c>
      <c r="B59" t="inlineStr">
        <is>
          <t>159541459657</t>
        </is>
      </c>
      <c r="C59" t="inlineStr">
        <is>
          <t>WSD001</t>
        </is>
      </c>
      <c r="D59" t="inlineStr">
        <is>
          <t>County of Los Angeles Department of Public Works - Microsoft Power Platform Training</t>
        </is>
      </c>
      <c r="E59" t="inlineStr">
        <is>
          <t>County of Los Angeles Department of Public Works</t>
        </is>
      </c>
      <c r="F59" t="inlineStr">
        <is>
          <t>California</t>
        </is>
      </c>
      <c r="G59" t="inlineStr">
        <is>
          <t>Closed Won</t>
        </is>
      </c>
      <c r="H59" t="inlineStr">
        <is>
          <t>No</t>
        </is>
      </c>
      <c r="J59" s="96" t="n">
        <v>46114</v>
      </c>
      <c r="K59" s="96" t="n">
        <v>45925</v>
      </c>
      <c r="L59" s="65" t="n">
        <v>12000</v>
      </c>
      <c r="M59" t="inlineStr">
        <is>
          <t>Training</t>
        </is>
      </c>
      <c r="N59" t="inlineStr">
        <is>
          <t>Email</t>
        </is>
      </c>
      <c r="O59" t="inlineStr">
        <is>
          <t>Jyothsna Nanda kishore</t>
        </is>
      </c>
      <c r="S59" t="inlineStr">
        <is>
          <t>2026-04-02</t>
        </is>
      </c>
      <c r="U59" s="96" t="n">
        <v>46113</v>
      </c>
      <c r="Y59" t="inlineStr">
        <is>
          <t>2025-09-12</t>
        </is>
      </c>
      <c r="Z59" t="inlineStr">
        <is>
          <t>https://app.hubspot.com/contacts/243046792/record/0-3/159541459657</t>
        </is>
      </c>
      <c r="AA59" t="inlineStr">
        <is>
          <t>Yes</t>
        </is>
      </c>
    </row>
    <row r="60">
      <c r="A60" t="n">
        <v>59</v>
      </c>
      <c r="B60" t="inlineStr">
        <is>
          <t>158113558258</t>
        </is>
      </c>
      <c r="D60" t="inlineStr">
        <is>
          <t>TRIMET - Data Center Assessment and Risk Mitigation Strategy</t>
        </is>
      </c>
      <c r="E60" t="inlineStr">
        <is>
          <t>Tri-County Metropolitan Transportation District of Oregon</t>
        </is>
      </c>
      <c r="F60" t="inlineStr">
        <is>
          <t>Oregon</t>
        </is>
      </c>
      <c r="G60" t="inlineStr">
        <is>
          <t>Closed Won</t>
        </is>
      </c>
      <c r="H60" t="inlineStr">
        <is>
          <t>Yes</t>
        </is>
      </c>
      <c r="I60" t="inlineStr">
        <is>
          <t>BAFO</t>
        </is>
      </c>
      <c r="J60" s="96" t="n">
        <v>46143</v>
      </c>
      <c r="K60" s="96" t="n">
        <v>45929</v>
      </c>
      <c r="L60" s="65" t="n">
        <v>20893</v>
      </c>
      <c r="M60" t="inlineStr">
        <is>
          <t>Audits and Assessment</t>
        </is>
      </c>
      <c r="N60" t="inlineStr">
        <is>
          <t>Portal</t>
        </is>
      </c>
      <c r="O60" t="inlineStr">
        <is>
          <t>Ashutosh Chauhan</t>
        </is>
      </c>
      <c r="P60" t="inlineStr">
        <is>
          <t>BAFO</t>
        </is>
      </c>
      <c r="R60" t="inlineStr">
        <is>
          <t>2025-10-15</t>
        </is>
      </c>
      <c r="S60" t="inlineStr">
        <is>
          <t>2025-10-20</t>
        </is>
      </c>
      <c r="U60" s="96" t="n">
        <v>45953</v>
      </c>
      <c r="Y60" t="inlineStr">
        <is>
          <t>2025-09-10</t>
        </is>
      </c>
      <c r="Z60" t="inlineStr">
        <is>
          <t>https://app.hubspot.com/contacts/243046792/record/0-3/158113558258</t>
        </is>
      </c>
      <c r="AA60" t="inlineStr">
        <is>
          <t>Yes</t>
        </is>
      </c>
    </row>
    <row r="61">
      <c r="A61" t="n">
        <v>60</v>
      </c>
      <c r="B61" t="inlineStr">
        <is>
          <t>159504441074</t>
        </is>
      </c>
      <c r="D61" t="inlineStr">
        <is>
          <t>Managed IT, CITY OF BURKBURNETT, TEXAS</t>
        </is>
      </c>
      <c r="G61" t="inlineStr">
        <is>
          <t>Submitted</t>
        </is>
      </c>
      <c r="H61" t="inlineStr">
        <is>
          <t>No</t>
        </is>
      </c>
      <c r="J61" s="96" t="n">
        <v>45931</v>
      </c>
      <c r="K61" s="96" t="n">
        <v>45930</v>
      </c>
      <c r="L61" s="65" t="n">
        <v>563816</v>
      </c>
      <c r="M61" t="inlineStr">
        <is>
          <t>Managed Services (MSP)</t>
        </is>
      </c>
      <c r="N61" t="inlineStr">
        <is>
          <t>Offline</t>
        </is>
      </c>
      <c r="O61" t="inlineStr">
        <is>
          <t>Jyothsna Nanda kishore</t>
        </is>
      </c>
      <c r="Y61" s="96" t="n">
        <v>45912</v>
      </c>
      <c r="Z61" t="inlineStr">
        <is>
          <t>https://app.hubspot.com/contacts/243046792/record/0-3/159504441074</t>
        </is>
      </c>
    </row>
    <row r="62">
      <c r="A62" t="n">
        <v>61</v>
      </c>
      <c r="B62" t="inlineStr">
        <is>
          <t>164634450618</t>
        </is>
      </c>
      <c r="D62" t="inlineStr">
        <is>
          <t>Development and Implementation of Comprehensive Data Governance Policy</t>
        </is>
      </c>
      <c r="E62" t="inlineStr">
        <is>
          <t>Wake County Public School System</t>
        </is>
      </c>
      <c r="F62" t="inlineStr">
        <is>
          <t>North Carolina</t>
        </is>
      </c>
      <c r="G62" t="inlineStr">
        <is>
          <t>Submitted</t>
        </is>
      </c>
      <c r="H62" t="inlineStr">
        <is>
          <t>No</t>
        </is>
      </c>
      <c r="J62" s="96" t="n">
        <v>45937</v>
      </c>
      <c r="K62" s="96" t="n">
        <v>45930</v>
      </c>
      <c r="M62" t="inlineStr">
        <is>
          <t>Training;Consulting</t>
        </is>
      </c>
      <c r="N62" t="inlineStr">
        <is>
          <t>Offline</t>
        </is>
      </c>
      <c r="O62" t="inlineStr">
        <is>
          <t>Jyothsna Nanda kishore</t>
        </is>
      </c>
      <c r="Y62" t="inlineStr">
        <is>
          <t>2025-09-22</t>
        </is>
      </c>
      <c r="Z62" t="inlineStr">
        <is>
          <t>https://app.hubspot.com/contacts/243046792/record/0-3/164634450618</t>
        </is>
      </c>
    </row>
    <row r="63">
      <c r="A63" t="n">
        <v>62</v>
      </c>
      <c r="B63" t="inlineStr">
        <is>
          <t>158775171781</t>
        </is>
      </c>
      <c r="D63" t="inlineStr">
        <is>
          <t>PeopleSoft to Oracle Cloud Infrastructure (OCI) Migration Services</t>
        </is>
      </c>
      <c r="G63" t="inlineStr">
        <is>
          <t>Submitted</t>
        </is>
      </c>
      <c r="H63" t="inlineStr">
        <is>
          <t>No</t>
        </is>
      </c>
      <c r="J63" s="96" t="n">
        <v>45938</v>
      </c>
      <c r="K63" s="96" t="n">
        <v>45930</v>
      </c>
      <c r="M63" t="inlineStr">
        <is>
          <t>Modernization / Migration</t>
        </is>
      </c>
      <c r="O63" t="inlineStr">
        <is>
          <t>Jyothsna Nanda kishore</t>
        </is>
      </c>
      <c r="Y63" t="inlineStr">
        <is>
          <t>2025-09-11</t>
        </is>
      </c>
      <c r="Z63" t="inlineStr">
        <is>
          <t>https://app.hubspot.com/contacts/243046792/record/0-3/158775171781</t>
        </is>
      </c>
    </row>
    <row r="64">
      <c r="A64" t="n">
        <v>63</v>
      </c>
      <c r="B64" t="inlineStr">
        <is>
          <t>162089315038</t>
        </is>
      </c>
      <c r="D64" t="inlineStr">
        <is>
          <t>MULTI-FACTOR AUTHENTICATION</t>
        </is>
      </c>
      <c r="E64" t="inlineStr">
        <is>
          <t>Hopkinton</t>
        </is>
      </c>
      <c r="F64" t="inlineStr">
        <is>
          <t>Rhode Island</t>
        </is>
      </c>
      <c r="G64" t="inlineStr">
        <is>
          <t>Closed Lost</t>
        </is>
      </c>
      <c r="H64" t="inlineStr">
        <is>
          <t>No</t>
        </is>
      </c>
      <c r="J64" s="96" t="n">
        <v>45946</v>
      </c>
      <c r="K64" s="96" t="n">
        <v>45930</v>
      </c>
      <c r="L64" s="65" t="n">
        <v>17936</v>
      </c>
      <c r="M64" t="inlineStr">
        <is>
          <t>Support &amp; Maintenance</t>
        </is>
      </c>
      <c r="N64" t="inlineStr">
        <is>
          <t>Offline</t>
        </is>
      </c>
      <c r="O64" t="inlineStr">
        <is>
          <t>Madhav Mitruka</t>
        </is>
      </c>
      <c r="Y64" t="inlineStr">
        <is>
          <t>2025-09-18</t>
        </is>
      </c>
      <c r="Z64" t="inlineStr">
        <is>
          <t>https://app.hubspot.com/contacts/243046792/record/0-3/162089315038</t>
        </is>
      </c>
    </row>
    <row r="65">
      <c r="A65" t="n">
        <v>64</v>
      </c>
      <c r="B65" t="inlineStr">
        <is>
          <t>163873091282</t>
        </is>
      </c>
      <c r="D65" t="inlineStr">
        <is>
          <t>MICROSOFT GOVERNMENT OFFICE 365 LICENSING AND MIGRATION OF THE TOWN’S EMAIL SERVICES FROM ITS CURRENT HOSTED EXCHANGE ENVIRONMENT</t>
        </is>
      </c>
      <c r="E65" t="inlineStr">
        <is>
          <t>Hopkinton</t>
        </is>
      </c>
      <c r="F65" t="inlineStr">
        <is>
          <t>Rhode Island</t>
        </is>
      </c>
      <c r="G65" t="inlineStr">
        <is>
          <t>Closed Lost</t>
        </is>
      </c>
      <c r="H65" t="inlineStr">
        <is>
          <t>No</t>
        </is>
      </c>
      <c r="J65" s="96" t="n">
        <v>45946</v>
      </c>
      <c r="K65" s="96" t="n">
        <v>45930</v>
      </c>
      <c r="L65" s="65" t="n">
        <v>23989.41</v>
      </c>
      <c r="M65" t="inlineStr">
        <is>
          <t>Modernization / Migration</t>
        </is>
      </c>
      <c r="N65" t="inlineStr">
        <is>
          <t>Offline</t>
        </is>
      </c>
      <c r="O65" t="inlineStr">
        <is>
          <t>Madhav Mitruka</t>
        </is>
      </c>
      <c r="Y65" t="inlineStr">
        <is>
          <t>2025-09-18</t>
        </is>
      </c>
      <c r="Z65" t="inlineStr">
        <is>
          <t>https://app.hubspot.com/contacts/243046792/record/0-3/163873091282</t>
        </is>
      </c>
    </row>
    <row r="66">
      <c r="A66" t="n">
        <v>65</v>
      </c>
      <c r="B66" t="inlineStr">
        <is>
          <t>169109642973</t>
        </is>
      </c>
      <c r="C66" t="inlineStr">
        <is>
          <t>TS-25-17</t>
        </is>
      </c>
      <c r="D66" t="inlineStr">
        <is>
          <t>VEEAM SOFTWARE SUPPORT AND MAINTENANCE RENEWAL</t>
        </is>
      </c>
      <c r="E66" t="inlineStr">
        <is>
          <t>THE CITY OF PEMBROKE PINES</t>
        </is>
      </c>
      <c r="F66" t="inlineStr">
        <is>
          <t>Florida</t>
        </is>
      </c>
      <c r="G66" t="inlineStr">
        <is>
          <t>Submitted</t>
        </is>
      </c>
      <c r="H66" t="inlineStr">
        <is>
          <t>No</t>
        </is>
      </c>
      <c r="J66" s="96" t="n">
        <v>45951</v>
      </c>
      <c r="K66" s="96" t="n">
        <v>45930</v>
      </c>
      <c r="L66" s="65" t="n">
        <v>93430</v>
      </c>
      <c r="M66" t="inlineStr">
        <is>
          <t>Reseller</t>
        </is>
      </c>
      <c r="N66" t="inlineStr">
        <is>
          <t>Portal</t>
        </is>
      </c>
      <c r="O66" t="inlineStr">
        <is>
          <t>Madhav Mitruka</t>
        </is>
      </c>
      <c r="Y66" t="inlineStr">
        <is>
          <t>2025-09-24</t>
        </is>
      </c>
      <c r="Z66" t="inlineStr">
        <is>
          <t>https://app.hubspot.com/contacts/243046792/record/0-3/169109642973</t>
        </is>
      </c>
    </row>
    <row r="67">
      <c r="A67" t="n">
        <v>66</v>
      </c>
      <c r="B67" t="inlineStr">
        <is>
          <t>168227148525</t>
        </is>
      </c>
      <c r="D67" t="inlineStr">
        <is>
          <t xml:space="preserve">ENTERPRISE RESOURCE PLANNING CONSULTING SERVICES </t>
        </is>
      </c>
      <c r="E67" t="inlineStr">
        <is>
          <t>City of Gastonia</t>
        </is>
      </c>
      <c r="F67" t="inlineStr">
        <is>
          <t>North Carolina</t>
        </is>
      </c>
      <c r="G67" t="inlineStr">
        <is>
          <t>Closed Lost</t>
        </is>
      </c>
      <c r="H67" t="inlineStr">
        <is>
          <t>No</t>
        </is>
      </c>
      <c r="J67" s="96" t="n">
        <v>46007</v>
      </c>
      <c r="K67" s="96" t="n">
        <v>45930</v>
      </c>
      <c r="M67" t="inlineStr">
        <is>
          <t>Platform Implementation (ERP, CRMs)</t>
        </is>
      </c>
      <c r="N67" t="inlineStr">
        <is>
          <t>Email</t>
        </is>
      </c>
      <c r="O67" t="inlineStr">
        <is>
          <t>Ritoban Maitra</t>
        </is>
      </c>
      <c r="Y67" t="inlineStr">
        <is>
          <t>2025-09-23</t>
        </is>
      </c>
      <c r="Z67" t="inlineStr">
        <is>
          <t>https://app.hubspot.com/contacts/243046792/record/0-3/168227148525</t>
        </is>
      </c>
    </row>
    <row r="68">
      <c r="A68" t="n">
        <v>67</v>
      </c>
      <c r="B68" t="inlineStr">
        <is>
          <t>154541043431</t>
        </is>
      </c>
      <c r="D68" t="inlineStr">
        <is>
          <t>CRM System</t>
        </is>
      </c>
      <c r="E68" t="inlineStr">
        <is>
          <t>City of Rosenberg</t>
        </is>
      </c>
      <c r="F68" t="inlineStr">
        <is>
          <t>Texas</t>
        </is>
      </c>
      <c r="G68" t="inlineStr">
        <is>
          <t>Closed Lost</t>
        </is>
      </c>
      <c r="H68" t="inlineStr">
        <is>
          <t>No</t>
        </is>
      </c>
      <c r="J68" s="96" t="n">
        <v>46114</v>
      </c>
      <c r="K68" s="96" t="n">
        <v>45930</v>
      </c>
      <c r="L68" s="65" t="n">
        <v>64900</v>
      </c>
      <c r="M68" t="inlineStr">
        <is>
          <t>Platform Implementation (ERP, CRMs)</t>
        </is>
      </c>
      <c r="N68" t="inlineStr">
        <is>
          <t>Portal</t>
        </is>
      </c>
      <c r="O68" t="inlineStr">
        <is>
          <t>Jyothsna Nanda kishore</t>
        </is>
      </c>
      <c r="Y68" t="inlineStr">
        <is>
          <t>2025-09-03</t>
        </is>
      </c>
      <c r="Z68" t="inlineStr">
        <is>
          <t>https://app.hubspot.com/contacts/243046792/record/0-3/154541043431</t>
        </is>
      </c>
    </row>
    <row r="69">
      <c r="A69" t="n">
        <v>68</v>
      </c>
      <c r="B69" t="inlineStr">
        <is>
          <t>146097902300</t>
        </is>
      </c>
      <c r="C69" t="inlineStr">
        <is>
          <t>IT-26-004</t>
        </is>
      </c>
      <c r="D69" t="inlineStr">
        <is>
          <t>Laguna Beach Information Technology Master Plan</t>
        </is>
      </c>
      <c r="E69" t="inlineStr">
        <is>
          <t>Laguna Beach</t>
        </is>
      </c>
      <c r="F69" t="inlineStr">
        <is>
          <t>California</t>
        </is>
      </c>
      <c r="G69" t="inlineStr">
        <is>
          <t>Submitted</t>
        </is>
      </c>
      <c r="H69" t="inlineStr">
        <is>
          <t>No</t>
        </is>
      </c>
      <c r="J69" s="96" t="n">
        <v>45931</v>
      </c>
      <c r="K69" s="96" t="n">
        <v>45931</v>
      </c>
      <c r="L69" s="65" t="n">
        <v>97000</v>
      </c>
      <c r="N69" t="inlineStr">
        <is>
          <t>Portal</t>
        </is>
      </c>
      <c r="O69" t="inlineStr">
        <is>
          <t>Abhishek Zalani</t>
        </is>
      </c>
      <c r="Y69" t="inlineStr">
        <is>
          <t>2025-08-26</t>
        </is>
      </c>
      <c r="Z69" t="inlineStr">
        <is>
          <t>https://app.hubspot.com/contacts/243046792/record/0-3/146097902300</t>
        </is>
      </c>
    </row>
    <row r="70">
      <c r="A70" t="n">
        <v>69</v>
      </c>
      <c r="B70" t="inlineStr">
        <is>
          <t>158454899438</t>
        </is>
      </c>
      <c r="C70" t="inlineStr">
        <is>
          <t>2453</t>
        </is>
      </c>
      <c r="D70" t="inlineStr">
        <is>
          <t xml:space="preserve">Business Intelligence Program   </t>
        </is>
      </c>
      <c r="E70" t="inlineStr">
        <is>
          <t>St. Johns County</t>
        </is>
      </c>
      <c r="F70" t="inlineStr">
        <is>
          <t>Florida</t>
        </is>
      </c>
      <c r="G70" t="inlineStr">
        <is>
          <t>Submitted</t>
        </is>
      </c>
      <c r="H70" t="inlineStr">
        <is>
          <t>No</t>
        </is>
      </c>
      <c r="J70" s="96" t="n">
        <v>45932</v>
      </c>
      <c r="K70" s="96" t="n">
        <v>45932</v>
      </c>
      <c r="L70" s="65" t="n">
        <v>4900</v>
      </c>
      <c r="M70" t="inlineStr">
        <is>
          <t>Consulting</t>
        </is>
      </c>
      <c r="N70" t="inlineStr">
        <is>
          <t>Email</t>
        </is>
      </c>
      <c r="O70" t="inlineStr">
        <is>
          <t>Abhishek Zalani</t>
        </is>
      </c>
      <c r="Y70" t="inlineStr">
        <is>
          <t>2025-09-11</t>
        </is>
      </c>
      <c r="Z70" t="inlineStr">
        <is>
          <t>https://app.hubspot.com/contacts/243046792/record/0-3/158454899438</t>
        </is>
      </c>
    </row>
    <row r="71">
      <c r="A71" t="n">
        <v>70</v>
      </c>
      <c r="B71" t="inlineStr">
        <is>
          <t>159420375799</t>
        </is>
      </c>
      <c r="C71" t="inlineStr">
        <is>
          <t>2025-11864</t>
        </is>
      </c>
      <c r="D71" t="inlineStr">
        <is>
          <t>Temporary Service Provider Services as Required</t>
        </is>
      </c>
      <c r="E71" t="inlineStr">
        <is>
          <t>Port of Portland</t>
        </is>
      </c>
      <c r="F71" t="inlineStr">
        <is>
          <t>Oregon</t>
        </is>
      </c>
      <c r="G71" t="inlineStr">
        <is>
          <t>Submitted</t>
        </is>
      </c>
      <c r="H71" t="inlineStr">
        <is>
          <t>No</t>
        </is>
      </c>
      <c r="J71" s="96" t="n">
        <v>45933</v>
      </c>
      <c r="K71" s="96" t="n">
        <v>45932</v>
      </c>
      <c r="M71" t="inlineStr">
        <is>
          <t>Staff Augmentation</t>
        </is>
      </c>
      <c r="O71" t="inlineStr">
        <is>
          <t>Abhishek Zalani</t>
        </is>
      </c>
      <c r="Y71" t="inlineStr">
        <is>
          <t>2025-09-12</t>
        </is>
      </c>
      <c r="Z71" t="inlineStr">
        <is>
          <t>https://app.hubspot.com/contacts/243046792/record/0-3/159420375799</t>
        </is>
      </c>
    </row>
    <row r="72">
      <c r="A72" t="n">
        <v>71</v>
      </c>
      <c r="B72" t="inlineStr">
        <is>
          <t>126595998432</t>
        </is>
      </c>
      <c r="C72" t="inlineStr">
        <is>
          <t>RFP-554-2025-0052-0-2025/AH</t>
        </is>
      </c>
      <c r="D72" t="inlineStr">
        <is>
          <t>Raleigh Durham Airport Authority (NC) - SharePoint Consultant</t>
        </is>
      </c>
      <c r="E72" t="inlineStr">
        <is>
          <t>Raleigh Durham Airport Authority [NC]</t>
        </is>
      </c>
      <c r="F72" t="inlineStr">
        <is>
          <t>North Carolina</t>
        </is>
      </c>
      <c r="G72" t="inlineStr">
        <is>
          <t>Intent to Award</t>
        </is>
      </c>
      <c r="H72" t="inlineStr">
        <is>
          <t>No</t>
        </is>
      </c>
      <c r="J72" s="96" t="n">
        <v>46052</v>
      </c>
      <c r="K72" s="96" t="n">
        <v>45932</v>
      </c>
      <c r="L72" s="65" t="n">
        <v>18830</v>
      </c>
      <c r="M72" t="inlineStr">
        <is>
          <t>Consulting</t>
        </is>
      </c>
      <c r="N72" t="inlineStr">
        <is>
          <t>Portal</t>
        </is>
      </c>
      <c r="O72" t="inlineStr">
        <is>
          <t>Madhav Mitruka</t>
        </is>
      </c>
      <c r="S72" s="96" t="n">
        <v>46052</v>
      </c>
      <c r="Y72" t="inlineStr">
        <is>
          <t>2025-07-21</t>
        </is>
      </c>
      <c r="Z72" t="inlineStr">
        <is>
          <t>https://app.hubspot.com/contacts/243046792/record/0-3/126595998432</t>
        </is>
      </c>
    </row>
    <row r="73">
      <c r="A73" t="n">
        <v>72</v>
      </c>
      <c r="B73" t="inlineStr">
        <is>
          <t>161660341982</t>
        </is>
      </c>
      <c r="D73" t="inlineStr">
        <is>
          <t>Greene County - PROFESSIONAL CONSULTANT SERVICES</t>
        </is>
      </c>
      <c r="E73" t="inlineStr">
        <is>
          <t>Greene County</t>
        </is>
      </c>
      <c r="F73" t="inlineStr">
        <is>
          <t>New York</t>
        </is>
      </c>
      <c r="G73" t="inlineStr">
        <is>
          <t>Closed Won</t>
        </is>
      </c>
      <c r="H73" t="inlineStr">
        <is>
          <t>No</t>
        </is>
      </c>
      <c r="J73" s="96" t="n">
        <v>46143</v>
      </c>
      <c r="K73" s="96" t="n">
        <v>45932</v>
      </c>
      <c r="M73" t="inlineStr">
        <is>
          <t>Staff Augmentation</t>
        </is>
      </c>
      <c r="N73" t="inlineStr">
        <is>
          <t>Offline</t>
        </is>
      </c>
      <c r="O73" t="inlineStr">
        <is>
          <t>Arshdeep Kaur</t>
        </is>
      </c>
      <c r="S73" t="inlineStr">
        <is>
          <t>2025-12-09</t>
        </is>
      </c>
      <c r="U73" s="96" t="n">
        <v>46093</v>
      </c>
      <c r="Y73" t="inlineStr">
        <is>
          <t>2025-09-17</t>
        </is>
      </c>
      <c r="Z73" t="inlineStr">
        <is>
          <t>https://app.hubspot.com/contacts/243046792/record/0-3/161660341982</t>
        </is>
      </c>
      <c r="AA73" t="inlineStr">
        <is>
          <t>No</t>
        </is>
      </c>
    </row>
    <row r="74">
      <c r="A74" t="n">
        <v>73</v>
      </c>
      <c r="B74" t="inlineStr">
        <is>
          <t>169109642977</t>
        </is>
      </c>
      <c r="C74" t="inlineStr">
        <is>
          <t>163973</t>
        </is>
      </c>
      <c r="D74" t="inlineStr">
        <is>
          <t>CNE - Oracle EPM Implementation Partner</t>
        </is>
      </c>
      <c r="E74" t="inlineStr">
        <is>
          <t>Cherokee Nation Business</t>
        </is>
      </c>
      <c r="F74" t="inlineStr">
        <is>
          <t>Oklahoma</t>
        </is>
      </c>
      <c r="G74" t="inlineStr">
        <is>
          <t>Submitted</t>
        </is>
      </c>
      <c r="H74" t="inlineStr">
        <is>
          <t>No</t>
        </is>
      </c>
      <c r="J74" s="96" t="n">
        <v>45932</v>
      </c>
      <c r="K74" s="96" t="n">
        <v>45933</v>
      </c>
      <c r="L74" s="65" t="n">
        <v>155400</v>
      </c>
      <c r="M74" t="inlineStr">
        <is>
          <t>Platform Implementation (ERP, CRMs)</t>
        </is>
      </c>
      <c r="N74" t="inlineStr">
        <is>
          <t>Email</t>
        </is>
      </c>
      <c r="O74" t="inlineStr">
        <is>
          <t>Abhishek Zalani</t>
        </is>
      </c>
      <c r="Y74" t="inlineStr">
        <is>
          <t>2025-09-24</t>
        </is>
      </c>
      <c r="Z74" t="inlineStr">
        <is>
          <t>https://app.hubspot.com/contacts/243046792/record/0-3/169109642977</t>
        </is>
      </c>
    </row>
    <row r="75">
      <c r="A75" t="n">
        <v>74</v>
      </c>
      <c r="B75" t="inlineStr">
        <is>
          <t>157345533677</t>
        </is>
      </c>
      <c r="D75" t="inlineStr">
        <is>
          <t>Customer Relationship Manager Platform- Wyoming</t>
        </is>
      </c>
      <c r="E75" t="inlineStr">
        <is>
          <t>Wyoming Retirement System</t>
        </is>
      </c>
      <c r="F75" t="inlineStr">
        <is>
          <t>Wyoming</t>
        </is>
      </c>
      <c r="G75" t="inlineStr">
        <is>
          <t>Submitted</t>
        </is>
      </c>
      <c r="H75" t="inlineStr">
        <is>
          <t>No</t>
        </is>
      </c>
      <c r="J75" s="96" t="n">
        <v>45933</v>
      </c>
      <c r="K75" s="96" t="n">
        <v>45933</v>
      </c>
      <c r="M75" t="inlineStr">
        <is>
          <t>Platform Implementation (ERP, CRMs)</t>
        </is>
      </c>
      <c r="N75" t="inlineStr">
        <is>
          <t>Portal</t>
        </is>
      </c>
      <c r="O75" t="inlineStr">
        <is>
          <t>Arshdeep Kaur</t>
        </is>
      </c>
      <c r="Y75" t="inlineStr">
        <is>
          <t>2025-09-08</t>
        </is>
      </c>
      <c r="Z75" t="inlineStr">
        <is>
          <t>https://app.hubspot.com/contacts/243046792/record/0-3/157345533677</t>
        </is>
      </c>
    </row>
    <row r="76">
      <c r="A76" t="n">
        <v>75</v>
      </c>
      <c r="B76" t="inlineStr">
        <is>
          <t>158191708863</t>
        </is>
      </c>
      <c r="D76" t="inlineStr">
        <is>
          <t>Information Technology Services</t>
        </is>
      </c>
      <c r="E76" t="inlineStr">
        <is>
          <t>Pine City</t>
        </is>
      </c>
      <c r="F76" t="inlineStr">
        <is>
          <t>Minnesota</t>
        </is>
      </c>
      <c r="G76" t="inlineStr">
        <is>
          <t>Submitted</t>
        </is>
      </c>
      <c r="H76" t="inlineStr">
        <is>
          <t>No</t>
        </is>
      </c>
      <c r="J76" s="96" t="n">
        <v>45933</v>
      </c>
      <c r="K76" s="96" t="n">
        <v>45933</v>
      </c>
      <c r="L76" s="65" t="n">
        <v>43330</v>
      </c>
      <c r="M76" t="inlineStr">
        <is>
          <t>Managed Services (MSP)</t>
        </is>
      </c>
      <c r="N76" t="inlineStr">
        <is>
          <t>Email</t>
        </is>
      </c>
      <c r="O76" t="inlineStr">
        <is>
          <t>Abhishek Zalani</t>
        </is>
      </c>
      <c r="Y76" t="inlineStr">
        <is>
          <t>2025-09-10</t>
        </is>
      </c>
      <c r="Z76" t="inlineStr">
        <is>
          <t>https://app.hubspot.com/contacts/243046792/record/0-3/158191708863</t>
        </is>
      </c>
    </row>
    <row r="77">
      <c r="A77" t="n">
        <v>76</v>
      </c>
      <c r="B77" t="inlineStr">
        <is>
          <t>159626988233</t>
        </is>
      </c>
      <c r="D77" t="inlineStr">
        <is>
          <t>IT Managed Services</t>
        </is>
      </c>
      <c r="E77" t="inlineStr">
        <is>
          <t>Impact Community Action</t>
        </is>
      </c>
      <c r="F77" t="inlineStr">
        <is>
          <t>Ohio</t>
        </is>
      </c>
      <c r="G77" t="inlineStr">
        <is>
          <t>Closed Lost</t>
        </is>
      </c>
      <c r="H77" t="inlineStr">
        <is>
          <t>No</t>
        </is>
      </c>
      <c r="J77" s="96" t="n">
        <v>46162</v>
      </c>
      <c r="K77" s="96" t="n">
        <v>45936</v>
      </c>
      <c r="L77" s="65" t="n">
        <v>396333.53</v>
      </c>
      <c r="M77" t="inlineStr">
        <is>
          <t>Managed Services (MSP)</t>
        </is>
      </c>
      <c r="N77" t="inlineStr">
        <is>
          <t>Email</t>
        </is>
      </c>
      <c r="O77" t="inlineStr">
        <is>
          <t>Jyothsna Nanda kishore</t>
        </is>
      </c>
      <c r="Y77" t="inlineStr">
        <is>
          <t>2025-09-12</t>
        </is>
      </c>
      <c r="Z77" t="inlineStr">
        <is>
          <t>https://app.hubspot.com/contacts/243046792/record/0-3/159626988233</t>
        </is>
      </c>
    </row>
    <row r="78">
      <c r="A78" t="n">
        <v>77</v>
      </c>
      <c r="B78" t="inlineStr">
        <is>
          <t>159420371644</t>
        </is>
      </c>
      <c r="C78" t="inlineStr">
        <is>
          <t>OPENP-25-038</t>
        </is>
      </c>
      <c r="D78" t="inlineStr">
        <is>
          <t>Technical Support for Oracle EBS</t>
        </is>
      </c>
      <c r="E78" t="inlineStr">
        <is>
          <t>Jacksonville Transportation Authority</t>
        </is>
      </c>
      <c r="F78" t="inlineStr">
        <is>
          <t>Florida</t>
        </is>
      </c>
      <c r="G78" t="inlineStr">
        <is>
          <t>Closed Lost</t>
        </is>
      </c>
      <c r="H78" t="inlineStr">
        <is>
          <t>No</t>
        </is>
      </c>
      <c r="J78" s="96" t="n">
        <v>45957</v>
      </c>
      <c r="K78" s="96" t="n">
        <v>45936</v>
      </c>
      <c r="M78" t="inlineStr">
        <is>
          <t>Managed Services (MSP)</t>
        </is>
      </c>
      <c r="N78" t="inlineStr">
        <is>
          <t>Portal</t>
        </is>
      </c>
      <c r="O78" t="inlineStr">
        <is>
          <t>Ashutosh Chauhan</t>
        </is>
      </c>
      <c r="Y78" t="inlineStr">
        <is>
          <t>2025-09-12</t>
        </is>
      </c>
      <c r="Z78" t="inlineStr">
        <is>
          <t>https://app.hubspot.com/contacts/243046792/record/0-3/159420371644</t>
        </is>
      </c>
    </row>
    <row r="79">
      <c r="A79" t="n">
        <v>78</v>
      </c>
      <c r="B79" t="inlineStr">
        <is>
          <t>158113559231</t>
        </is>
      </c>
      <c r="D79" t="inlineStr">
        <is>
          <t>City of San Carlos - Legacy File Server Migration to SharePoint Modernization</t>
        </is>
      </c>
      <c r="E79" t="inlineStr">
        <is>
          <t>City of San Carlos</t>
        </is>
      </c>
      <c r="F79" t="inlineStr">
        <is>
          <t>California</t>
        </is>
      </c>
      <c r="G79" t="inlineStr">
        <is>
          <t>Closed Won</t>
        </is>
      </c>
      <c r="H79" t="inlineStr">
        <is>
          <t>Yes</t>
        </is>
      </c>
      <c r="I79" t="inlineStr">
        <is>
          <t>Interview</t>
        </is>
      </c>
      <c r="J79" s="96" t="n">
        <v>46149</v>
      </c>
      <c r="K79" s="96" t="n">
        <v>45936</v>
      </c>
      <c r="L79" s="65" t="n">
        <v>98000</v>
      </c>
      <c r="M79" t="inlineStr">
        <is>
          <t>Modernization / Migration</t>
        </is>
      </c>
      <c r="N79" t="inlineStr">
        <is>
          <t>Email</t>
        </is>
      </c>
      <c r="O79" t="inlineStr">
        <is>
          <t>Abhishek Zalani</t>
        </is>
      </c>
      <c r="P79" t="inlineStr">
        <is>
          <t>Interview Scheduled</t>
        </is>
      </c>
      <c r="Q79" t="inlineStr">
        <is>
          <t>2025-12-10</t>
        </is>
      </c>
      <c r="S79" t="inlineStr">
        <is>
          <t>2026-01-01</t>
        </is>
      </c>
      <c r="U79" s="96" t="n">
        <v>46031</v>
      </c>
      <c r="Y79" t="inlineStr">
        <is>
          <t>2025-09-10</t>
        </is>
      </c>
      <c r="Z79" t="inlineStr">
        <is>
          <t>https://app.hubspot.com/contacts/243046792/record/0-3/158113559231</t>
        </is>
      </c>
    </row>
    <row r="80">
      <c r="A80" t="n">
        <v>79</v>
      </c>
      <c r="B80" t="inlineStr">
        <is>
          <t>140837168873</t>
        </is>
      </c>
      <c r="D80" t="inlineStr">
        <is>
          <t>SAP S/4HANA CONVERSION AND MIGRATION SERVICES</t>
        </is>
      </c>
      <c r="E80" t="inlineStr">
        <is>
          <t>San Diego Metropolitan Transit System</t>
        </is>
      </c>
      <c r="F80" t="inlineStr">
        <is>
          <t>California</t>
        </is>
      </c>
      <c r="G80" t="inlineStr">
        <is>
          <t>Closed Lost</t>
        </is>
      </c>
      <c r="H80" t="inlineStr">
        <is>
          <t>No</t>
        </is>
      </c>
      <c r="J80" s="96" t="n">
        <v>46293</v>
      </c>
      <c r="K80" s="96" t="n">
        <v>45937</v>
      </c>
      <c r="L80" s="65" t="n">
        <v>996800</v>
      </c>
      <c r="M80" t="inlineStr">
        <is>
          <t>Modernization / Migration</t>
        </is>
      </c>
      <c r="O80" t="inlineStr">
        <is>
          <t>Jyothsna Nanda kishore</t>
        </is>
      </c>
      <c r="Y80" t="inlineStr">
        <is>
          <t>2025-08-12</t>
        </is>
      </c>
      <c r="Z80" t="inlineStr">
        <is>
          <t>https://app.hubspot.com/contacts/243046792/record/0-3/140837168873</t>
        </is>
      </c>
    </row>
    <row r="81">
      <c r="A81" t="n">
        <v>80</v>
      </c>
      <c r="B81" t="inlineStr">
        <is>
          <t>167226060504</t>
        </is>
      </c>
      <c r="D81" t="inlineStr">
        <is>
          <t>Information Technology Management Services</t>
        </is>
      </c>
      <c r="E81" t="inlineStr">
        <is>
          <t>Town of Swanzey</t>
        </is>
      </c>
      <c r="F81" t="inlineStr">
        <is>
          <t>New Hampshire</t>
        </is>
      </c>
      <c r="G81" t="inlineStr">
        <is>
          <t>Closed Lost</t>
        </is>
      </c>
      <c r="H81" t="inlineStr">
        <is>
          <t>No</t>
        </is>
      </c>
      <c r="J81" s="96" t="n">
        <v>46007</v>
      </c>
      <c r="K81" s="96" t="n">
        <v>45937</v>
      </c>
      <c r="L81" s="65" t="n">
        <v>66120</v>
      </c>
      <c r="M81" t="inlineStr">
        <is>
          <t>Managed Services (MSP)</t>
        </is>
      </c>
      <c r="N81" t="inlineStr">
        <is>
          <t>Offline</t>
        </is>
      </c>
      <c r="O81" t="inlineStr">
        <is>
          <t>Jyothsna Nanda kishore</t>
        </is>
      </c>
      <c r="Y81" t="inlineStr">
        <is>
          <t>2025-09-22</t>
        </is>
      </c>
      <c r="Z81" t="inlineStr">
        <is>
          <t>https://app.hubspot.com/contacts/243046792/record/0-3/167226060504</t>
        </is>
      </c>
    </row>
    <row r="82">
      <c r="A82" t="n">
        <v>81</v>
      </c>
      <c r="B82" t="inlineStr">
        <is>
          <t>167226058440</t>
        </is>
      </c>
      <c r="C82" t="inlineStr">
        <is>
          <t>186063</t>
        </is>
      </c>
      <c r="D82" t="inlineStr">
        <is>
          <t>REQUEST FOR PROPOSAL 186063: Internal Audit Services</t>
        </is>
      </c>
      <c r="E82" t="inlineStr">
        <is>
          <t>City of Detroit</t>
        </is>
      </c>
      <c r="F82" t="inlineStr">
        <is>
          <t>Michigan</t>
        </is>
      </c>
      <c r="G82" t="inlineStr">
        <is>
          <t>Submitted</t>
        </is>
      </c>
      <c r="H82" t="inlineStr">
        <is>
          <t>No</t>
        </is>
      </c>
      <c r="J82" s="96" t="n">
        <v>45938</v>
      </c>
      <c r="K82" s="96" t="n">
        <v>45938</v>
      </c>
      <c r="L82" s="65" t="n">
        <v>46000</v>
      </c>
      <c r="M82" t="inlineStr">
        <is>
          <t>Audits and Assessment</t>
        </is>
      </c>
      <c r="N82" t="inlineStr">
        <is>
          <t>Portal</t>
        </is>
      </c>
      <c r="O82" t="inlineStr">
        <is>
          <t>Abhishek Zalani</t>
        </is>
      </c>
      <c r="Y82" t="inlineStr">
        <is>
          <t>2025-09-22</t>
        </is>
      </c>
      <c r="Z82" t="inlineStr">
        <is>
          <t>https://app.hubspot.com/contacts/243046792/record/0-3/167226058440</t>
        </is>
      </c>
    </row>
    <row r="83">
      <c r="A83" t="n">
        <v>82</v>
      </c>
      <c r="B83" t="inlineStr">
        <is>
          <t>163703775952</t>
        </is>
      </c>
      <c r="D83" t="inlineStr">
        <is>
          <t>IT Consultant</t>
        </is>
      </c>
      <c r="E83" t="inlineStr">
        <is>
          <t>Dupage County</t>
        </is>
      </c>
      <c r="F83" t="inlineStr">
        <is>
          <t>Illinois</t>
        </is>
      </c>
      <c r="G83" t="inlineStr">
        <is>
          <t>Submitted</t>
        </is>
      </c>
      <c r="H83" t="inlineStr">
        <is>
          <t>No</t>
        </is>
      </c>
      <c r="J83" s="96" t="n">
        <v>45938</v>
      </c>
      <c r="K83" s="96" t="n">
        <v>45938</v>
      </c>
      <c r="M83" t="inlineStr">
        <is>
          <t>Staff Augmentation</t>
        </is>
      </c>
      <c r="O83" t="inlineStr">
        <is>
          <t>Arshdeep Kaur</t>
        </is>
      </c>
      <c r="Y83" t="inlineStr">
        <is>
          <t>2025-09-18</t>
        </is>
      </c>
      <c r="Z83" t="inlineStr">
        <is>
          <t>https://app.hubspot.com/contacts/243046792/record/0-3/163703775952</t>
        </is>
      </c>
    </row>
    <row r="84">
      <c r="A84" t="n">
        <v>83</v>
      </c>
      <c r="B84" t="inlineStr">
        <is>
          <t>180873330422</t>
        </is>
      </c>
      <c r="D84" t="inlineStr">
        <is>
          <t>NuHarbor SOC</t>
        </is>
      </c>
      <c r="E84" t="inlineStr">
        <is>
          <t xml:space="preserve">California Department of State Hospitals </t>
        </is>
      </c>
      <c r="F84" t="inlineStr">
        <is>
          <t>California</t>
        </is>
      </c>
      <c r="G84" t="inlineStr">
        <is>
          <t>Submitted</t>
        </is>
      </c>
      <c r="H84" t="inlineStr">
        <is>
          <t>No</t>
        </is>
      </c>
      <c r="J84" s="96" t="n">
        <v>45938</v>
      </c>
      <c r="K84" s="96" t="n">
        <v>45939</v>
      </c>
      <c r="L84" s="65" t="n">
        <v>149000</v>
      </c>
      <c r="M84" t="inlineStr">
        <is>
          <t>Support &amp; Maintenance</t>
        </is>
      </c>
      <c r="O84" t="inlineStr">
        <is>
          <t>Ashutosh Chauhan</t>
        </is>
      </c>
      <c r="Y84" t="inlineStr">
        <is>
          <t>2025-10-08</t>
        </is>
      </c>
      <c r="Z84" t="inlineStr">
        <is>
          <t>https://app.hubspot.com/contacts/243046792/record/0-3/180873330422</t>
        </is>
      </c>
    </row>
    <row r="85">
      <c r="A85" t="n">
        <v>84</v>
      </c>
      <c r="B85" t="inlineStr">
        <is>
          <t>156444963552</t>
        </is>
      </c>
      <c r="D85" t="inlineStr">
        <is>
          <t>Absence Management Implementation</t>
        </is>
      </c>
      <c r="E85" t="inlineStr">
        <is>
          <t>City of Cincinnati</t>
        </is>
      </c>
      <c r="F85" t="inlineStr">
        <is>
          <t>Ohio</t>
        </is>
      </c>
      <c r="G85" t="inlineStr">
        <is>
          <t>Submitted</t>
        </is>
      </c>
      <c r="H85" t="inlineStr">
        <is>
          <t>No</t>
        </is>
      </c>
      <c r="J85" s="96" t="n">
        <v>45939</v>
      </c>
      <c r="K85" s="96" t="n">
        <v>45939</v>
      </c>
      <c r="M85" t="inlineStr">
        <is>
          <t>Platform Implementation (ERP, CRMs)</t>
        </is>
      </c>
      <c r="N85" t="inlineStr">
        <is>
          <t>Portal</t>
        </is>
      </c>
      <c r="O85" t="inlineStr">
        <is>
          <t>Ashutosh Chauhan</t>
        </is>
      </c>
      <c r="Y85" t="inlineStr">
        <is>
          <t>2025-09-08</t>
        </is>
      </c>
      <c r="Z85" t="inlineStr">
        <is>
          <t>https://app.hubspot.com/contacts/243046792/record/0-3/156444963552</t>
        </is>
      </c>
    </row>
    <row r="86">
      <c r="A86" t="n">
        <v>85</v>
      </c>
      <c r="B86" t="inlineStr">
        <is>
          <t>158110622443</t>
        </is>
      </c>
      <c r="C86" t="inlineStr">
        <is>
          <t>RFP25-1003289</t>
        </is>
      </c>
      <c r="D86" t="inlineStr">
        <is>
          <t>OFFICE 365 IMPLEMENTATION</t>
        </is>
      </c>
      <c r="E86" t="inlineStr">
        <is>
          <t>San Bernardino County Transportation Authority</t>
        </is>
      </c>
      <c r="F86" t="inlineStr">
        <is>
          <t>California</t>
        </is>
      </c>
      <c r="G86" t="inlineStr">
        <is>
          <t>Closed Lost</t>
        </is>
      </c>
      <c r="H86" t="inlineStr">
        <is>
          <t>Yes</t>
        </is>
      </c>
      <c r="I86" t="inlineStr">
        <is>
          <t>Interview</t>
        </is>
      </c>
      <c r="J86" s="96" t="n">
        <v>45964</v>
      </c>
      <c r="K86" s="96" t="n">
        <v>45939</v>
      </c>
      <c r="L86" s="65" t="n">
        <v>61000</v>
      </c>
      <c r="M86" t="inlineStr">
        <is>
          <t>Modernization / Migration</t>
        </is>
      </c>
      <c r="N86" t="inlineStr">
        <is>
          <t>Portal</t>
        </is>
      </c>
      <c r="O86" t="inlineStr">
        <is>
          <t>Ashutosh Chauhan</t>
        </is>
      </c>
      <c r="Q86" t="inlineStr">
        <is>
          <t>2025-10-29</t>
        </is>
      </c>
      <c r="Y86" t="inlineStr">
        <is>
          <t>2025-09-09</t>
        </is>
      </c>
      <c r="Z86" t="inlineStr">
        <is>
          <t>https://app.hubspot.com/contacts/243046792/record/0-3/158110622443</t>
        </is>
      </c>
    </row>
    <row r="87">
      <c r="A87" t="n">
        <v>86</v>
      </c>
      <c r="B87" t="inlineStr">
        <is>
          <t>157264848615</t>
        </is>
      </c>
      <c r="C87" t="inlineStr">
        <is>
          <t>RFP #25-04</t>
        </is>
      </c>
      <c r="D87" t="inlineStr">
        <is>
          <t>IT Managed Services</t>
        </is>
      </c>
      <c r="E87" t="inlineStr">
        <is>
          <t>City of Hudson Oaks</t>
        </is>
      </c>
      <c r="F87" t="inlineStr">
        <is>
          <t>Texas</t>
        </is>
      </c>
      <c r="G87" t="inlineStr">
        <is>
          <t>Closed Lost</t>
        </is>
      </c>
      <c r="H87" t="inlineStr">
        <is>
          <t>No</t>
        </is>
      </c>
      <c r="J87" s="96" t="n">
        <v>46042</v>
      </c>
      <c r="K87" s="96" t="n">
        <v>45939</v>
      </c>
      <c r="M87" t="inlineStr">
        <is>
          <t>Managed Services (MSP)</t>
        </is>
      </c>
      <c r="N87" t="inlineStr">
        <is>
          <t>Email</t>
        </is>
      </c>
      <c r="O87" t="inlineStr">
        <is>
          <t>Ashutosh Chauhan</t>
        </is>
      </c>
      <c r="Y87" t="inlineStr">
        <is>
          <t>2025-09-08</t>
        </is>
      </c>
      <c r="Z87" t="inlineStr">
        <is>
          <t>https://app.hubspot.com/contacts/243046792/record/0-3/157264848615</t>
        </is>
      </c>
    </row>
    <row r="88">
      <c r="A88" t="n">
        <v>87</v>
      </c>
      <c r="B88" t="inlineStr">
        <is>
          <t>168079320786</t>
        </is>
      </c>
      <c r="C88" t="inlineStr">
        <is>
          <t>5000003320</t>
        </is>
      </c>
      <c r="D88" t="inlineStr">
        <is>
          <t xml:space="preserve">Cloud Developer </t>
        </is>
      </c>
      <c r="E88" t="inlineStr">
        <is>
          <t>California State Teachers' Retirement System</t>
        </is>
      </c>
      <c r="F88" t="inlineStr">
        <is>
          <t>California</t>
        </is>
      </c>
      <c r="G88" t="inlineStr">
        <is>
          <t>Submitted</t>
        </is>
      </c>
      <c r="H88" t="inlineStr">
        <is>
          <t>No</t>
        </is>
      </c>
      <c r="J88" s="96" t="n">
        <v>45939</v>
      </c>
      <c r="K88" s="96" t="n">
        <v>45940</v>
      </c>
      <c r="M88" t="inlineStr">
        <is>
          <t>Staff Augmentation</t>
        </is>
      </c>
      <c r="N88" t="inlineStr">
        <is>
          <t>Portal</t>
        </is>
      </c>
      <c r="O88" t="inlineStr">
        <is>
          <t>Abhishek Zalani</t>
        </is>
      </c>
      <c r="Y88" t="inlineStr">
        <is>
          <t>2025-09-22</t>
        </is>
      </c>
      <c r="Z88" t="inlineStr">
        <is>
          <t>https://app.hubspot.com/contacts/243046792/record/0-3/168079320786</t>
        </is>
      </c>
    </row>
    <row r="89">
      <c r="A89" t="n">
        <v>88</v>
      </c>
      <c r="B89" t="inlineStr">
        <is>
          <t>162088909561</t>
        </is>
      </c>
      <c r="C89" t="inlineStr">
        <is>
          <t>25-02CM</t>
        </is>
      </c>
      <c r="D89" t="inlineStr">
        <is>
          <t xml:space="preserve"> Information Technology Services</t>
        </is>
      </c>
      <c r="E89" t="inlineStr">
        <is>
          <t>City of Palmer</t>
        </is>
      </c>
      <c r="F89" t="inlineStr">
        <is>
          <t>Alaska</t>
        </is>
      </c>
      <c r="G89" t="inlineStr">
        <is>
          <t>Submitted</t>
        </is>
      </c>
      <c r="H89" t="inlineStr">
        <is>
          <t>No</t>
        </is>
      </c>
      <c r="J89" s="96" t="n">
        <v>45940</v>
      </c>
      <c r="K89" s="96" t="n">
        <v>45940</v>
      </c>
      <c r="M89" t="inlineStr">
        <is>
          <t>Managed Services (MSP)</t>
        </is>
      </c>
      <c r="N89" t="inlineStr">
        <is>
          <t>Email</t>
        </is>
      </c>
      <c r="O89" t="inlineStr">
        <is>
          <t>Ashutosh Chauhan</t>
        </is>
      </c>
      <c r="Y89" s="96" t="n">
        <v>45915</v>
      </c>
      <c r="Z89" t="inlineStr">
        <is>
          <t>https://app.hubspot.com/contacts/243046792/record/0-3/162088909561</t>
        </is>
      </c>
    </row>
    <row r="90">
      <c r="A90" t="n">
        <v>89</v>
      </c>
      <c r="B90" t="inlineStr">
        <is>
          <t>163704495811</t>
        </is>
      </c>
      <c r="D90" t="inlineStr">
        <is>
          <t>IT Infrastructure Assessment Study</t>
        </is>
      </c>
      <c r="E90" t="inlineStr">
        <is>
          <t>BLOOMINGTON PUBLIC TRANSPORTATION CORPORATION</t>
        </is>
      </c>
      <c r="F90" t="inlineStr">
        <is>
          <t>Indiana</t>
        </is>
      </c>
      <c r="G90" t="inlineStr">
        <is>
          <t>Closed Lost</t>
        </is>
      </c>
      <c r="H90" t="inlineStr">
        <is>
          <t>No</t>
        </is>
      </c>
      <c r="J90" s="96" t="n">
        <v>46030</v>
      </c>
      <c r="K90" s="96" t="n">
        <v>45940</v>
      </c>
      <c r="L90" s="65" t="n">
        <v>48300</v>
      </c>
      <c r="M90" t="inlineStr">
        <is>
          <t>Audits and Assessment</t>
        </is>
      </c>
      <c r="N90" t="inlineStr">
        <is>
          <t>Portal</t>
        </is>
      </c>
      <c r="O90" t="inlineStr">
        <is>
          <t>Ashutosh Chauhan</t>
        </is>
      </c>
      <c r="Y90" t="inlineStr">
        <is>
          <t>2025-09-18</t>
        </is>
      </c>
      <c r="Z90" t="inlineStr">
        <is>
          <t>https://app.hubspot.com/contacts/243046792/record/0-3/163704495811</t>
        </is>
      </c>
    </row>
    <row r="91">
      <c r="A91" t="n">
        <v>90</v>
      </c>
      <c r="B91" t="inlineStr">
        <is>
          <t>158191708877</t>
        </is>
      </c>
      <c r="D91" t="inlineStr">
        <is>
          <t>INFORMATION TECHNOLOGY SOLUTIONS &amp; SERVICES</t>
        </is>
      </c>
      <c r="E91" t="inlineStr">
        <is>
          <t>City of Benson</t>
        </is>
      </c>
      <c r="F91" t="inlineStr">
        <is>
          <t>Arizona</t>
        </is>
      </c>
      <c r="G91" t="inlineStr">
        <is>
          <t>Submitted</t>
        </is>
      </c>
      <c r="H91" t="inlineStr">
        <is>
          <t>No</t>
        </is>
      </c>
      <c r="J91" s="96" t="n">
        <v>45940</v>
      </c>
      <c r="K91" s="96" t="n">
        <v>45943</v>
      </c>
      <c r="L91" s="65" t="n">
        <v>192720</v>
      </c>
      <c r="M91" t="inlineStr">
        <is>
          <t>Managed Services (MSP)</t>
        </is>
      </c>
      <c r="N91" t="inlineStr">
        <is>
          <t>Portal</t>
        </is>
      </c>
      <c r="O91" t="inlineStr">
        <is>
          <t>Abhishek Zalani</t>
        </is>
      </c>
      <c r="Y91" t="inlineStr">
        <is>
          <t>2025-09-10</t>
        </is>
      </c>
      <c r="Z91" t="inlineStr">
        <is>
          <t>https://app.hubspot.com/contacts/243046792/record/0-3/158191708877</t>
        </is>
      </c>
    </row>
    <row r="92">
      <c r="A92" t="n">
        <v>91</v>
      </c>
      <c r="B92" t="inlineStr">
        <is>
          <t>167226060525</t>
        </is>
      </c>
      <c r="C92" t="inlineStr">
        <is>
          <t>26019</t>
        </is>
      </c>
      <c r="D92" t="inlineStr">
        <is>
          <t>Student Engagement Application</t>
        </is>
      </c>
      <c r="E92" t="inlineStr">
        <is>
          <t>Fox Valley Technical College</t>
        </is>
      </c>
      <c r="F92" t="inlineStr">
        <is>
          <t>Wisconsin</t>
        </is>
      </c>
      <c r="G92" t="inlineStr">
        <is>
          <t>Submitted</t>
        </is>
      </c>
      <c r="H92" t="inlineStr">
        <is>
          <t>No</t>
        </is>
      </c>
      <c r="J92" s="96" t="n">
        <v>45943</v>
      </c>
      <c r="K92" s="96" t="n">
        <v>45943</v>
      </c>
      <c r="L92" s="65" t="n">
        <v>191800</v>
      </c>
      <c r="M92" t="inlineStr">
        <is>
          <t>Support &amp; Maintenance;Platform Implementation (ERP, CRMs)</t>
        </is>
      </c>
      <c r="O92" t="inlineStr">
        <is>
          <t>Abhishek Zalani</t>
        </is>
      </c>
      <c r="Y92" t="inlineStr">
        <is>
          <t>2025-09-22</t>
        </is>
      </c>
      <c r="Z92" t="inlineStr">
        <is>
          <t>https://app.hubspot.com/contacts/243046792/record/0-3/167226060525</t>
        </is>
      </c>
    </row>
    <row r="93">
      <c r="A93" t="n">
        <v>92</v>
      </c>
      <c r="B93" t="inlineStr">
        <is>
          <t>182109882089</t>
        </is>
      </c>
      <c r="D93" t="inlineStr">
        <is>
          <t>Enterprise Software Application Services Bench</t>
        </is>
      </c>
      <c r="E93" t="inlineStr">
        <is>
          <t>Los Angeles Unified School District (LAUSD)</t>
        </is>
      </c>
      <c r="F93" t="inlineStr">
        <is>
          <t>California</t>
        </is>
      </c>
      <c r="G93" t="inlineStr">
        <is>
          <t>Closed Lost</t>
        </is>
      </c>
      <c r="H93" t="inlineStr">
        <is>
          <t>No</t>
        </is>
      </c>
      <c r="J93" s="96" t="n">
        <v>46213</v>
      </c>
      <c r="K93" s="96" t="n">
        <v>45943</v>
      </c>
      <c r="M93" t="inlineStr">
        <is>
          <t>Staff Augmentation</t>
        </is>
      </c>
      <c r="N93" t="inlineStr">
        <is>
          <t>Portal</t>
        </is>
      </c>
      <c r="O93" t="inlineStr">
        <is>
          <t>Abhishek Zalani</t>
        </is>
      </c>
      <c r="S93" s="96" t="n"/>
      <c r="Y93" t="inlineStr">
        <is>
          <t>2025-10-09</t>
        </is>
      </c>
      <c r="Z93" t="inlineStr">
        <is>
          <t>https://app.hubspot.com/contacts/243046792/record/0-3/182109882089</t>
        </is>
      </c>
      <c r="AA93" t="inlineStr">
        <is>
          <t>No</t>
        </is>
      </c>
    </row>
    <row r="94">
      <c r="A94" t="n">
        <v>93</v>
      </c>
      <c r="B94" t="inlineStr">
        <is>
          <t>181172764371</t>
        </is>
      </c>
      <c r="D94" t="inlineStr">
        <is>
          <t xml:space="preserve">INFORMATION TECHNOLOGY CONSULTANT SERVICES	</t>
        </is>
      </c>
      <c r="E94" t="inlineStr">
        <is>
          <t xml:space="preserve">Township of Bloomfield </t>
        </is>
      </c>
      <c r="F94" t="inlineStr">
        <is>
          <t>New Jersey</t>
        </is>
      </c>
      <c r="G94" t="inlineStr">
        <is>
          <t>Submitted</t>
        </is>
      </c>
      <c r="H94" t="inlineStr">
        <is>
          <t>No</t>
        </is>
      </c>
      <c r="J94" s="96" t="n">
        <v>45946</v>
      </c>
      <c r="K94" s="96" t="n">
        <v>45943</v>
      </c>
      <c r="L94" s="65" t="n">
        <v>179860</v>
      </c>
      <c r="M94" t="inlineStr">
        <is>
          <t>Managed Services (MSP)</t>
        </is>
      </c>
      <c r="N94" t="inlineStr">
        <is>
          <t>Offline</t>
        </is>
      </c>
      <c r="O94" t="inlineStr">
        <is>
          <t>Jyothsna Nanda kishore</t>
        </is>
      </c>
      <c r="Y94" t="inlineStr">
        <is>
          <t>2025-10-08</t>
        </is>
      </c>
      <c r="Z94" t="inlineStr">
        <is>
          <t>https://app.hubspot.com/contacts/243046792/record/0-3/181172764371</t>
        </is>
      </c>
    </row>
    <row r="95">
      <c r="A95" t="n">
        <v>94</v>
      </c>
      <c r="B95" t="inlineStr">
        <is>
          <t>175110074066</t>
        </is>
      </c>
      <c r="C95" t="inlineStr">
        <is>
          <t>26-008</t>
        </is>
      </c>
      <c r="D95" t="inlineStr">
        <is>
          <t>Business Analyst Consulting Services</t>
        </is>
      </c>
      <c r="E95" t="inlineStr">
        <is>
          <t>Northeast Wisconsin Technical College (NWTC)</t>
        </is>
      </c>
      <c r="F95" t="inlineStr">
        <is>
          <t>Wisconsin</t>
        </is>
      </c>
      <c r="G95" t="inlineStr">
        <is>
          <t>Closed Lost</t>
        </is>
      </c>
      <c r="H95" t="inlineStr">
        <is>
          <t>No</t>
        </is>
      </c>
      <c r="J95" s="96" t="n">
        <v>46162</v>
      </c>
      <c r="K95" s="96" t="n">
        <v>45943</v>
      </c>
      <c r="M95" t="inlineStr">
        <is>
          <t>Consulting</t>
        </is>
      </c>
      <c r="N95" t="inlineStr">
        <is>
          <t>Portal</t>
        </is>
      </c>
      <c r="O95" t="inlineStr">
        <is>
          <t>Jyothsna Nanda kishore</t>
        </is>
      </c>
      <c r="Y95" t="inlineStr">
        <is>
          <t>2025-10-03</t>
        </is>
      </c>
      <c r="Z95" t="inlineStr">
        <is>
          <t>https://app.hubspot.com/contacts/243046792/record/0-3/175110074066</t>
        </is>
      </c>
    </row>
    <row r="96">
      <c r="A96" t="n">
        <v>95</v>
      </c>
      <c r="B96" t="inlineStr">
        <is>
          <t>162089211630</t>
        </is>
      </c>
      <c r="C96" t="inlineStr">
        <is>
          <t>2025-122</t>
        </is>
      </c>
      <c r="D96" t="inlineStr">
        <is>
          <t>Auto-Update Oracle System Integration Testing Environment</t>
        </is>
      </c>
      <c r="E96" t="inlineStr">
        <is>
          <t>Greater Cleveland Regional Transit Authority</t>
        </is>
      </c>
      <c r="F96" t="inlineStr">
        <is>
          <t>Ohio</t>
        </is>
      </c>
      <c r="G96" t="inlineStr">
        <is>
          <t>Interview</t>
        </is>
      </c>
      <c r="H96" t="inlineStr">
        <is>
          <t>Yes</t>
        </is>
      </c>
      <c r="I96" t="inlineStr">
        <is>
          <t>Interview</t>
        </is>
      </c>
      <c r="J96" t="inlineStr">
        <is>
          <t>2026-03-05</t>
        </is>
      </c>
      <c r="K96" s="96" t="n">
        <v>45943</v>
      </c>
      <c r="M96" t="inlineStr">
        <is>
          <t>Support &amp; Maintenance</t>
        </is>
      </c>
      <c r="N96" t="inlineStr">
        <is>
          <t>Email</t>
        </is>
      </c>
      <c r="O96" t="inlineStr">
        <is>
          <t>Ashutosh Chauhan</t>
        </is>
      </c>
      <c r="P96" t="inlineStr">
        <is>
          <t>Interview Scheduled</t>
        </is>
      </c>
      <c r="Q96" t="inlineStr">
        <is>
          <t>2025-11-14</t>
        </is>
      </c>
      <c r="Y96" t="inlineStr">
        <is>
          <t>2025-09-17</t>
        </is>
      </c>
      <c r="Z96" t="inlineStr">
        <is>
          <t>https://app.hubspot.com/contacts/243046792/record/0-3/162089211630</t>
        </is>
      </c>
    </row>
    <row r="97">
      <c r="A97" t="n">
        <v>96</v>
      </c>
      <c r="B97" t="inlineStr">
        <is>
          <t>240974373562</t>
        </is>
      </c>
      <c r="C97" t="inlineStr">
        <is>
          <t>Consolidated IT Services Bench</t>
        </is>
      </c>
      <c r="D97" t="inlineStr">
        <is>
          <t xml:space="preserve">LAUSD - Consolidated IT Services Bench </t>
        </is>
      </c>
      <c r="E97" t="inlineStr">
        <is>
          <t>Los Angeles Unified School District (LAUSD)</t>
        </is>
      </c>
      <c r="F97" t="inlineStr">
        <is>
          <t>California</t>
        </is>
      </c>
      <c r="G97" t="inlineStr">
        <is>
          <t>Closed Won</t>
        </is>
      </c>
      <c r="H97" t="inlineStr">
        <is>
          <t>Yes</t>
        </is>
      </c>
      <c r="I97" t="inlineStr">
        <is>
          <t>BAFO</t>
        </is>
      </c>
      <c r="J97" s="96" t="n">
        <v>46143</v>
      </c>
      <c r="K97" s="96" t="n">
        <v>45943</v>
      </c>
      <c r="M97" t="inlineStr">
        <is>
          <t>Staff Augmentation</t>
        </is>
      </c>
      <c r="N97" t="inlineStr">
        <is>
          <t>Portal</t>
        </is>
      </c>
      <c r="O97" t="inlineStr">
        <is>
          <t>Abhishek Zalani</t>
        </is>
      </c>
      <c r="P97" t="inlineStr">
        <is>
          <t>BAFO</t>
        </is>
      </c>
      <c r="R97" t="inlineStr">
        <is>
          <t>2025-12-05</t>
        </is>
      </c>
      <c r="S97" t="inlineStr">
        <is>
          <t>2025-11-21</t>
        </is>
      </c>
      <c r="U97" s="96" t="n">
        <v>46147</v>
      </c>
      <c r="Y97" t="inlineStr">
        <is>
          <t>2025-10-09</t>
        </is>
      </c>
      <c r="Z97" t="inlineStr">
        <is>
          <t>https://app.hubspot.com/contacts/243046792/record/0-3/240974373562</t>
        </is>
      </c>
      <c r="AA97" t="inlineStr">
        <is>
          <t>No</t>
        </is>
      </c>
    </row>
    <row r="98">
      <c r="A98" t="n">
        <v>97</v>
      </c>
      <c r="B98" t="inlineStr">
        <is>
          <t>183834024660</t>
        </is>
      </c>
      <c r="D98" t="inlineStr">
        <is>
          <t>Veeam Data Platform Advanced Universal Subscription (Rebid)</t>
        </is>
      </c>
      <c r="E98" t="inlineStr">
        <is>
          <t>City of Rancho Cucamonga</t>
        </is>
      </c>
      <c r="F98" t="inlineStr">
        <is>
          <t>California</t>
        </is>
      </c>
      <c r="G98" t="inlineStr">
        <is>
          <t>Closed Lost</t>
        </is>
      </c>
      <c r="H98" t="inlineStr">
        <is>
          <t>No</t>
        </is>
      </c>
      <c r="J98" s="96" t="n">
        <v>45957</v>
      </c>
      <c r="K98" s="96" t="n">
        <v>45944</v>
      </c>
      <c r="L98" s="65" t="n">
        <v>67000</v>
      </c>
      <c r="M98" t="inlineStr">
        <is>
          <t>Reseller</t>
        </is>
      </c>
      <c r="N98" t="inlineStr">
        <is>
          <t>Portal</t>
        </is>
      </c>
      <c r="O98" t="inlineStr">
        <is>
          <t>Ashutosh Chauhan</t>
        </is>
      </c>
      <c r="Y98" t="inlineStr">
        <is>
          <t>2025-10-10</t>
        </is>
      </c>
      <c r="Z98" t="inlineStr">
        <is>
          <t>https://app.hubspot.com/contacts/243046792/record/0-3/183834024660</t>
        </is>
      </c>
    </row>
    <row r="99">
      <c r="A99" t="n">
        <v>98</v>
      </c>
      <c r="B99" t="inlineStr">
        <is>
          <t>241471982294</t>
        </is>
      </c>
      <c r="D99" t="inlineStr">
        <is>
          <t>Town of St. Michaels - Managed IT Services</t>
        </is>
      </c>
      <c r="E99" t="inlineStr">
        <is>
          <t xml:space="preserve">Town of St Michaels </t>
        </is>
      </c>
      <c r="F99" t="inlineStr">
        <is>
          <t>Maryland</t>
        </is>
      </c>
      <c r="G99" t="inlineStr">
        <is>
          <t>Closed Won</t>
        </is>
      </c>
      <c r="H99" t="inlineStr">
        <is>
          <t>No</t>
        </is>
      </c>
      <c r="J99" s="96" t="n">
        <v>45964</v>
      </c>
      <c r="K99" s="96" t="n">
        <v>45944</v>
      </c>
      <c r="L99" s="65" t="n">
        <v>74000</v>
      </c>
      <c r="M99" t="inlineStr">
        <is>
          <t>Managed Services (MSP)</t>
        </is>
      </c>
      <c r="N99" t="inlineStr">
        <is>
          <t>Email</t>
        </is>
      </c>
      <c r="O99" t="inlineStr">
        <is>
          <t>Abhishek Zalani</t>
        </is>
      </c>
      <c r="S99" t="inlineStr">
        <is>
          <t>2025-10-22</t>
        </is>
      </c>
      <c r="U99" s="96" t="n">
        <v>45981</v>
      </c>
      <c r="V99" t="inlineStr">
        <is>
          <t>In Process</t>
        </is>
      </c>
      <c r="Y99" t="inlineStr">
        <is>
          <t>2025-10-01</t>
        </is>
      </c>
      <c r="Z99" t="inlineStr">
        <is>
          <t>https://app.hubspot.com/contacts/243046792/record/0-3/241471982294</t>
        </is>
      </c>
      <c r="AA99" t="inlineStr">
        <is>
          <t>Yes</t>
        </is>
      </c>
    </row>
    <row r="100">
      <c r="A100" t="n">
        <v>99</v>
      </c>
      <c r="B100" t="inlineStr">
        <is>
          <t>148302305009</t>
        </is>
      </c>
      <c r="C100" t="inlineStr">
        <is>
          <t>2025-012</t>
        </is>
      </c>
      <c r="D100" t="inlineStr">
        <is>
          <t>TQ. Information Technology (IT) Services</t>
        </is>
      </c>
      <c r="E100" t="inlineStr">
        <is>
          <t>Brainerd Housing and Redevelopment Authority</t>
        </is>
      </c>
      <c r="F100" t="inlineStr">
        <is>
          <t>Minnesota</t>
        </is>
      </c>
      <c r="G100" t="inlineStr">
        <is>
          <t>Closed Lost</t>
        </is>
      </c>
      <c r="H100" t="inlineStr">
        <is>
          <t>No</t>
        </is>
      </c>
      <c r="J100" s="96" t="n">
        <v>45975</v>
      </c>
      <c r="K100" s="96" t="n">
        <v>45944</v>
      </c>
      <c r="L100" s="65" t="n">
        <v>25368</v>
      </c>
      <c r="M100" t="inlineStr">
        <is>
          <t>Managed Services (MSP)</t>
        </is>
      </c>
      <c r="N100" t="inlineStr">
        <is>
          <t>Offline</t>
        </is>
      </c>
      <c r="O100" t="inlineStr">
        <is>
          <t>Jyothsna Nanda kishore</t>
        </is>
      </c>
      <c r="Y100" t="inlineStr">
        <is>
          <t>2025-08-29</t>
        </is>
      </c>
      <c r="Z100" t="inlineStr">
        <is>
          <t>https://app.hubspot.com/contacts/243046792/record/0-3/148302305009</t>
        </is>
      </c>
    </row>
    <row r="101">
      <c r="A101" t="n">
        <v>100</v>
      </c>
      <c r="B101" t="inlineStr">
        <is>
          <t>157264848599</t>
        </is>
      </c>
      <c r="D101" t="inlineStr">
        <is>
          <t>Managed IT Professional Services</t>
        </is>
      </c>
      <c r="E101" t="inlineStr">
        <is>
          <t>Star Transit</t>
        </is>
      </c>
      <c r="F101" t="inlineStr">
        <is>
          <t>Texas</t>
        </is>
      </c>
      <c r="G101" t="inlineStr">
        <is>
          <t>Closed Lost</t>
        </is>
      </c>
      <c r="H101" t="inlineStr">
        <is>
          <t>No</t>
        </is>
      </c>
      <c r="J101" s="96" t="n">
        <v>46115</v>
      </c>
      <c r="K101" s="96" t="n">
        <v>45944</v>
      </c>
      <c r="M101" t="inlineStr">
        <is>
          <t>Managed Services (MSP);Consulting</t>
        </is>
      </c>
      <c r="O101" t="inlineStr">
        <is>
          <t>Abhishek Zalani</t>
        </is>
      </c>
      <c r="Y101" t="inlineStr">
        <is>
          <t>2025-09-08</t>
        </is>
      </c>
      <c r="Z101" t="inlineStr">
        <is>
          <t>https://app.hubspot.com/contacts/243046792/record/0-3/157264848599</t>
        </is>
      </c>
    </row>
    <row r="102">
      <c r="A102" t="n">
        <v>101</v>
      </c>
      <c r="B102" t="inlineStr">
        <is>
          <t>167226780372</t>
        </is>
      </c>
      <c r="D102" t="inlineStr">
        <is>
          <t xml:space="preserve">Security Awareness Training &amp; Phishing Simulation Software / Services		</t>
        </is>
      </c>
      <c r="E102" t="inlineStr">
        <is>
          <t>CPS Energy</t>
        </is>
      </c>
      <c r="F102" t="inlineStr">
        <is>
          <t>Texas</t>
        </is>
      </c>
      <c r="G102" t="inlineStr">
        <is>
          <t>RFx Cancelled</t>
        </is>
      </c>
      <c r="H102" t="inlineStr">
        <is>
          <t>No</t>
        </is>
      </c>
      <c r="J102" s="96" t="n">
        <v>46028</v>
      </c>
      <c r="K102" s="96" t="n">
        <v>45945</v>
      </c>
      <c r="L102" s="65" t="n">
        <v>10000</v>
      </c>
      <c r="M102" t="inlineStr">
        <is>
          <t>Managed Services (MSP);Training</t>
        </is>
      </c>
      <c r="N102" t="inlineStr">
        <is>
          <t>Portal</t>
        </is>
      </c>
      <c r="O102" t="inlineStr">
        <is>
          <t>Ashutosh Chauhan</t>
        </is>
      </c>
      <c r="Y102" t="inlineStr">
        <is>
          <t>2025-09-22</t>
        </is>
      </c>
      <c r="Z102" t="inlineStr">
        <is>
          <t>https://app.hubspot.com/contacts/243046792/record/0-3/167226780372</t>
        </is>
      </c>
    </row>
    <row r="103">
      <c r="A103" t="n">
        <v>102</v>
      </c>
      <c r="B103" t="inlineStr">
        <is>
          <t>159501546182</t>
        </is>
      </c>
      <c r="C103" t="inlineStr">
        <is>
          <t>25-082</t>
        </is>
      </c>
      <c r="D103" t="inlineStr">
        <is>
          <t>[Shared Award] El Paso County - Amazon Web Services Website Managed ServicesID: 25-082</t>
        </is>
      </c>
      <c r="E103" t="inlineStr">
        <is>
          <t>El Paso County</t>
        </is>
      </c>
      <c r="F103" t="inlineStr">
        <is>
          <t>Colorado</t>
        </is>
      </c>
      <c r="G103" t="inlineStr">
        <is>
          <t>Closed Won</t>
        </is>
      </c>
      <c r="H103" t="inlineStr">
        <is>
          <t>Yes</t>
        </is>
      </c>
      <c r="I103" t="inlineStr">
        <is>
          <t>Interview</t>
        </is>
      </c>
      <c r="J103" s="96" t="n">
        <v>46111</v>
      </c>
      <c r="K103" s="96" t="n">
        <v>45945</v>
      </c>
      <c r="L103" s="65" t="n">
        <v>148500</v>
      </c>
      <c r="M103" t="inlineStr">
        <is>
          <t>Managed Services (MSP)</t>
        </is>
      </c>
      <c r="N103" t="inlineStr">
        <is>
          <t>Portal</t>
        </is>
      </c>
      <c r="O103" t="inlineStr">
        <is>
          <t>Jyothsna Nanda kishore</t>
        </is>
      </c>
      <c r="Q103" t="inlineStr">
        <is>
          <t>2025-12-17</t>
        </is>
      </c>
      <c r="S103" t="inlineStr">
        <is>
          <t>2026-02-03</t>
        </is>
      </c>
      <c r="U103" s="96" t="n">
        <v>46068</v>
      </c>
      <c r="V103" t="inlineStr">
        <is>
          <t>In Process</t>
        </is>
      </c>
      <c r="Y103" t="inlineStr">
        <is>
          <t>2025-09-12</t>
        </is>
      </c>
      <c r="Z103" t="inlineStr">
        <is>
          <t>https://app.hubspot.com/contacts/243046792/record/0-3/159501546182</t>
        </is>
      </c>
      <c r="AA103" t="inlineStr">
        <is>
          <t>Yes</t>
        </is>
      </c>
    </row>
    <row r="104">
      <c r="A104" t="n">
        <v>103</v>
      </c>
      <c r="B104" t="inlineStr">
        <is>
          <t>164634446543</t>
        </is>
      </c>
      <c r="C104" t="inlineStr">
        <is>
          <t>RFP26007KAB</t>
        </is>
      </c>
      <c r="D104" t="inlineStr">
        <is>
          <t>Enterprise Resource Planning System and Services</t>
        </is>
      </c>
      <c r="E104" t="inlineStr">
        <is>
          <t>Clark County School District</t>
        </is>
      </c>
      <c r="F104" t="inlineStr">
        <is>
          <t>Nevada</t>
        </is>
      </c>
      <c r="G104" t="inlineStr">
        <is>
          <t>Submitted</t>
        </is>
      </c>
      <c r="H104" t="inlineStr">
        <is>
          <t>No</t>
        </is>
      </c>
      <c r="J104" s="96" t="n">
        <v>45939</v>
      </c>
      <c r="K104" s="96" t="n">
        <v>45946</v>
      </c>
      <c r="L104" s="65" t="n">
        <v>180988276.8</v>
      </c>
      <c r="M104" t="inlineStr">
        <is>
          <t>Platform Implementation (ERP, CRMs)</t>
        </is>
      </c>
      <c r="N104" t="inlineStr">
        <is>
          <t>Portal</t>
        </is>
      </c>
      <c r="O104" t="inlineStr">
        <is>
          <t>Abhishek Zalani</t>
        </is>
      </c>
      <c r="Y104" t="inlineStr">
        <is>
          <t>2025-09-22</t>
        </is>
      </c>
      <c r="Z104" t="inlineStr">
        <is>
          <t>https://app.hubspot.com/contacts/243046792/record/0-3/164634446543</t>
        </is>
      </c>
    </row>
    <row r="105">
      <c r="A105" t="n">
        <v>104</v>
      </c>
      <c r="B105" t="inlineStr">
        <is>
          <t>181172763351</t>
        </is>
      </c>
      <c r="D105" t="inlineStr">
        <is>
          <t>Network and IT Security Consultant Services</t>
        </is>
      </c>
      <c r="E105" t="inlineStr">
        <is>
          <t xml:space="preserve">Township of Bloomfield </t>
        </is>
      </c>
      <c r="F105" t="inlineStr">
        <is>
          <t>New Jersey</t>
        </is>
      </c>
      <c r="G105" t="inlineStr">
        <is>
          <t>Submitted</t>
        </is>
      </c>
      <c r="H105" t="inlineStr">
        <is>
          <t>No</t>
        </is>
      </c>
      <c r="J105" s="96" t="n">
        <v>45946</v>
      </c>
      <c r="K105" s="96" t="n">
        <v>45946</v>
      </c>
      <c r="M105" t="inlineStr">
        <is>
          <t>Consulting</t>
        </is>
      </c>
      <c r="O105" t="inlineStr">
        <is>
          <t>Abhishek Zalani</t>
        </is>
      </c>
      <c r="Y105" t="inlineStr">
        <is>
          <t>2025-10-08</t>
        </is>
      </c>
      <c r="Z105" t="inlineStr">
        <is>
          <t>https://app.hubspot.com/contacts/243046792/record/0-3/181172763351</t>
        </is>
      </c>
    </row>
    <row r="106">
      <c r="A106" t="n">
        <v>105</v>
      </c>
      <c r="B106" t="inlineStr">
        <is>
          <t>129524924114</t>
        </is>
      </c>
      <c r="D106" t="inlineStr">
        <is>
          <t>Staffing Augmentation and Recruiting Services</t>
        </is>
      </c>
      <c r="E106" t="inlineStr">
        <is>
          <t>City of Charlotte</t>
        </is>
      </c>
      <c r="F106" t="inlineStr">
        <is>
          <t>North Carolina</t>
        </is>
      </c>
      <c r="G106" t="inlineStr">
        <is>
          <t>Submitted</t>
        </is>
      </c>
      <c r="H106" t="inlineStr">
        <is>
          <t>No</t>
        </is>
      </c>
      <c r="J106" s="96" t="n">
        <v>45947</v>
      </c>
      <c r="K106" s="96" t="n">
        <v>45946</v>
      </c>
      <c r="M106" t="inlineStr">
        <is>
          <t>Staff Augmentation</t>
        </is>
      </c>
      <c r="O106" t="inlineStr">
        <is>
          <t>Ashutosh Chauhan</t>
        </is>
      </c>
      <c r="Y106" t="inlineStr">
        <is>
          <t>2025-07-28</t>
        </is>
      </c>
      <c r="Z106" t="inlineStr">
        <is>
          <t>https://app.hubspot.com/contacts/243046792/record/0-3/129524924114</t>
        </is>
      </c>
    </row>
    <row r="107">
      <c r="A107" t="n">
        <v>106</v>
      </c>
      <c r="B107" t="inlineStr">
        <is>
          <t>173488505589</t>
        </is>
      </c>
      <c r="D107" t="inlineStr">
        <is>
          <t>Information Technology Strategic Planning</t>
        </is>
      </c>
      <c r="E107" t="inlineStr">
        <is>
          <t>City of San Ramon</t>
        </is>
      </c>
      <c r="F107" t="inlineStr">
        <is>
          <t>California</t>
        </is>
      </c>
      <c r="G107" t="inlineStr">
        <is>
          <t>Closed Lost</t>
        </is>
      </c>
      <c r="H107" t="inlineStr">
        <is>
          <t>No</t>
        </is>
      </c>
      <c r="J107" s="96" t="n">
        <v>45980</v>
      </c>
      <c r="K107" s="96" t="n">
        <v>45946</v>
      </c>
      <c r="L107" s="65" t="n">
        <v>45400</v>
      </c>
      <c r="M107" t="inlineStr">
        <is>
          <t>Consulting</t>
        </is>
      </c>
      <c r="N107" t="inlineStr">
        <is>
          <t>Offline</t>
        </is>
      </c>
      <c r="O107" t="inlineStr">
        <is>
          <t>Jyothsna Nanda kishore</t>
        </is>
      </c>
      <c r="Y107" t="inlineStr">
        <is>
          <t>2025-10-01</t>
        </is>
      </c>
      <c r="Z107" t="inlineStr">
        <is>
          <t>https://app.hubspot.com/contacts/243046792/record/0-3/173488505589</t>
        </is>
      </c>
    </row>
    <row r="108">
      <c r="A108" t="n">
        <v>107</v>
      </c>
      <c r="B108" t="inlineStr">
        <is>
          <t>162089209576</t>
        </is>
      </c>
      <c r="D108" t="inlineStr">
        <is>
          <t>Managed IT Services (Rebid)</t>
        </is>
      </c>
      <c r="E108" t="inlineStr">
        <is>
          <t>San Joaquin Council of Governments (SJCOG)</t>
        </is>
      </c>
      <c r="F108" t="inlineStr">
        <is>
          <t>California</t>
        </is>
      </c>
      <c r="G108" t="inlineStr">
        <is>
          <t>Closed Lost</t>
        </is>
      </c>
      <c r="H108" t="inlineStr">
        <is>
          <t>No</t>
        </is>
      </c>
      <c r="J108" s="96" t="n">
        <v>46001</v>
      </c>
      <c r="K108" s="96" t="n">
        <v>45946</v>
      </c>
      <c r="L108" s="65" t="n">
        <v>416150.13</v>
      </c>
      <c r="M108" t="inlineStr">
        <is>
          <t>Managed Services (MSP)</t>
        </is>
      </c>
      <c r="O108" t="inlineStr">
        <is>
          <t>Jyothsna Nanda kishore</t>
        </is>
      </c>
      <c r="Y108" t="inlineStr">
        <is>
          <t>2025-09-17</t>
        </is>
      </c>
      <c r="Z108" t="inlineStr">
        <is>
          <t>https://app.hubspot.com/contacts/243046792/record/0-3/162089209576</t>
        </is>
      </c>
    </row>
    <row r="109">
      <c r="A109" t="n">
        <v>108</v>
      </c>
      <c r="B109" t="inlineStr">
        <is>
          <t>180873322205</t>
        </is>
      </c>
      <c r="D109" t="inlineStr">
        <is>
          <t>Web hosting for the Drupal Website Service Using CMS</t>
        </is>
      </c>
      <c r="E109" t="inlineStr">
        <is>
          <t xml:space="preserve">The City of Berkeley Public Library </t>
        </is>
      </c>
      <c r="F109" t="inlineStr">
        <is>
          <t>California</t>
        </is>
      </c>
      <c r="G109" t="inlineStr">
        <is>
          <t>Submitted</t>
        </is>
      </c>
      <c r="H109" t="inlineStr">
        <is>
          <t>No</t>
        </is>
      </c>
      <c r="J109" s="96" t="n">
        <v>45947</v>
      </c>
      <c r="K109" s="96" t="n">
        <v>45947</v>
      </c>
      <c r="M109" t="inlineStr">
        <is>
          <t>Platform Implementation (ERP, CRMs)</t>
        </is>
      </c>
      <c r="O109" t="inlineStr">
        <is>
          <t>Abhishek Zalani</t>
        </is>
      </c>
      <c r="Y109" t="inlineStr">
        <is>
          <t>2025-10-08</t>
        </is>
      </c>
      <c r="Z109" t="inlineStr">
        <is>
          <t>https://app.hubspot.com/contacts/243046792/record/0-3/180873322205</t>
        </is>
      </c>
    </row>
    <row r="110">
      <c r="A110" t="n">
        <v>109</v>
      </c>
      <c r="B110" t="inlineStr">
        <is>
          <t>180556585692</t>
        </is>
      </c>
      <c r="D110" t="inlineStr">
        <is>
          <t>CLOUD-BASED DIGITAL ASSET MANAGEMENT SYSTEM</t>
        </is>
      </c>
      <c r="E110" t="inlineStr">
        <is>
          <t>Friends of Southwest Virginia</t>
        </is>
      </c>
      <c r="F110" t="inlineStr">
        <is>
          <t>Virginia</t>
        </is>
      </c>
      <c r="G110" t="inlineStr">
        <is>
          <t>Submitted</t>
        </is>
      </c>
      <c r="H110" t="inlineStr">
        <is>
          <t>Yes</t>
        </is>
      </c>
      <c r="I110" t="inlineStr">
        <is>
          <t>Interview</t>
        </is>
      </c>
      <c r="J110" s="96" t="n">
        <v>45947</v>
      </c>
      <c r="K110" s="96" t="n">
        <v>45947</v>
      </c>
      <c r="L110" s="65" t="n">
        <v>94216</v>
      </c>
      <c r="M110" t="inlineStr">
        <is>
          <t>Platform Implementation (ERP, CRMs)</t>
        </is>
      </c>
      <c r="N110" t="inlineStr">
        <is>
          <t>Email</t>
        </is>
      </c>
      <c r="O110" t="inlineStr">
        <is>
          <t>Abhishek Zalani</t>
        </is>
      </c>
      <c r="P110" t="inlineStr">
        <is>
          <t>Interview Scheduled</t>
        </is>
      </c>
      <c r="Q110" t="inlineStr">
        <is>
          <t>2026-01-13</t>
        </is>
      </c>
      <c r="Y110" t="inlineStr">
        <is>
          <t>2025-10-07</t>
        </is>
      </c>
      <c r="Z110" t="inlineStr">
        <is>
          <t>https://app.hubspot.com/contacts/243046792/record/0-3/180556585692</t>
        </is>
      </c>
    </row>
    <row r="111">
      <c r="A111" t="n">
        <v>110</v>
      </c>
      <c r="B111" t="inlineStr">
        <is>
          <t>162089209585</t>
        </is>
      </c>
      <c r="D111" t="inlineStr">
        <is>
          <t>Online Learning Design and Platform Development Services</t>
        </is>
      </c>
      <c r="E111" t="inlineStr">
        <is>
          <t>Charter Oak State College</t>
        </is>
      </c>
      <c r="F111" t="inlineStr">
        <is>
          <t>Connecticut</t>
        </is>
      </c>
      <c r="G111" t="inlineStr">
        <is>
          <t>Submitted</t>
        </is>
      </c>
      <c r="H111" t="inlineStr">
        <is>
          <t>No</t>
        </is>
      </c>
      <c r="J111" s="96" t="n">
        <v>45947</v>
      </c>
      <c r="K111" s="96" t="n">
        <v>45947</v>
      </c>
      <c r="O111" t="inlineStr">
        <is>
          <t>Abhishek Zalani</t>
        </is>
      </c>
      <c r="Y111" s="96" t="n">
        <v>45917</v>
      </c>
      <c r="Z111" t="inlineStr">
        <is>
          <t>https://app.hubspot.com/contacts/243046792/record/0-3/162089209585</t>
        </is>
      </c>
    </row>
    <row r="112">
      <c r="A112" t="n">
        <v>111</v>
      </c>
      <c r="B112" t="inlineStr">
        <is>
          <t>180870444755</t>
        </is>
      </c>
      <c r="D112" t="inlineStr">
        <is>
          <t>Salesforce Education Cloud Migration Partner</t>
        </is>
      </c>
      <c r="E112" t="inlineStr">
        <is>
          <t xml:space="preserve">University of Michigan </t>
        </is>
      </c>
      <c r="F112" t="inlineStr">
        <is>
          <t>Michigan</t>
        </is>
      </c>
      <c r="G112" t="inlineStr">
        <is>
          <t>Submitted</t>
        </is>
      </c>
      <c r="H112" t="inlineStr">
        <is>
          <t>No</t>
        </is>
      </c>
      <c r="J112" s="96" t="n">
        <v>45947</v>
      </c>
      <c r="K112" s="96" t="n">
        <v>45947</v>
      </c>
      <c r="M112" t="inlineStr">
        <is>
          <t>Modernization / Migration</t>
        </is>
      </c>
      <c r="O112" t="inlineStr">
        <is>
          <t>Abhishek Zalani</t>
        </is>
      </c>
      <c r="Y112" t="inlineStr">
        <is>
          <t>2025-10-08</t>
        </is>
      </c>
      <c r="Z112" t="inlineStr">
        <is>
          <t>https://app.hubspot.com/contacts/243046792/record/0-3/180870444755</t>
        </is>
      </c>
    </row>
    <row r="113">
      <c r="A113" t="n">
        <v>112</v>
      </c>
      <c r="B113" t="inlineStr">
        <is>
          <t>181960951499</t>
        </is>
      </c>
      <c r="D113" t="inlineStr">
        <is>
          <t>On-Site and Remote Information Technology Support Services for Kimble County, TX</t>
        </is>
      </c>
      <c r="E113" t="inlineStr">
        <is>
          <t>Concho Valley Council of Governments</t>
        </is>
      </c>
      <c r="F113" t="inlineStr">
        <is>
          <t>Texas</t>
        </is>
      </c>
      <c r="G113" t="inlineStr">
        <is>
          <t>Closed Lost</t>
        </is>
      </c>
      <c r="H113" t="inlineStr">
        <is>
          <t>No</t>
        </is>
      </c>
      <c r="J113" s="96" t="n">
        <v>46163</v>
      </c>
      <c r="K113" s="96" t="n">
        <v>45947</v>
      </c>
      <c r="L113" s="65" t="n">
        <v>30840</v>
      </c>
      <c r="M113" t="inlineStr">
        <is>
          <t>Managed Services (MSP)</t>
        </is>
      </c>
      <c r="N113" t="inlineStr">
        <is>
          <t>Offline</t>
        </is>
      </c>
      <c r="O113" t="inlineStr">
        <is>
          <t>Jyothsna Nanda kishore</t>
        </is>
      </c>
      <c r="Y113" t="inlineStr">
        <is>
          <t>2025-10-09</t>
        </is>
      </c>
      <c r="Z113" t="inlineStr">
        <is>
          <t>https://app.hubspot.com/contacts/243046792/record/0-3/181960951499</t>
        </is>
      </c>
    </row>
    <row r="114">
      <c r="A114" t="n">
        <v>113</v>
      </c>
      <c r="B114" t="inlineStr">
        <is>
          <t>163845513922</t>
        </is>
      </c>
      <c r="C114" t="inlineStr">
        <is>
          <t xml:space="preserve">2025-11078 </t>
        </is>
      </c>
      <c r="D114" t="inlineStr">
        <is>
          <t>Technology Master Plan Development Services</t>
        </is>
      </c>
      <c r="E114" t="inlineStr">
        <is>
          <t xml:space="preserve">Spokane Transit Authority </t>
        </is>
      </c>
      <c r="F114" t="inlineStr">
        <is>
          <t>Washington</t>
        </is>
      </c>
      <c r="G114" t="inlineStr">
        <is>
          <t>Closed Lost</t>
        </is>
      </c>
      <c r="H114" t="inlineStr">
        <is>
          <t>No</t>
        </is>
      </c>
      <c r="J114" s="96" t="n">
        <v>46042</v>
      </c>
      <c r="K114" s="96" t="n">
        <v>45947</v>
      </c>
      <c r="M114" t="inlineStr">
        <is>
          <t>Consulting;Audits and Assessment</t>
        </is>
      </c>
      <c r="O114" t="inlineStr">
        <is>
          <t>Arshdeep Kaur</t>
        </is>
      </c>
      <c r="Y114" t="inlineStr">
        <is>
          <t>2025-09-18</t>
        </is>
      </c>
      <c r="Z114" t="inlineStr">
        <is>
          <t>https://app.hubspot.com/contacts/243046792/record/0-3/163845513922</t>
        </is>
      </c>
    </row>
    <row r="115">
      <c r="A115" t="n">
        <v>114</v>
      </c>
      <c r="B115" t="inlineStr">
        <is>
          <t>169109642951</t>
        </is>
      </c>
      <c r="C115" t="inlineStr">
        <is>
          <t>242-25-00022</t>
        </is>
      </c>
      <c r="D115" t="inlineStr">
        <is>
          <t xml:space="preserve">Christopher Newport University - Consulting &amp; Training Support - Workday Adaptive Planning </t>
        </is>
      </c>
      <c r="E115" t="inlineStr">
        <is>
          <t>Christopher Newport University</t>
        </is>
      </c>
      <c r="F115" t="inlineStr">
        <is>
          <t>Virginia</t>
        </is>
      </c>
      <c r="G115" t="inlineStr">
        <is>
          <t>Closed Won</t>
        </is>
      </c>
      <c r="H115" t="inlineStr">
        <is>
          <t>Yes</t>
        </is>
      </c>
      <c r="I115" t="inlineStr">
        <is>
          <t>BAFO</t>
        </is>
      </c>
      <c r="J115" s="96" t="n">
        <v>46049</v>
      </c>
      <c r="K115" s="96" t="n">
        <v>45948</v>
      </c>
      <c r="L115" s="65" t="n">
        <v>25127</v>
      </c>
      <c r="M115" t="inlineStr">
        <is>
          <t>Consulting;Training</t>
        </is>
      </c>
      <c r="N115" t="inlineStr">
        <is>
          <t>Offline</t>
        </is>
      </c>
      <c r="O115" t="inlineStr">
        <is>
          <t>Ashutosh Chauhan</t>
        </is>
      </c>
      <c r="P115" t="inlineStr">
        <is>
          <t>Interview Scheduled</t>
        </is>
      </c>
      <c r="Q115" t="inlineStr">
        <is>
          <t>2025-12-08</t>
        </is>
      </c>
      <c r="R115" t="inlineStr">
        <is>
          <t>2025-12-19</t>
        </is>
      </c>
      <c r="S115" t="inlineStr">
        <is>
          <t>2026-01-14</t>
        </is>
      </c>
      <c r="U115" s="96" t="n">
        <v>46048</v>
      </c>
      <c r="V115" t="inlineStr">
        <is>
          <t>Awarded</t>
        </is>
      </c>
      <c r="Y115" t="inlineStr">
        <is>
          <t>2025-09-24</t>
        </is>
      </c>
      <c r="Z115" t="inlineStr">
        <is>
          <t>https://app.hubspot.com/contacts/243046792/record/0-3/169109642951</t>
        </is>
      </c>
      <c r="AA115" t="inlineStr">
        <is>
          <t>Yes</t>
        </is>
      </c>
    </row>
    <row r="116">
      <c r="A116" t="n">
        <v>115</v>
      </c>
      <c r="B116" t="inlineStr">
        <is>
          <t>158454897354</t>
        </is>
      </c>
      <c r="C116" t="inlineStr">
        <is>
          <t>25-32JLR</t>
        </is>
      </c>
      <c r="D116" t="inlineStr">
        <is>
          <t xml:space="preserve">AS-NEEDED IT APPLICATIONS CONSULTING SERVICES </t>
        </is>
      </c>
      <c r="E116" t="inlineStr">
        <is>
          <t>Port of San Diego</t>
        </is>
      </c>
      <c r="F116" t="inlineStr">
        <is>
          <t>California</t>
        </is>
      </c>
      <c r="G116" t="inlineStr">
        <is>
          <t>Submitted</t>
        </is>
      </c>
      <c r="H116" t="inlineStr">
        <is>
          <t>No</t>
        </is>
      </c>
      <c r="J116" s="96" t="n">
        <v>45950</v>
      </c>
      <c r="K116" s="96" t="n">
        <v>45950</v>
      </c>
      <c r="M116" t="inlineStr">
        <is>
          <t>Consulting</t>
        </is>
      </c>
      <c r="O116" t="inlineStr">
        <is>
          <t>Ashutosh Chauhan</t>
        </is>
      </c>
      <c r="Y116" s="96" t="n">
        <v>45911</v>
      </c>
      <c r="Z116" t="inlineStr">
        <is>
          <t>https://app.hubspot.com/contacts/243046792/record/0-3/158454897354</t>
        </is>
      </c>
    </row>
    <row r="117">
      <c r="A117" t="n">
        <v>116</v>
      </c>
      <c r="B117" t="inlineStr">
        <is>
          <t>173703389893</t>
        </is>
      </c>
      <c r="D117" t="inlineStr">
        <is>
          <t>IT Staff Augmentation - Blanket Master Contract</t>
        </is>
      </c>
      <c r="E117" t="inlineStr">
        <is>
          <t>Idaho National Laboratory</t>
        </is>
      </c>
      <c r="F117" t="inlineStr">
        <is>
          <t>Idaho</t>
        </is>
      </c>
      <c r="G117" t="inlineStr">
        <is>
          <t>Submitted</t>
        </is>
      </c>
      <c r="H117" t="inlineStr">
        <is>
          <t>No</t>
        </is>
      </c>
      <c r="J117" s="96" t="n">
        <v>45951</v>
      </c>
      <c r="K117" s="96" t="n">
        <v>45950</v>
      </c>
      <c r="M117" t="inlineStr">
        <is>
          <t>Staff Augmentation</t>
        </is>
      </c>
      <c r="N117" t="inlineStr">
        <is>
          <t>Email</t>
        </is>
      </c>
      <c r="O117" t="inlineStr">
        <is>
          <t>Abhishek Zalani</t>
        </is>
      </c>
      <c r="Y117" t="inlineStr">
        <is>
          <t>2025-10-06</t>
        </is>
      </c>
      <c r="Z117" t="inlineStr">
        <is>
          <t>https://app.hubspot.com/contacts/243046792/record/0-3/173703389893</t>
        </is>
      </c>
    </row>
    <row r="118">
      <c r="A118" t="n">
        <v>117</v>
      </c>
      <c r="B118" t="inlineStr">
        <is>
          <t>190040531654</t>
        </is>
      </c>
      <c r="D118" t="inlineStr">
        <is>
          <t>Information Technology Strategic Planning Services</t>
        </is>
      </c>
      <c r="E118" t="inlineStr">
        <is>
          <t>City of East Palo Alto</t>
        </is>
      </c>
      <c r="F118" t="inlineStr">
        <is>
          <t>California</t>
        </is>
      </c>
      <c r="G118" t="inlineStr">
        <is>
          <t>Closed Lost</t>
        </is>
      </c>
      <c r="H118" t="inlineStr">
        <is>
          <t>No</t>
        </is>
      </c>
      <c r="J118" s="96" t="n">
        <v>45975</v>
      </c>
      <c r="K118" s="96" t="n">
        <v>45950</v>
      </c>
      <c r="L118" s="65" t="n">
        <v>26500</v>
      </c>
      <c r="M118" t="inlineStr">
        <is>
          <t>Consulting</t>
        </is>
      </c>
      <c r="N118" t="inlineStr">
        <is>
          <t>Email</t>
        </is>
      </c>
      <c r="O118" t="inlineStr">
        <is>
          <t>Jyothsna Nanda kishore</t>
        </is>
      </c>
      <c r="Y118" t="inlineStr">
        <is>
          <t>2025-10-16</t>
        </is>
      </c>
      <c r="Z118" t="inlineStr">
        <is>
          <t>https://app.hubspot.com/contacts/243046792/record/0-3/190040531654</t>
        </is>
      </c>
    </row>
    <row r="119">
      <c r="A119" t="n">
        <v>118</v>
      </c>
      <c r="B119" t="inlineStr">
        <is>
          <t>167226060512</t>
        </is>
      </c>
      <c r="D119" t="inlineStr">
        <is>
          <t>RFP CIT Cybersecurity Audit Re-Bid</t>
        </is>
      </c>
      <c r="E119" t="inlineStr">
        <is>
          <t>Coquille Indian Tribe</t>
        </is>
      </c>
      <c r="F119" t="inlineStr">
        <is>
          <t>Oregon</t>
        </is>
      </c>
      <c r="G119" t="inlineStr">
        <is>
          <t>Closed Lost</t>
        </is>
      </c>
      <c r="H119" t="inlineStr">
        <is>
          <t>No</t>
        </is>
      </c>
      <c r="J119" s="96" t="n">
        <v>46007</v>
      </c>
      <c r="K119" s="96" t="n">
        <v>45950</v>
      </c>
      <c r="L119" s="65" t="n">
        <v>74800</v>
      </c>
      <c r="M119" t="inlineStr">
        <is>
          <t>Audits and Assessment</t>
        </is>
      </c>
      <c r="N119" t="inlineStr">
        <is>
          <t>Email</t>
        </is>
      </c>
      <c r="O119" t="inlineStr">
        <is>
          <t>Jyothsna Nanda kishore</t>
        </is>
      </c>
      <c r="Y119" t="inlineStr">
        <is>
          <t>2025-09-22</t>
        </is>
      </c>
      <c r="Z119" t="inlineStr">
        <is>
          <t>https://app.hubspot.com/contacts/243046792/record/0-3/167226060512</t>
        </is>
      </c>
    </row>
    <row r="120">
      <c r="A120" t="n">
        <v>119</v>
      </c>
      <c r="B120" t="inlineStr">
        <is>
          <t>167226780388</t>
        </is>
      </c>
      <c r="C120" t="inlineStr">
        <is>
          <t>59-25</t>
        </is>
      </c>
      <c r="D120" t="inlineStr">
        <is>
          <t>Citywide Location Analytics and Intelligence Services</t>
        </is>
      </c>
      <c r="E120" t="inlineStr">
        <is>
          <t>City of Clearwater</t>
        </is>
      </c>
      <c r="F120" t="inlineStr">
        <is>
          <t>Florida</t>
        </is>
      </c>
      <c r="G120" t="inlineStr">
        <is>
          <t>Submitted</t>
        </is>
      </c>
      <c r="H120" t="inlineStr">
        <is>
          <t>No</t>
        </is>
      </c>
      <c r="J120" s="96" t="n">
        <v>45952</v>
      </c>
      <c r="K120" s="96" t="n">
        <v>45952</v>
      </c>
      <c r="L120" s="65" t="n">
        <v>343000</v>
      </c>
      <c r="N120" t="inlineStr">
        <is>
          <t>Portal</t>
        </is>
      </c>
      <c r="O120" t="inlineStr">
        <is>
          <t>Abhishek Zalani</t>
        </is>
      </c>
      <c r="Y120" t="inlineStr">
        <is>
          <t>2025-09-22</t>
        </is>
      </c>
      <c r="Z120" t="inlineStr">
        <is>
          <t>https://app.hubspot.com/contacts/243046792/record/0-3/167226780388</t>
        </is>
      </c>
    </row>
    <row r="121">
      <c r="A121" t="n">
        <v>120</v>
      </c>
      <c r="B121" t="inlineStr">
        <is>
          <t>182745089732</t>
        </is>
      </c>
      <c r="C121" t="inlineStr">
        <is>
          <t>RFP 26-02</t>
        </is>
      </c>
      <c r="D121" t="inlineStr">
        <is>
          <t>Information Technology Outsourcing and Staffing Services</t>
        </is>
      </c>
      <c r="E121" t="inlineStr">
        <is>
          <t>Texas Southmost College</t>
        </is>
      </c>
      <c r="F121" t="inlineStr">
        <is>
          <t>Texas</t>
        </is>
      </c>
      <c r="G121" t="inlineStr">
        <is>
          <t>Closed Lost</t>
        </is>
      </c>
      <c r="H121" t="inlineStr">
        <is>
          <t>No</t>
        </is>
      </c>
      <c r="J121" s="96" t="n">
        <v>46000</v>
      </c>
      <c r="K121" s="96" t="n">
        <v>45952</v>
      </c>
      <c r="M121" t="inlineStr">
        <is>
          <t>Staff Augmentation</t>
        </is>
      </c>
      <c r="O121" t="inlineStr">
        <is>
          <t>Jyothsna Nanda kishore</t>
        </is>
      </c>
      <c r="Y121" t="inlineStr">
        <is>
          <t>2025-10-10</t>
        </is>
      </c>
      <c r="Z121" t="inlineStr">
        <is>
          <t>https://app.hubspot.com/contacts/243046792/record/0-3/182745089732</t>
        </is>
      </c>
    </row>
    <row r="122">
      <c r="A122" t="n">
        <v>121</v>
      </c>
      <c r="B122" t="inlineStr">
        <is>
          <t>173508343483</t>
        </is>
      </c>
      <c r="D122" t="inlineStr">
        <is>
          <t>Managed IT Services Information Technology Consultant Support</t>
        </is>
      </c>
      <c r="E122" t="inlineStr">
        <is>
          <t>City of Adelanto</t>
        </is>
      </c>
      <c r="F122" t="inlineStr">
        <is>
          <t>California</t>
        </is>
      </c>
      <c r="G122" t="inlineStr">
        <is>
          <t>Closed Lost</t>
        </is>
      </c>
      <c r="H122" t="inlineStr">
        <is>
          <t>Yes</t>
        </is>
      </c>
      <c r="I122" t="inlineStr">
        <is>
          <t>Interview</t>
        </is>
      </c>
      <c r="J122" s="96" t="n">
        <v>46090</v>
      </c>
      <c r="K122" s="96" t="n">
        <v>45952</v>
      </c>
      <c r="L122" s="65" t="n">
        <v>222800</v>
      </c>
      <c r="M122" t="inlineStr">
        <is>
          <t>Managed Services (MSP);Support &amp; Maintenance</t>
        </is>
      </c>
      <c r="O122" t="inlineStr">
        <is>
          <t>Jyothsna Nanda kishore</t>
        </is>
      </c>
      <c r="Q122" t="inlineStr">
        <is>
          <t>2025-11-21</t>
        </is>
      </c>
      <c r="Y122" t="inlineStr">
        <is>
          <t>2025-10-01</t>
        </is>
      </c>
      <c r="Z122" t="inlineStr">
        <is>
          <t>https://app.hubspot.com/contacts/243046792/record/0-3/173508343483</t>
        </is>
      </c>
    </row>
    <row r="123">
      <c r="A123" t="n">
        <v>122</v>
      </c>
      <c r="B123" t="inlineStr">
        <is>
          <t>161660337887</t>
        </is>
      </c>
      <c r="C123" t="inlineStr">
        <is>
          <t>26-18</t>
        </is>
      </c>
      <c r="D123" t="inlineStr">
        <is>
          <t>Technology Support Desk Ticketing System</t>
        </is>
      </c>
      <c r="E123" t="inlineStr">
        <is>
          <t>Savannah-Chatham County Public School System</t>
        </is>
      </c>
      <c r="F123" t="inlineStr">
        <is>
          <t>Georgia</t>
        </is>
      </c>
      <c r="G123" t="inlineStr">
        <is>
          <t>Closed Lost</t>
        </is>
      </c>
      <c r="H123" t="inlineStr">
        <is>
          <t>Yes</t>
        </is>
      </c>
      <c r="I123" t="inlineStr">
        <is>
          <t>Interview</t>
        </is>
      </c>
      <c r="J123" s="96" t="n">
        <v>46146</v>
      </c>
      <c r="K123" s="96" t="n">
        <v>45953</v>
      </c>
      <c r="M123" t="inlineStr">
        <is>
          <t>Consulting</t>
        </is>
      </c>
      <c r="N123" t="inlineStr">
        <is>
          <t>Portal</t>
        </is>
      </c>
      <c r="O123" t="inlineStr">
        <is>
          <t>Ashutosh Chauhan</t>
        </is>
      </c>
      <c r="P123" t="inlineStr">
        <is>
          <t>Interview Scheduled</t>
        </is>
      </c>
      <c r="Q123" t="inlineStr">
        <is>
          <t>2026-03-20</t>
        </is>
      </c>
      <c r="Y123" t="inlineStr">
        <is>
          <t>2025-09-17</t>
        </is>
      </c>
      <c r="Z123" t="inlineStr">
        <is>
          <t>https://app.hubspot.com/contacts/243046792/record/0-3/161660337887</t>
        </is>
      </c>
    </row>
    <row r="124">
      <c r="A124" t="n">
        <v>123</v>
      </c>
      <c r="B124" t="inlineStr">
        <is>
          <t>169706056429</t>
        </is>
      </c>
      <c r="D124" t="inlineStr">
        <is>
          <t>Enterprise Intranet Solution</t>
        </is>
      </c>
      <c r="E124" t="inlineStr">
        <is>
          <t>Washington Suburban Sanitary Commission</t>
        </is>
      </c>
      <c r="F124" t="inlineStr">
        <is>
          <t>Maryland</t>
        </is>
      </c>
      <c r="G124" t="inlineStr">
        <is>
          <t>RFx Cancelled</t>
        </is>
      </c>
      <c r="H124" t="inlineStr">
        <is>
          <t>Yes</t>
        </is>
      </c>
      <c r="I124" t="inlineStr">
        <is>
          <t>Interview</t>
        </is>
      </c>
      <c r="J124" s="96" t="n">
        <v>45954</v>
      </c>
      <c r="K124" s="96" t="n">
        <v>45954</v>
      </c>
      <c r="L124" s="65" t="n">
        <v>298050</v>
      </c>
      <c r="M124" t="inlineStr">
        <is>
          <t>Modernization / Migration</t>
        </is>
      </c>
      <c r="N124" t="inlineStr">
        <is>
          <t>Portal</t>
        </is>
      </c>
      <c r="O124" t="inlineStr">
        <is>
          <t>Jyothsna Nanda kishore</t>
        </is>
      </c>
      <c r="P124" t="inlineStr">
        <is>
          <t>Interview Scheduled</t>
        </is>
      </c>
      <c r="Q124" t="inlineStr">
        <is>
          <t>2026-02-19</t>
        </is>
      </c>
      <c r="Y124" t="inlineStr">
        <is>
          <t>2025-09-24</t>
        </is>
      </c>
      <c r="Z124" t="inlineStr">
        <is>
          <t>https://app.hubspot.com/contacts/243046792/record/0-3/169706056429</t>
        </is>
      </c>
    </row>
    <row r="125">
      <c r="A125" t="n">
        <v>124</v>
      </c>
      <c r="B125" t="inlineStr">
        <is>
          <t>180942915280</t>
        </is>
      </c>
      <c r="C125" t="inlineStr">
        <is>
          <t>2023-RFP-012</t>
        </is>
      </c>
      <c r="D125" t="inlineStr">
        <is>
          <t>Enterprise Database Management Software Solution (Re-Bid)</t>
        </is>
      </c>
      <c r="E125" t="inlineStr">
        <is>
          <t>Neoride</t>
        </is>
      </c>
      <c r="F125" t="inlineStr">
        <is>
          <t>Ohio</t>
        </is>
      </c>
      <c r="G125" t="inlineStr">
        <is>
          <t>Submitted</t>
        </is>
      </c>
      <c r="H125" t="inlineStr">
        <is>
          <t>No</t>
        </is>
      </c>
      <c r="J125" s="96" t="n">
        <v>45954</v>
      </c>
      <c r="K125" s="96" t="n">
        <v>45954</v>
      </c>
      <c r="L125" s="65" t="n">
        <v>1100000</v>
      </c>
      <c r="M125" t="inlineStr">
        <is>
          <t>Platform Implementation (ERP, CRMs)</t>
        </is>
      </c>
      <c r="N125" t="inlineStr">
        <is>
          <t>Portal</t>
        </is>
      </c>
      <c r="O125" t="inlineStr">
        <is>
          <t>Abhishek Zalani</t>
        </is>
      </c>
      <c r="Y125" t="inlineStr">
        <is>
          <t>2025-10-08</t>
        </is>
      </c>
      <c r="Z125" t="inlineStr">
        <is>
          <t>https://app.hubspot.com/contacts/243046792/record/0-3/180942915280</t>
        </is>
      </c>
    </row>
    <row r="126">
      <c r="A126" t="n">
        <v>125</v>
      </c>
      <c r="B126" t="inlineStr">
        <is>
          <t>178922700534</t>
        </is>
      </c>
      <c r="D126" t="inlineStr">
        <is>
          <t>Data Platform</t>
        </is>
      </c>
      <c r="E126" t="inlineStr">
        <is>
          <t xml:space="preserve">University of Michigan </t>
        </is>
      </c>
      <c r="F126" t="inlineStr">
        <is>
          <t>Michigan</t>
        </is>
      </c>
      <c r="G126" t="inlineStr">
        <is>
          <t>Interview</t>
        </is>
      </c>
      <c r="H126" t="inlineStr">
        <is>
          <t>Yes</t>
        </is>
      </c>
      <c r="I126" t="inlineStr">
        <is>
          <t>Interview</t>
        </is>
      </c>
      <c r="J126" s="96" t="n">
        <v>45954</v>
      </c>
      <c r="K126" s="96" t="n">
        <v>45954</v>
      </c>
      <c r="M126" t="inlineStr">
        <is>
          <t>Platform Implementation (ERP, CRMs)</t>
        </is>
      </c>
      <c r="N126" t="inlineStr">
        <is>
          <t>Portal</t>
        </is>
      </c>
      <c r="O126" t="inlineStr">
        <is>
          <t>Ashutosh Chauhan</t>
        </is>
      </c>
      <c r="Q126" t="inlineStr">
        <is>
          <t>2026-01-07</t>
        </is>
      </c>
      <c r="Y126" t="inlineStr">
        <is>
          <t>2025-10-06</t>
        </is>
      </c>
      <c r="Z126" t="inlineStr">
        <is>
          <t>https://app.hubspot.com/contacts/243046792/record/0-3/178922700534</t>
        </is>
      </c>
    </row>
    <row r="127">
      <c r="A127" t="n">
        <v>126</v>
      </c>
      <c r="B127" t="inlineStr">
        <is>
          <t>178774810310</t>
        </is>
      </c>
      <c r="D127" t="inlineStr">
        <is>
          <t>Workday AMS Support Services</t>
        </is>
      </c>
      <c r="E127" t="inlineStr">
        <is>
          <t>City of Olathe</t>
        </is>
      </c>
      <c r="F127" t="inlineStr">
        <is>
          <t>Kansas</t>
        </is>
      </c>
      <c r="G127" t="inlineStr">
        <is>
          <t>Closed Lost</t>
        </is>
      </c>
      <c r="H127" t="inlineStr">
        <is>
          <t>No</t>
        </is>
      </c>
      <c r="J127" s="96" t="n">
        <v>46162</v>
      </c>
      <c r="K127" s="96" t="n">
        <v>45954</v>
      </c>
      <c r="M127" t="inlineStr">
        <is>
          <t>Managed Services (MSP)</t>
        </is>
      </c>
      <c r="N127" t="inlineStr">
        <is>
          <t>Portal</t>
        </is>
      </c>
      <c r="O127" t="inlineStr">
        <is>
          <t>Jyothsna Nanda kishore</t>
        </is>
      </c>
      <c r="Y127" t="inlineStr">
        <is>
          <t>2025-10-06</t>
        </is>
      </c>
      <c r="Z127" t="inlineStr">
        <is>
          <t>https://app.hubspot.com/contacts/243046792/record/0-3/178774810310</t>
        </is>
      </c>
    </row>
    <row r="128">
      <c r="A128" t="n">
        <v>127</v>
      </c>
      <c r="B128" t="inlineStr">
        <is>
          <t>183648627418</t>
        </is>
      </c>
      <c r="D128" t="inlineStr">
        <is>
          <t>Data Migration Services (Rebid)</t>
        </is>
      </c>
      <c r="E128" t="inlineStr">
        <is>
          <t>Huntington Park</t>
        </is>
      </c>
      <c r="F128" t="inlineStr">
        <is>
          <t>California</t>
        </is>
      </c>
      <c r="G128" t="inlineStr">
        <is>
          <t>Submitted</t>
        </is>
      </c>
      <c r="H128" t="inlineStr">
        <is>
          <t>No</t>
        </is>
      </c>
      <c r="J128" s="96" t="n">
        <v>45954</v>
      </c>
      <c r="K128" s="96" t="n">
        <v>45954</v>
      </c>
      <c r="L128" s="65" t="n">
        <v>40350</v>
      </c>
      <c r="M128" t="inlineStr">
        <is>
          <t>Modernization / Migration</t>
        </is>
      </c>
      <c r="N128" t="inlineStr">
        <is>
          <t>Portal</t>
        </is>
      </c>
      <c r="O128" t="inlineStr">
        <is>
          <t>Ashutosh Chauhan</t>
        </is>
      </c>
      <c r="Y128" t="inlineStr">
        <is>
          <t>2025-10-10</t>
        </is>
      </c>
      <c r="Z128" t="inlineStr">
        <is>
          <t>https://app.hubspot.com/contacts/243046792/record/0-3/183648627418</t>
        </is>
      </c>
    </row>
    <row r="129">
      <c r="A129" t="n">
        <v>128</v>
      </c>
      <c r="B129" t="inlineStr">
        <is>
          <t>173703260877</t>
        </is>
      </c>
      <c r="D129" t="inlineStr">
        <is>
          <t>Centralized Data Platform and Software as a Service (SaaS)</t>
        </is>
      </c>
      <c r="E129" t="inlineStr">
        <is>
          <t>Central Ohio Transit Authority</t>
        </is>
      </c>
      <c r="F129" t="inlineStr">
        <is>
          <t>Ohio</t>
        </is>
      </c>
      <c r="G129" t="inlineStr">
        <is>
          <t>Submitted</t>
        </is>
      </c>
      <c r="H129" t="inlineStr">
        <is>
          <t>No</t>
        </is>
      </c>
      <c r="J129" s="96" t="n">
        <v>45954</v>
      </c>
      <c r="K129" s="96" t="n">
        <v>45954</v>
      </c>
      <c r="M129" t="inlineStr">
        <is>
          <t>Platform Implementation (ERP, CRMs)</t>
        </is>
      </c>
      <c r="O129" t="inlineStr">
        <is>
          <t>Abhishek Zalani</t>
        </is>
      </c>
      <c r="Y129" t="inlineStr">
        <is>
          <t>2025-10-01</t>
        </is>
      </c>
      <c r="Z129" t="inlineStr">
        <is>
          <t>https://app.hubspot.com/contacts/243046792/record/0-3/173703260877</t>
        </is>
      </c>
    </row>
    <row r="130">
      <c r="A130" t="n">
        <v>129</v>
      </c>
      <c r="B130" t="inlineStr">
        <is>
          <t>176000104170</t>
        </is>
      </c>
      <c r="D130" t="inlineStr">
        <is>
          <t>IT Disaster Recovery Plan</t>
        </is>
      </c>
      <c r="E130" t="inlineStr">
        <is>
          <t>Washington County</t>
        </is>
      </c>
      <c r="F130" t="inlineStr">
        <is>
          <t>Minnesota</t>
        </is>
      </c>
      <c r="G130" t="inlineStr">
        <is>
          <t>Closed Lost</t>
        </is>
      </c>
      <c r="H130" t="inlineStr">
        <is>
          <t>Yes</t>
        </is>
      </c>
      <c r="I130" t="inlineStr">
        <is>
          <t>Interview</t>
        </is>
      </c>
      <c r="J130" s="96" t="n">
        <v>46146</v>
      </c>
      <c r="K130" s="96" t="n">
        <v>45954</v>
      </c>
      <c r="M130" t="inlineStr">
        <is>
          <t>Consulting</t>
        </is>
      </c>
      <c r="N130" t="inlineStr">
        <is>
          <t>Email</t>
        </is>
      </c>
      <c r="O130" t="inlineStr">
        <is>
          <t>Ashutosh Chauhan</t>
        </is>
      </c>
      <c r="Q130" t="inlineStr">
        <is>
          <t>2025-11-05</t>
        </is>
      </c>
      <c r="Y130" t="inlineStr">
        <is>
          <t>2025-10-06</t>
        </is>
      </c>
      <c r="Z130" t="inlineStr">
        <is>
          <t>https://app.hubspot.com/contacts/243046792/record/0-3/176000104170</t>
        </is>
      </c>
    </row>
    <row r="131">
      <c r="A131" t="n">
        <v>130</v>
      </c>
      <c r="B131" t="inlineStr">
        <is>
          <t>160773732038</t>
        </is>
      </c>
      <c r="C131" t="inlineStr">
        <is>
          <t>S-DASOBO-00014873</t>
        </is>
      </c>
      <c r="D131" t="inlineStr">
        <is>
          <t>Operations, Maintenance, Data Migration and Enhancement Services to Existing Salesforce System</t>
        </is>
      </c>
      <c r="E131" t="inlineStr">
        <is>
          <t xml:space="preserve">State of Oregon </t>
        </is>
      </c>
      <c r="F131" t="inlineStr">
        <is>
          <t>Oregon</t>
        </is>
      </c>
      <c r="G131" t="inlineStr">
        <is>
          <t>Submitted</t>
        </is>
      </c>
      <c r="H131" t="inlineStr">
        <is>
          <t>No</t>
        </is>
      </c>
      <c r="J131" s="96" t="n">
        <v>45957</v>
      </c>
      <c r="K131" s="96" t="n">
        <v>45957</v>
      </c>
      <c r="M131" t="inlineStr">
        <is>
          <t>Modernization / Migration</t>
        </is>
      </c>
      <c r="O131" t="inlineStr">
        <is>
          <t>Abhishek Zalani</t>
        </is>
      </c>
      <c r="Y131" s="96" t="n">
        <v>45915</v>
      </c>
      <c r="Z131" t="inlineStr">
        <is>
          <t>https://app.hubspot.com/contacts/243046792/record/0-3/160773732038</t>
        </is>
      </c>
    </row>
    <row r="132">
      <c r="A132" t="n">
        <v>131</v>
      </c>
      <c r="B132" t="inlineStr">
        <is>
          <t>176000104133</t>
        </is>
      </c>
      <c r="D132" t="inlineStr">
        <is>
          <t>Managed Services Provider</t>
        </is>
      </c>
      <c r="E132" t="inlineStr">
        <is>
          <t>National Forest Foundation</t>
        </is>
      </c>
      <c r="F132" t="inlineStr">
        <is>
          <t>Montana</t>
        </is>
      </c>
      <c r="G132" t="inlineStr">
        <is>
          <t>Closed Lost</t>
        </is>
      </c>
      <c r="H132" t="inlineStr">
        <is>
          <t>No</t>
        </is>
      </c>
      <c r="J132" s="96" t="n">
        <v>46001</v>
      </c>
      <c r="K132" s="96" t="n">
        <v>45957</v>
      </c>
      <c r="M132" t="inlineStr">
        <is>
          <t>Managed Services (MSP)</t>
        </is>
      </c>
      <c r="N132" t="inlineStr">
        <is>
          <t>Email</t>
        </is>
      </c>
      <c r="O132" t="inlineStr">
        <is>
          <t>Ashutosh Chauhan</t>
        </is>
      </c>
      <c r="Y132" t="inlineStr">
        <is>
          <t>2025-10-06</t>
        </is>
      </c>
      <c r="Z132" t="inlineStr">
        <is>
          <t>https://app.hubspot.com/contacts/243046792/record/0-3/176000104133</t>
        </is>
      </c>
    </row>
    <row r="133">
      <c r="A133" t="n">
        <v>132</v>
      </c>
      <c r="B133" t="inlineStr">
        <is>
          <t>178921260738</t>
        </is>
      </c>
      <c r="C133" t="inlineStr">
        <is>
          <t>26-16</t>
        </is>
      </c>
      <c r="D133" t="inlineStr">
        <is>
          <t>AI-Powered Student Attendance andIntervention Platform</t>
        </is>
      </c>
      <c r="E133" t="inlineStr">
        <is>
          <t>San Bernardino City Unified School District</t>
        </is>
      </c>
      <c r="F133" t="inlineStr">
        <is>
          <t>California</t>
        </is>
      </c>
      <c r="G133" t="inlineStr">
        <is>
          <t>Submitted</t>
        </is>
      </c>
      <c r="H133" t="inlineStr">
        <is>
          <t>No</t>
        </is>
      </c>
      <c r="J133" s="96" t="n">
        <v>45958</v>
      </c>
      <c r="K133" s="96" t="n">
        <v>45958</v>
      </c>
      <c r="M133" t="inlineStr">
        <is>
          <t>Platform Implementation (ERP, CRMs)</t>
        </is>
      </c>
      <c r="N133" t="inlineStr">
        <is>
          <t>Portal</t>
        </is>
      </c>
      <c r="O133" t="inlineStr">
        <is>
          <t>Ashutosh Chauhan</t>
        </is>
      </c>
      <c r="Y133" t="inlineStr">
        <is>
          <t>2025-10-06</t>
        </is>
      </c>
      <c r="Z133" t="inlineStr">
        <is>
          <t>https://app.hubspot.com/contacts/243046792/record/0-3/178921260738</t>
        </is>
      </c>
    </row>
    <row r="134">
      <c r="A134" t="n">
        <v>133</v>
      </c>
      <c r="B134" t="inlineStr">
        <is>
          <t>186933293762</t>
        </is>
      </c>
      <c r="D134" t="inlineStr">
        <is>
          <t>Integration, Programming, and Network Communication Services</t>
        </is>
      </c>
      <c r="E134" t="inlineStr">
        <is>
          <t xml:space="preserve">Metropolitan Water District of Salt Lake &amp; Sandy </t>
        </is>
      </c>
      <c r="F134" t="inlineStr">
        <is>
          <t>Utah</t>
        </is>
      </c>
      <c r="G134" t="inlineStr">
        <is>
          <t>Submitted</t>
        </is>
      </c>
      <c r="H134" t="inlineStr">
        <is>
          <t>No</t>
        </is>
      </c>
      <c r="J134" s="96" t="n">
        <v>45958</v>
      </c>
      <c r="K134" s="96" t="n">
        <v>45958</v>
      </c>
      <c r="M134" t="inlineStr">
        <is>
          <t>Modernization / Migration</t>
        </is>
      </c>
      <c r="N134" t="inlineStr">
        <is>
          <t>Portal</t>
        </is>
      </c>
      <c r="O134" t="inlineStr">
        <is>
          <t>Ashutosh Chauhan</t>
        </is>
      </c>
      <c r="Y134" t="inlineStr">
        <is>
          <t>2025-10-13</t>
        </is>
      </c>
      <c r="Z134" t="inlineStr">
        <is>
          <t>https://app.hubspot.com/contacts/243046792/record/0-3/186933293762</t>
        </is>
      </c>
    </row>
    <row r="135">
      <c r="A135" t="n">
        <v>134</v>
      </c>
      <c r="B135" t="inlineStr">
        <is>
          <t>145845271269</t>
        </is>
      </c>
      <c r="C135" t="inlineStr">
        <is>
          <t>PI25-0148F</t>
        </is>
      </c>
      <c r="D135" t="inlineStr">
        <is>
          <t>City of Tacoma - Computerized Maintenance Management System</t>
        </is>
      </c>
      <c r="E135" t="inlineStr">
        <is>
          <t>City of Tacoma</t>
        </is>
      </c>
      <c r="F135" t="inlineStr">
        <is>
          <t>Washington</t>
        </is>
      </c>
      <c r="G135" t="inlineStr">
        <is>
          <t>Intent to Award</t>
        </is>
      </c>
      <c r="H135" t="inlineStr">
        <is>
          <t>No</t>
        </is>
      </c>
      <c r="J135" s="96" t="n">
        <v>45958</v>
      </c>
      <c r="K135" s="96" t="n">
        <v>45958</v>
      </c>
      <c r="L135" s="65" t="n">
        <v>83098</v>
      </c>
      <c r="M135" t="inlineStr">
        <is>
          <t>Platform Implementation (ERP, CRMs)</t>
        </is>
      </c>
      <c r="N135" t="inlineStr">
        <is>
          <t>Email</t>
        </is>
      </c>
      <c r="O135" t="inlineStr">
        <is>
          <t>Abhishek Zalani</t>
        </is>
      </c>
      <c r="S135" s="96" t="n">
        <v>45966</v>
      </c>
      <c r="Y135" t="inlineStr">
        <is>
          <t>2025-08-26</t>
        </is>
      </c>
      <c r="Z135" t="inlineStr">
        <is>
          <t>https://app.hubspot.com/contacts/243046792/record/0-3/145845271269</t>
        </is>
      </c>
      <c r="AA135" t="inlineStr">
        <is>
          <t>Yes</t>
        </is>
      </c>
    </row>
    <row r="136">
      <c r="A136" t="n">
        <v>135</v>
      </c>
      <c r="B136" t="inlineStr">
        <is>
          <t>182404957901</t>
        </is>
      </c>
      <c r="C136" t="inlineStr">
        <is>
          <t>2026-05</t>
        </is>
      </c>
      <c r="D136" t="inlineStr">
        <is>
          <t>INFORMATION TECHNOLOGY SUPPORT SERVICES</t>
        </is>
      </c>
      <c r="E136" t="inlineStr">
        <is>
          <t>Town of Portland</t>
        </is>
      </c>
      <c r="F136" t="inlineStr">
        <is>
          <t>Connecticut</t>
        </is>
      </c>
      <c r="G136" t="inlineStr">
        <is>
          <t>Closed Lost</t>
        </is>
      </c>
      <c r="H136" t="inlineStr">
        <is>
          <t>Yes</t>
        </is>
      </c>
      <c r="I136" t="inlineStr">
        <is>
          <t>Interview</t>
        </is>
      </c>
      <c r="J136" s="96" t="n">
        <v>46058</v>
      </c>
      <c r="K136" s="96" t="n">
        <v>45958</v>
      </c>
      <c r="M136" t="inlineStr">
        <is>
          <t>Managed Services (MSP)</t>
        </is>
      </c>
      <c r="N136" t="inlineStr">
        <is>
          <t>Offline</t>
        </is>
      </c>
      <c r="O136" t="inlineStr">
        <is>
          <t>Ashutosh Chauhan</t>
        </is>
      </c>
      <c r="Q136" t="inlineStr">
        <is>
          <t>2025-12-10</t>
        </is>
      </c>
      <c r="Y136" t="inlineStr">
        <is>
          <t>2025-10-09</t>
        </is>
      </c>
      <c r="Z136" t="inlineStr">
        <is>
          <t>https://app.hubspot.com/contacts/243046792/record/0-3/182404957901</t>
        </is>
      </c>
    </row>
    <row r="137">
      <c r="A137" t="n">
        <v>136</v>
      </c>
      <c r="B137" t="inlineStr">
        <is>
          <t>182404955873</t>
        </is>
      </c>
      <c r="D137" t="inlineStr">
        <is>
          <t>Microsoft 365/Teams/SharePointBuild Out</t>
        </is>
      </c>
      <c r="E137" t="inlineStr">
        <is>
          <t>City of Loveland</t>
        </is>
      </c>
      <c r="F137" t="inlineStr">
        <is>
          <t>Colorado</t>
        </is>
      </c>
      <c r="G137" t="inlineStr">
        <is>
          <t>Closed Lost</t>
        </is>
      </c>
      <c r="H137" t="inlineStr">
        <is>
          <t>Yes</t>
        </is>
      </c>
      <c r="I137" t="inlineStr">
        <is>
          <t>Interview</t>
        </is>
      </c>
      <c r="J137" s="96" t="n">
        <v>46114</v>
      </c>
      <c r="K137" s="96" t="n">
        <v>45958</v>
      </c>
      <c r="M137" t="inlineStr">
        <is>
          <t>Modernization / Migration;Training;Consulting</t>
        </is>
      </c>
      <c r="O137" t="inlineStr">
        <is>
          <t>Abhishek Zalani</t>
        </is>
      </c>
      <c r="P137" t="inlineStr">
        <is>
          <t>Interview Scheduled</t>
        </is>
      </c>
      <c r="Q137" t="inlineStr">
        <is>
          <t>2026-01-12</t>
        </is>
      </c>
      <c r="Y137" t="inlineStr">
        <is>
          <t>2025-10-09</t>
        </is>
      </c>
      <c r="Z137" t="inlineStr">
        <is>
          <t>https://app.hubspot.com/contacts/243046792/record/0-3/182404955873</t>
        </is>
      </c>
    </row>
    <row r="138">
      <c r="A138" t="n">
        <v>137</v>
      </c>
      <c r="B138" t="inlineStr">
        <is>
          <t>175831455443</t>
        </is>
      </c>
      <c r="D138" t="inlineStr">
        <is>
          <t>Faculty Workload Application</t>
        </is>
      </c>
      <c r="E138" t="inlineStr">
        <is>
          <t>Ohio University</t>
        </is>
      </c>
      <c r="F138" t="inlineStr">
        <is>
          <t>Ohio</t>
        </is>
      </c>
      <c r="G138" t="inlineStr">
        <is>
          <t>Submitted</t>
        </is>
      </c>
      <c r="H138" t="inlineStr">
        <is>
          <t>No</t>
        </is>
      </c>
      <c r="J138" s="96" t="n">
        <v>45959</v>
      </c>
      <c r="K138" s="96" t="n">
        <v>45959</v>
      </c>
      <c r="M138" t="inlineStr">
        <is>
          <t>Modernization / Migration</t>
        </is>
      </c>
      <c r="N138" t="inlineStr">
        <is>
          <t>Email</t>
        </is>
      </c>
      <c r="O138" t="inlineStr">
        <is>
          <t>Ashutosh Chauhan</t>
        </is>
      </c>
      <c r="Y138" t="inlineStr">
        <is>
          <t>2025-10-03</t>
        </is>
      </c>
      <c r="Z138" t="inlineStr">
        <is>
          <t>https://app.hubspot.com/contacts/243046792/record/0-3/175831455443</t>
        </is>
      </c>
    </row>
    <row r="139">
      <c r="A139" t="n">
        <v>138</v>
      </c>
      <c r="B139" t="inlineStr">
        <is>
          <t>167226060496</t>
        </is>
      </c>
      <c r="D139" t="inlineStr">
        <is>
          <t>FY26 Comprehensive Information Technology Services</t>
        </is>
      </c>
      <c r="E139" t="inlineStr">
        <is>
          <t>Lisbon Central School District</t>
        </is>
      </c>
      <c r="F139" t="inlineStr">
        <is>
          <t>New York</t>
        </is>
      </c>
      <c r="G139" t="inlineStr">
        <is>
          <t>Closed Lost</t>
        </is>
      </c>
      <c r="H139" t="inlineStr">
        <is>
          <t>No</t>
        </is>
      </c>
      <c r="J139" s="96" t="n">
        <v>46162</v>
      </c>
      <c r="K139" s="96" t="n">
        <v>45959</v>
      </c>
      <c r="L139" s="65" t="n">
        <v>534801</v>
      </c>
      <c r="M139" t="inlineStr">
        <is>
          <t>Managed Services (MSP)</t>
        </is>
      </c>
      <c r="N139" t="inlineStr">
        <is>
          <t>Offline</t>
        </is>
      </c>
      <c r="O139" t="inlineStr">
        <is>
          <t>Jyothsna Nanda kishore</t>
        </is>
      </c>
      <c r="Y139" t="inlineStr">
        <is>
          <t>2025-09-22</t>
        </is>
      </c>
      <c r="Z139" t="inlineStr">
        <is>
          <t>https://app.hubspot.com/contacts/243046792/record/0-3/167226060496</t>
        </is>
      </c>
    </row>
    <row r="140">
      <c r="A140" t="n">
        <v>139</v>
      </c>
      <c r="B140" t="inlineStr">
        <is>
          <t>200821843683</t>
        </is>
      </c>
      <c r="D140" t="inlineStr">
        <is>
          <t>Cuyahoga County Board of Elections - Veeam Data Platform Renewal</t>
        </is>
      </c>
      <c r="E140" t="inlineStr">
        <is>
          <t>Cuyahoga County Board of Elections</t>
        </is>
      </c>
      <c r="F140" t="inlineStr">
        <is>
          <t>Ohio</t>
        </is>
      </c>
      <c r="G140" t="inlineStr">
        <is>
          <t>Closed Won</t>
        </is>
      </c>
      <c r="H140" t="inlineStr">
        <is>
          <t>No</t>
        </is>
      </c>
      <c r="J140" s="96" t="n">
        <v>45980</v>
      </c>
      <c r="K140" s="96" t="n">
        <v>45959</v>
      </c>
      <c r="L140" s="65" t="n">
        <v>6078.19</v>
      </c>
      <c r="M140" t="inlineStr">
        <is>
          <t>Reseller</t>
        </is>
      </c>
      <c r="N140" t="inlineStr">
        <is>
          <t>Portal</t>
        </is>
      </c>
      <c r="O140" t="inlineStr">
        <is>
          <t>Ashutosh Chauhan</t>
        </is>
      </c>
      <c r="S140" t="inlineStr">
        <is>
          <t>2025-11-18</t>
        </is>
      </c>
      <c r="U140" s="96" t="n">
        <v>45979</v>
      </c>
      <c r="Y140" t="inlineStr">
        <is>
          <t>2025-10-27</t>
        </is>
      </c>
      <c r="Z140" t="inlineStr">
        <is>
          <t>https://app.hubspot.com/contacts/243046792/record/0-3/200821843683</t>
        </is>
      </c>
      <c r="AA140" t="inlineStr">
        <is>
          <t>No</t>
        </is>
      </c>
    </row>
    <row r="141">
      <c r="A141" t="n">
        <v>140</v>
      </c>
      <c r="B141" t="inlineStr">
        <is>
          <t>178776968952</t>
        </is>
      </c>
      <c r="C141" t="inlineStr">
        <is>
          <t>P25002</t>
        </is>
      </c>
      <c r="D141" t="inlineStr">
        <is>
          <t xml:space="preserve">IT Services </t>
        </is>
      </c>
      <c r="E141" t="inlineStr">
        <is>
          <t>Peoria Housing Authority</t>
        </is>
      </c>
      <c r="F141" t="inlineStr">
        <is>
          <t>Illinois</t>
        </is>
      </c>
      <c r="G141" t="inlineStr">
        <is>
          <t>Closed Lost</t>
        </is>
      </c>
      <c r="H141" t="inlineStr">
        <is>
          <t>No</t>
        </is>
      </c>
      <c r="J141" s="96" t="n">
        <v>46030</v>
      </c>
      <c r="K141" s="96" t="n">
        <v>45959</v>
      </c>
      <c r="L141" s="65" t="n">
        <v>297000</v>
      </c>
      <c r="M141" t="inlineStr">
        <is>
          <t>Managed Services (MSP)</t>
        </is>
      </c>
      <c r="N141" t="inlineStr">
        <is>
          <t>Offline</t>
        </is>
      </c>
      <c r="O141" t="inlineStr">
        <is>
          <t>Jyothsna Nanda kishore</t>
        </is>
      </c>
      <c r="Y141" t="inlineStr">
        <is>
          <t>2025-10-06</t>
        </is>
      </c>
      <c r="Z141" t="inlineStr">
        <is>
          <t>https://app.hubspot.com/contacts/243046792/record/0-3/178776968952</t>
        </is>
      </c>
    </row>
    <row r="142">
      <c r="A142" t="n">
        <v>141</v>
      </c>
      <c r="B142" t="inlineStr">
        <is>
          <t>183649351358</t>
        </is>
      </c>
      <c r="D142" t="inlineStr">
        <is>
          <t>FY26 SHORT TERM RENTAL MANAGEMENT SOFTWARE</t>
        </is>
      </c>
      <c r="E142" t="inlineStr">
        <is>
          <t>Town of Barnstable</t>
        </is>
      </c>
      <c r="F142" t="inlineStr">
        <is>
          <t>Massachusetts</t>
        </is>
      </c>
      <c r="G142" t="inlineStr">
        <is>
          <t>Submitted</t>
        </is>
      </c>
      <c r="H142" t="inlineStr">
        <is>
          <t>No</t>
        </is>
      </c>
      <c r="J142" s="96" t="n">
        <v>45960</v>
      </c>
      <c r="K142" s="96" t="n">
        <v>45960</v>
      </c>
      <c r="M142" t="inlineStr">
        <is>
          <t>Platform Implementation (ERP, CRMs)</t>
        </is>
      </c>
      <c r="N142" t="inlineStr">
        <is>
          <t>Portal</t>
        </is>
      </c>
      <c r="O142" t="inlineStr">
        <is>
          <t>Abhishek Zalani</t>
        </is>
      </c>
      <c r="Y142" t="inlineStr">
        <is>
          <t>2025-10-10</t>
        </is>
      </c>
      <c r="Z142" t="inlineStr">
        <is>
          <t>https://app.hubspot.com/contacts/243046792/record/0-3/183649351358</t>
        </is>
      </c>
    </row>
    <row r="143">
      <c r="A143" t="n">
        <v>142</v>
      </c>
      <c r="B143" t="inlineStr">
        <is>
          <t>173276108505</t>
        </is>
      </c>
      <c r="C143" t="inlineStr">
        <is>
          <t>26-016</t>
        </is>
      </c>
      <c r="D143" t="inlineStr">
        <is>
          <t>Information Technology (IT) Consulting Services</t>
        </is>
      </c>
      <c r="E143" t="inlineStr">
        <is>
          <t>CalOptima Health</t>
        </is>
      </c>
      <c r="F143" t="inlineStr">
        <is>
          <t>California</t>
        </is>
      </c>
      <c r="G143" t="inlineStr">
        <is>
          <t>Submitted</t>
        </is>
      </c>
      <c r="H143" t="inlineStr">
        <is>
          <t>No</t>
        </is>
      </c>
      <c r="J143" s="96" t="n">
        <v>45960</v>
      </c>
      <c r="K143" s="96" t="n">
        <v>45960</v>
      </c>
      <c r="M143" t="inlineStr">
        <is>
          <t>Managed Services (MSP)</t>
        </is>
      </c>
      <c r="N143" t="inlineStr">
        <is>
          <t>Portal</t>
        </is>
      </c>
      <c r="O143" t="inlineStr">
        <is>
          <t>Ashutosh Chauhan</t>
        </is>
      </c>
      <c r="Y143" t="inlineStr">
        <is>
          <t>2025-10-01</t>
        </is>
      </c>
      <c r="Z143" t="inlineStr">
        <is>
          <t>https://app.hubspot.com/contacts/243046792/record/0-3/173276108505</t>
        </is>
      </c>
    </row>
    <row r="144">
      <c r="A144" t="n">
        <v>143</v>
      </c>
      <c r="B144" t="inlineStr">
        <is>
          <t>178921262789</t>
        </is>
      </c>
      <c r="C144" t="inlineStr">
        <is>
          <t>RFP# 2368IP</t>
        </is>
      </c>
      <c r="D144" t="inlineStr">
        <is>
          <t>Security Information and Event Management (SIEM) Solution</t>
        </is>
      </c>
      <c r="E144" t="inlineStr">
        <is>
          <t>New York Convention Center Operating Corporation (NYCCOC)</t>
        </is>
      </c>
      <c r="F144" t="inlineStr">
        <is>
          <t>New York</t>
        </is>
      </c>
      <c r="G144" t="inlineStr">
        <is>
          <t>Submitted</t>
        </is>
      </c>
      <c r="H144" t="inlineStr">
        <is>
          <t>No</t>
        </is>
      </c>
      <c r="J144" s="96" t="n">
        <v>45960</v>
      </c>
      <c r="K144" s="96" t="n">
        <v>45960</v>
      </c>
      <c r="L144" s="65" t="n">
        <v>356439</v>
      </c>
      <c r="M144" t="inlineStr">
        <is>
          <t>Platform Implementation (ERP, CRMs)</t>
        </is>
      </c>
      <c r="N144" t="inlineStr">
        <is>
          <t>Email</t>
        </is>
      </c>
      <c r="O144" t="inlineStr">
        <is>
          <t>Abhishek Zalani</t>
        </is>
      </c>
      <c r="Y144" t="inlineStr">
        <is>
          <t>2025-10-06</t>
        </is>
      </c>
      <c r="Z144" t="inlineStr">
        <is>
          <t>https://app.hubspot.com/contacts/243046792/record/0-3/178921262789</t>
        </is>
      </c>
    </row>
    <row r="145">
      <c r="A145" t="n">
        <v>144</v>
      </c>
      <c r="B145" t="inlineStr">
        <is>
          <t>187254030059</t>
        </is>
      </c>
      <c r="D145" t="inlineStr">
        <is>
          <t>IT SERVICE AND IT ASSET MANAGEMENT SUBSCRIPTION</t>
        </is>
      </c>
      <c r="E145" t="inlineStr">
        <is>
          <t>LA County- Internal Services Department</t>
        </is>
      </c>
      <c r="F145" t="inlineStr">
        <is>
          <t>California</t>
        </is>
      </c>
      <c r="G145" t="inlineStr">
        <is>
          <t>Submitted</t>
        </is>
      </c>
      <c r="H145" t="inlineStr">
        <is>
          <t>No</t>
        </is>
      </c>
      <c r="J145" s="96" t="n">
        <v>45961</v>
      </c>
      <c r="K145" s="96" t="n">
        <v>45960</v>
      </c>
      <c r="M145" t="inlineStr">
        <is>
          <t>Platform Implementation (ERP, CRMs)</t>
        </is>
      </c>
      <c r="N145" t="inlineStr">
        <is>
          <t>Portal</t>
        </is>
      </c>
      <c r="O145" t="inlineStr">
        <is>
          <t>Ashutosh Chauhan</t>
        </is>
      </c>
      <c r="Y145" s="96" t="n">
        <v>45943</v>
      </c>
      <c r="Z145" t="inlineStr">
        <is>
          <t>https://app.hubspot.com/contacts/243046792/record/0-3/187254030059</t>
        </is>
      </c>
    </row>
    <row r="146">
      <c r="A146" t="n">
        <v>145</v>
      </c>
      <c r="B146" t="inlineStr">
        <is>
          <t>183188250349</t>
        </is>
      </c>
      <c r="C146" t="inlineStr">
        <is>
          <t>NDERFP250709</t>
        </is>
      </c>
      <c r="D146" t="inlineStr">
        <is>
          <t xml:space="preserve">Nebraska Literacy Data Dashboard (NLDD) </t>
        </is>
      </c>
      <c r="E146" t="inlineStr">
        <is>
          <t xml:space="preserve"> Nebraska Department of Education</t>
        </is>
      </c>
      <c r="F146" t="inlineStr">
        <is>
          <t>Nebraska</t>
        </is>
      </c>
      <c r="G146" t="inlineStr">
        <is>
          <t>Closed Lost</t>
        </is>
      </c>
      <c r="H146" t="inlineStr">
        <is>
          <t>Yes</t>
        </is>
      </c>
      <c r="I146" t="inlineStr">
        <is>
          <t>Interview</t>
        </is>
      </c>
      <c r="J146" s="96" t="n">
        <v>46314</v>
      </c>
      <c r="K146" s="96" t="n">
        <v>45960</v>
      </c>
      <c r="M146" t="inlineStr">
        <is>
          <t>Consulting</t>
        </is>
      </c>
      <c r="O146" t="inlineStr">
        <is>
          <t>Abhishek Zalani</t>
        </is>
      </c>
      <c r="Q146" t="inlineStr">
        <is>
          <t>2025-11-21</t>
        </is>
      </c>
      <c r="Y146" t="inlineStr">
        <is>
          <t>2025-10-10</t>
        </is>
      </c>
      <c r="Z146" t="inlineStr">
        <is>
          <t>https://app.hubspot.com/contacts/243046792/record/0-3/183188250349</t>
        </is>
      </c>
    </row>
    <row r="147">
      <c r="A147" t="n">
        <v>146</v>
      </c>
      <c r="B147" t="inlineStr">
        <is>
          <t>195685931707</t>
        </is>
      </c>
      <c r="D147" t="inlineStr">
        <is>
          <t>Relational Database Administration &amp; Support Services</t>
        </is>
      </c>
      <c r="E147" t="inlineStr">
        <is>
          <t>Navajo Nation</t>
        </is>
      </c>
      <c r="F147" t="inlineStr">
        <is>
          <t>Arizona</t>
        </is>
      </c>
      <c r="G147" t="inlineStr">
        <is>
          <t>Submitted</t>
        </is>
      </c>
      <c r="H147" t="inlineStr">
        <is>
          <t>No</t>
        </is>
      </c>
      <c r="J147" s="96" t="n">
        <v>45961</v>
      </c>
      <c r="K147" s="96" t="n">
        <v>45960</v>
      </c>
      <c r="L147" s="65" t="n">
        <v>225000</v>
      </c>
      <c r="M147" t="inlineStr">
        <is>
          <t>Support &amp; Maintenance</t>
        </is>
      </c>
      <c r="O147" t="inlineStr">
        <is>
          <t>Ashutosh Chauhan</t>
        </is>
      </c>
      <c r="Y147" t="inlineStr">
        <is>
          <t>2025-10-22</t>
        </is>
      </c>
      <c r="Z147" t="inlineStr">
        <is>
          <t>https://app.hubspot.com/contacts/243046792/record/0-3/195685931707</t>
        </is>
      </c>
    </row>
    <row r="148">
      <c r="A148" t="n">
        <v>147</v>
      </c>
      <c r="B148" t="inlineStr">
        <is>
          <t>195157537481</t>
        </is>
      </c>
      <c r="C148" t="inlineStr">
        <is>
          <t>NET-14311_2025_10_18_11_27_13_61</t>
        </is>
      </c>
      <c r="D148" t="inlineStr">
        <is>
          <t xml:space="preserve">Internet Technology Services </t>
        </is>
      </c>
      <c r="E148" t="inlineStr">
        <is>
          <t>Township of Deerfield</t>
        </is>
      </c>
      <c r="F148" t="inlineStr">
        <is>
          <t>New Jersey</t>
        </is>
      </c>
      <c r="G148" t="inlineStr">
        <is>
          <t>Submitted</t>
        </is>
      </c>
      <c r="H148" t="inlineStr">
        <is>
          <t>No</t>
        </is>
      </c>
      <c r="J148" s="96" t="n">
        <v>45961</v>
      </c>
      <c r="K148" s="96" t="n">
        <v>45960</v>
      </c>
      <c r="L148" s="65" t="n">
        <v>16920</v>
      </c>
      <c r="M148" t="inlineStr">
        <is>
          <t>Managed Services (MSP)</t>
        </is>
      </c>
      <c r="N148" t="inlineStr">
        <is>
          <t>Offline</t>
        </is>
      </c>
      <c r="O148" t="inlineStr">
        <is>
          <t>Abhishek Zalani</t>
        </is>
      </c>
      <c r="Y148" t="inlineStr">
        <is>
          <t>2025-10-22</t>
        </is>
      </c>
      <c r="Z148" t="inlineStr">
        <is>
          <t>https://app.hubspot.com/contacts/243046792/record/0-3/195157537481</t>
        </is>
      </c>
    </row>
    <row r="149">
      <c r="A149" t="n">
        <v>148</v>
      </c>
      <c r="B149" t="inlineStr">
        <is>
          <t>173276108533</t>
        </is>
      </c>
      <c r="D149" t="inlineStr">
        <is>
          <t>CYBER RISK CONSULTANT</t>
        </is>
      </c>
      <c r="E149" t="inlineStr">
        <is>
          <t>The Garden State Municipal Joint Insurance fund</t>
        </is>
      </c>
      <c r="F149" t="inlineStr">
        <is>
          <t>New Jersey</t>
        </is>
      </c>
      <c r="G149" t="inlineStr">
        <is>
          <t>Closed Lost</t>
        </is>
      </c>
      <c r="H149" t="inlineStr">
        <is>
          <t>No</t>
        </is>
      </c>
      <c r="J149" s="96" t="n">
        <v>45980</v>
      </c>
      <c r="K149" s="96" t="n">
        <v>45960</v>
      </c>
      <c r="L149" s="65" t="n">
        <v>35866</v>
      </c>
      <c r="M149" t="inlineStr">
        <is>
          <t>Consulting</t>
        </is>
      </c>
      <c r="N149" t="inlineStr">
        <is>
          <t>Offline</t>
        </is>
      </c>
      <c r="O149" t="inlineStr">
        <is>
          <t>Ashutosh Chauhan</t>
        </is>
      </c>
      <c r="Y149" t="inlineStr">
        <is>
          <t>2025-10-01</t>
        </is>
      </c>
      <c r="Z149" t="inlineStr">
        <is>
          <t>https://app.hubspot.com/contacts/243046792/record/0-3/173276108533</t>
        </is>
      </c>
    </row>
    <row r="150">
      <c r="A150" t="n">
        <v>149</v>
      </c>
      <c r="B150" t="inlineStr">
        <is>
          <t>183188251323</t>
        </is>
      </c>
      <c r="D150" t="inlineStr">
        <is>
          <t>INFORMATION TECHNOLOGY SERVICES</t>
        </is>
      </c>
      <c r="E150" t="inlineStr">
        <is>
          <t>LEAD CHARTER SCHOOL</t>
        </is>
      </c>
      <c r="F150" t="inlineStr">
        <is>
          <t>New Jersey</t>
        </is>
      </c>
      <c r="G150" t="inlineStr">
        <is>
          <t>RFx Cancelled</t>
        </is>
      </c>
      <c r="H150" t="inlineStr">
        <is>
          <t>No</t>
        </is>
      </c>
      <c r="J150" s="96" t="n">
        <v>46087</v>
      </c>
      <c r="K150" s="96" t="n">
        <v>45960</v>
      </c>
      <c r="L150" s="65" t="n">
        <v>36000</v>
      </c>
      <c r="M150" t="inlineStr">
        <is>
          <t>Managed Services (MSP)</t>
        </is>
      </c>
      <c r="N150" t="inlineStr">
        <is>
          <t>Offline</t>
        </is>
      </c>
      <c r="O150" t="inlineStr">
        <is>
          <t>Jyothsna Nanda kishore</t>
        </is>
      </c>
      <c r="Y150" t="inlineStr">
        <is>
          <t>2025-10-10</t>
        </is>
      </c>
      <c r="Z150" t="inlineStr">
        <is>
          <t>https://app.hubspot.com/contacts/243046792/record/0-3/183188251323</t>
        </is>
      </c>
    </row>
    <row r="151">
      <c r="A151" t="n">
        <v>150</v>
      </c>
      <c r="B151" t="inlineStr">
        <is>
          <t>190919148235</t>
        </is>
      </c>
      <c r="D151" t="inlineStr">
        <is>
          <t xml:space="preserve">SharePoint Assessment </t>
        </is>
      </c>
      <c r="E151" t="inlineStr">
        <is>
          <t>Community Legal Services of Mid-Florida, Inc. d/b/a Community Legal Services</t>
        </is>
      </c>
      <c r="F151" t="inlineStr">
        <is>
          <t>Florida</t>
        </is>
      </c>
      <c r="G151" t="inlineStr">
        <is>
          <t>Closed Lost</t>
        </is>
      </c>
      <c r="H151" t="inlineStr">
        <is>
          <t>No</t>
        </is>
      </c>
      <c r="J151" s="96" t="n">
        <v>46113</v>
      </c>
      <c r="K151" s="96" t="n">
        <v>45960</v>
      </c>
      <c r="L151" s="65" t="n">
        <v>16800</v>
      </c>
      <c r="M151" t="inlineStr">
        <is>
          <t>Audits and Assessment</t>
        </is>
      </c>
      <c r="N151" t="inlineStr">
        <is>
          <t>Email</t>
        </is>
      </c>
      <c r="O151" t="inlineStr">
        <is>
          <t>Abhishek Zalani</t>
        </is>
      </c>
      <c r="Y151" t="inlineStr">
        <is>
          <t>2025-10-17</t>
        </is>
      </c>
      <c r="Z151" t="inlineStr">
        <is>
          <t>https://app.hubspot.com/contacts/243046792/record/0-3/190919148235</t>
        </is>
      </c>
    </row>
    <row r="152">
      <c r="A152" t="n">
        <v>151</v>
      </c>
      <c r="B152" t="inlineStr">
        <is>
          <t>180873376458</t>
        </is>
      </c>
      <c r="C152" t="inlineStr">
        <is>
          <t>EVT0010497</t>
        </is>
      </c>
      <c r="D152" t="inlineStr">
        <is>
          <t>FileNet Upgrade</t>
        </is>
      </c>
      <c r="E152" t="inlineStr">
        <is>
          <t>Kansas Department of Revenue</t>
        </is>
      </c>
      <c r="F152" t="inlineStr">
        <is>
          <t>Kansas</t>
        </is>
      </c>
      <c r="G152" t="inlineStr">
        <is>
          <t>Closed Lost</t>
        </is>
      </c>
      <c r="H152" t="inlineStr">
        <is>
          <t>No</t>
        </is>
      </c>
      <c r="J152" s="96" t="n">
        <v>46114</v>
      </c>
      <c r="K152" s="96" t="n">
        <v>45960</v>
      </c>
      <c r="L152" s="65" t="n">
        <v>60350</v>
      </c>
      <c r="M152" t="inlineStr">
        <is>
          <t>Modernization / Migration</t>
        </is>
      </c>
      <c r="N152" t="inlineStr">
        <is>
          <t>Email</t>
        </is>
      </c>
      <c r="O152" t="inlineStr">
        <is>
          <t>Abhishek Zalani</t>
        </is>
      </c>
      <c r="Y152" t="inlineStr">
        <is>
          <t>2025-10-09</t>
        </is>
      </c>
      <c r="Z152" t="inlineStr">
        <is>
          <t>https://app.hubspot.com/contacts/243046792/record/0-3/180873376458</t>
        </is>
      </c>
    </row>
    <row r="153">
      <c r="A153" t="n">
        <v>152</v>
      </c>
      <c r="B153" t="inlineStr">
        <is>
          <t>197784547009</t>
        </is>
      </c>
      <c r="D153" t="inlineStr">
        <is>
          <t>County Website Redesign and Development — ADA WCAG 2.2 Compliance</t>
        </is>
      </c>
      <c r="E153" t="inlineStr">
        <is>
          <t>Rio Blanco County</t>
        </is>
      </c>
      <c r="F153" t="inlineStr">
        <is>
          <t>Colorado</t>
        </is>
      </c>
      <c r="G153" t="inlineStr">
        <is>
          <t>Submitted</t>
        </is>
      </c>
      <c r="H153" t="inlineStr">
        <is>
          <t>No</t>
        </is>
      </c>
      <c r="J153" s="96" t="n">
        <v>45961</v>
      </c>
      <c r="K153" s="96" t="n">
        <v>45961</v>
      </c>
      <c r="M153" t="inlineStr">
        <is>
          <t>Consulting</t>
        </is>
      </c>
      <c r="O153" t="inlineStr">
        <is>
          <t>Abhishek Zalani</t>
        </is>
      </c>
      <c r="Y153" t="inlineStr">
        <is>
          <t>2025-10-24</t>
        </is>
      </c>
      <c r="Z153" t="inlineStr">
        <is>
          <t>https://app.hubspot.com/contacts/243046792/record/0-3/197784547009</t>
        </is>
      </c>
    </row>
    <row r="154">
      <c r="A154" t="n">
        <v>153</v>
      </c>
      <c r="B154" t="inlineStr">
        <is>
          <t>173703397101</t>
        </is>
      </c>
      <c r="D154" t="inlineStr">
        <is>
          <t>CYBER RISK CONSULTANT</t>
        </is>
      </c>
      <c r="E154" t="inlineStr">
        <is>
          <t>The Public Entity Joint Insurance fund</t>
        </is>
      </c>
      <c r="F154" t="inlineStr">
        <is>
          <t>New Jersey</t>
        </is>
      </c>
      <c r="G154" t="inlineStr">
        <is>
          <t>Submitted</t>
        </is>
      </c>
      <c r="H154" t="inlineStr">
        <is>
          <t>No</t>
        </is>
      </c>
      <c r="J154" s="96" t="n">
        <v>45961</v>
      </c>
      <c r="K154" s="96" t="n">
        <v>45961</v>
      </c>
      <c r="M154" t="inlineStr">
        <is>
          <t>Consulting</t>
        </is>
      </c>
      <c r="O154" t="inlineStr">
        <is>
          <t>Abhishek Zalani</t>
        </is>
      </c>
      <c r="Y154" t="inlineStr">
        <is>
          <t>2025-10-06</t>
        </is>
      </c>
      <c r="Z154" t="inlineStr">
        <is>
          <t>https://app.hubspot.com/contacts/243046792/record/0-3/173703397101</t>
        </is>
      </c>
    </row>
    <row r="155">
      <c r="A155" t="n">
        <v>154</v>
      </c>
      <c r="B155" t="inlineStr">
        <is>
          <t>169109642958</t>
        </is>
      </c>
      <c r="D155" t="inlineStr">
        <is>
          <t>CYBER SECURITY MANAGED SERVICES</t>
        </is>
      </c>
      <c r="E155" t="inlineStr">
        <is>
          <t>City of Santa Monica</t>
        </is>
      </c>
      <c r="F155" t="inlineStr">
        <is>
          <t>California</t>
        </is>
      </c>
      <c r="G155" t="inlineStr">
        <is>
          <t>Submitted</t>
        </is>
      </c>
      <c r="H155" t="inlineStr">
        <is>
          <t>No</t>
        </is>
      </c>
      <c r="J155" s="96" t="n">
        <v>45961</v>
      </c>
      <c r="K155" s="96" t="n">
        <v>45961</v>
      </c>
      <c r="M155" t="inlineStr">
        <is>
          <t>Managed Services (MSP)</t>
        </is>
      </c>
      <c r="N155" t="inlineStr">
        <is>
          <t>Portal</t>
        </is>
      </c>
      <c r="O155" t="inlineStr">
        <is>
          <t>Abhishek Zalani</t>
        </is>
      </c>
      <c r="Y155" t="inlineStr">
        <is>
          <t>2025-09-24</t>
        </is>
      </c>
      <c r="Z155" t="inlineStr">
        <is>
          <t>https://app.hubspot.com/contacts/243046792/record/0-3/169109642958</t>
        </is>
      </c>
    </row>
    <row r="156">
      <c r="A156" t="n">
        <v>155</v>
      </c>
      <c r="B156" t="inlineStr">
        <is>
          <t>186926091990</t>
        </is>
      </c>
      <c r="D156" t="inlineStr">
        <is>
          <t>NON-PROFESSIONAL ONCALL CONSULTING SERVICES FOR INFORMATION TECHNOLOGY (IT),CYBERSECURITY AND ARTIFICIAL INTELLIGENCE(AI) SUPPORT</t>
        </is>
      </c>
      <c r="E156" t="inlineStr">
        <is>
          <t>George Washington Regional Commission</t>
        </is>
      </c>
      <c r="F156" t="inlineStr">
        <is>
          <t>Virginia</t>
        </is>
      </c>
      <c r="G156" t="inlineStr">
        <is>
          <t>Submitted</t>
        </is>
      </c>
      <c r="H156" t="inlineStr">
        <is>
          <t>No</t>
        </is>
      </c>
      <c r="J156" s="96" t="n">
        <v>45961</v>
      </c>
      <c r="K156" s="96" t="n">
        <v>45961</v>
      </c>
      <c r="M156" t="inlineStr">
        <is>
          <t>Staff Augmentation</t>
        </is>
      </c>
      <c r="O156" t="inlineStr">
        <is>
          <t>Abhishek Zalani</t>
        </is>
      </c>
      <c r="Y156" t="inlineStr">
        <is>
          <t>2025-10-13</t>
        </is>
      </c>
      <c r="Z156" t="inlineStr">
        <is>
          <t>https://app.hubspot.com/contacts/243046792/record/0-3/186926091990</t>
        </is>
      </c>
    </row>
    <row r="157">
      <c r="A157" t="n">
        <v>156</v>
      </c>
      <c r="B157" t="inlineStr">
        <is>
          <t>190919148237</t>
        </is>
      </c>
      <c r="C157" t="inlineStr">
        <is>
          <t>003836-Oct2025</t>
        </is>
      </c>
      <c r="D157" t="inlineStr">
        <is>
          <t>WEB MODERNIZATION CONSULTANT</t>
        </is>
      </c>
      <c r="E157" t="inlineStr">
        <is>
          <t>UNIVERSITY OF CALIFORNIA MERCED</t>
        </is>
      </c>
      <c r="F157" t="inlineStr">
        <is>
          <t>California</t>
        </is>
      </c>
      <c r="G157" t="inlineStr">
        <is>
          <t>Interview</t>
        </is>
      </c>
      <c r="H157" t="inlineStr">
        <is>
          <t>Yes</t>
        </is>
      </c>
      <c r="I157" t="inlineStr">
        <is>
          <t>Interview Scheduled</t>
        </is>
      </c>
      <c r="J157" s="96" t="n">
        <v>45961</v>
      </c>
      <c r="K157" s="96" t="n">
        <v>45961</v>
      </c>
      <c r="M157" t="inlineStr">
        <is>
          <t>Consulting</t>
        </is>
      </c>
      <c r="O157" t="inlineStr">
        <is>
          <t>Abhishek Zalani</t>
        </is>
      </c>
      <c r="Q157" s="96" t="n">
        <v>46051</v>
      </c>
      <c r="Y157" s="96" t="n">
        <v>45947</v>
      </c>
      <c r="Z157" t="inlineStr">
        <is>
          <t>https://app.hubspot.com/contacts/243046792/record/0-3/190919148237</t>
        </is>
      </c>
    </row>
    <row r="158">
      <c r="A158" t="n">
        <v>157</v>
      </c>
      <c r="B158" t="inlineStr">
        <is>
          <t>183644305108</t>
        </is>
      </c>
      <c r="D158" t="inlineStr">
        <is>
          <t xml:space="preserve">Cybersecurity Risk Assessment </t>
        </is>
      </c>
      <c r="E158" t="inlineStr">
        <is>
          <t>Michigan Advocacy Program</t>
        </is>
      </c>
      <c r="F158" t="inlineStr">
        <is>
          <t>Michigan</t>
        </is>
      </c>
      <c r="G158" t="inlineStr">
        <is>
          <t>Submitted</t>
        </is>
      </c>
      <c r="H158" t="inlineStr">
        <is>
          <t>No</t>
        </is>
      </c>
      <c r="J158" s="96" t="n">
        <v>45961</v>
      </c>
      <c r="K158" s="96" t="n">
        <v>45961</v>
      </c>
      <c r="L158" s="65" t="n">
        <v>66000</v>
      </c>
      <c r="N158" t="inlineStr">
        <is>
          <t>Email</t>
        </is>
      </c>
      <c r="O158" t="inlineStr">
        <is>
          <t>Abhishek Zalani</t>
        </is>
      </c>
      <c r="Y158" t="inlineStr">
        <is>
          <t>2025-10-10</t>
        </is>
      </c>
      <c r="Z158" t="inlineStr">
        <is>
          <t>https://app.hubspot.com/contacts/243046792/record/0-3/183644305108</t>
        </is>
      </c>
    </row>
    <row r="159">
      <c r="A159" t="n">
        <v>158</v>
      </c>
      <c r="B159" t="inlineStr">
        <is>
          <t>173488592609</t>
        </is>
      </c>
      <c r="D159" t="inlineStr">
        <is>
          <t xml:space="preserve">Managed IT Services </t>
        </is>
      </c>
      <c r="E159" t="inlineStr">
        <is>
          <t>Champaign County Regional Planning Commission</t>
        </is>
      </c>
      <c r="F159" t="inlineStr">
        <is>
          <t>Illinois</t>
        </is>
      </c>
      <c r="G159" t="inlineStr">
        <is>
          <t>RFx Cancelled</t>
        </is>
      </c>
      <c r="H159" t="inlineStr">
        <is>
          <t>No</t>
        </is>
      </c>
      <c r="J159" s="96" t="n">
        <v>45961</v>
      </c>
      <c r="K159" s="96" t="n">
        <v>45961</v>
      </c>
      <c r="L159" s="65" t="n">
        <v>193440</v>
      </c>
      <c r="M159" t="inlineStr">
        <is>
          <t>Managed Services (MSP)</t>
        </is>
      </c>
      <c r="N159" t="inlineStr">
        <is>
          <t>Email</t>
        </is>
      </c>
      <c r="O159" t="inlineStr">
        <is>
          <t>Jyothsna Nanda kishore</t>
        </is>
      </c>
      <c r="Y159" s="96" t="n">
        <v>45933</v>
      </c>
      <c r="Z159" t="inlineStr">
        <is>
          <t>https://app.hubspot.com/contacts/243046792/record/0-3/173488592609</t>
        </is>
      </c>
    </row>
    <row r="160">
      <c r="A160" t="n">
        <v>159</v>
      </c>
      <c r="B160" t="inlineStr">
        <is>
          <t>179106863831</t>
        </is>
      </c>
      <c r="D160" t="inlineStr">
        <is>
          <t>Advanced PowerBI Consultant</t>
        </is>
      </c>
      <c r="E160" t="inlineStr">
        <is>
          <t>NM Health</t>
        </is>
      </c>
      <c r="F160" t="inlineStr">
        <is>
          <t>New Mexico</t>
        </is>
      </c>
      <c r="G160" t="inlineStr">
        <is>
          <t>RFx Cancelled</t>
        </is>
      </c>
      <c r="H160" t="inlineStr">
        <is>
          <t>No</t>
        </is>
      </c>
      <c r="J160" s="96" t="n">
        <v>45963</v>
      </c>
      <c r="K160" s="96" t="n">
        <v>45961</v>
      </c>
      <c r="L160" s="65" t="n">
        <v>147600</v>
      </c>
      <c r="M160" t="inlineStr">
        <is>
          <t>Consulting</t>
        </is>
      </c>
      <c r="O160" t="inlineStr">
        <is>
          <t>Jyothsna Nanda kishore</t>
        </is>
      </c>
      <c r="Y160" t="inlineStr">
        <is>
          <t>2025-10-06</t>
        </is>
      </c>
      <c r="Z160" t="inlineStr">
        <is>
          <t>https://app.hubspot.com/contacts/243046792/record/0-3/179106863831</t>
        </is>
      </c>
    </row>
    <row r="161">
      <c r="A161" t="n">
        <v>160</v>
      </c>
      <c r="B161" t="inlineStr">
        <is>
          <t>181350073058</t>
        </is>
      </c>
      <c r="D161" t="inlineStr">
        <is>
          <t>ACCOUNT CLAIM AND IDENTITY VERIFICATION SOFTWARE</t>
        </is>
      </c>
      <c r="E161" t="inlineStr">
        <is>
          <t>Michigan State University</t>
        </is>
      </c>
      <c r="F161" t="inlineStr">
        <is>
          <t>Michigan</t>
        </is>
      </c>
      <c r="G161" t="inlineStr">
        <is>
          <t>Submitted</t>
        </is>
      </c>
      <c r="H161" t="inlineStr">
        <is>
          <t>No</t>
        </is>
      </c>
      <c r="J161" s="96" t="n">
        <v>45964</v>
      </c>
      <c r="K161" s="96" t="n">
        <v>45961</v>
      </c>
      <c r="M161" t="inlineStr">
        <is>
          <t>Platform Implementation (ERP, CRMs)</t>
        </is>
      </c>
      <c r="O161" t="inlineStr">
        <is>
          <t>Abhishek Zalani</t>
        </is>
      </c>
      <c r="Y161" t="inlineStr">
        <is>
          <t>2025-10-08</t>
        </is>
      </c>
      <c r="Z161" t="inlineStr">
        <is>
          <t>https://app.hubspot.com/contacts/243046792/record/0-3/181350073058</t>
        </is>
      </c>
    </row>
    <row r="162">
      <c r="A162" t="n">
        <v>161</v>
      </c>
      <c r="B162" t="inlineStr">
        <is>
          <t>189574763220</t>
        </is>
      </c>
      <c r="D162" t="inlineStr">
        <is>
          <t>DPS/ECN RFP PSAPs Cybersecurity Training</t>
        </is>
      </c>
      <c r="E162" t="inlineStr">
        <is>
          <t>Minnesota Department of Public Safety</t>
        </is>
      </c>
      <c r="F162" t="inlineStr">
        <is>
          <t>Minnesota</t>
        </is>
      </c>
      <c r="G162" t="inlineStr">
        <is>
          <t>Closed Lost</t>
        </is>
      </c>
      <c r="H162" t="inlineStr">
        <is>
          <t>No</t>
        </is>
      </c>
      <c r="J162" s="96" t="n">
        <v>46163</v>
      </c>
      <c r="K162" s="96" t="n">
        <v>45961</v>
      </c>
      <c r="L162" s="65" t="n">
        <v>28800</v>
      </c>
      <c r="M162" t="inlineStr">
        <is>
          <t>Training</t>
        </is>
      </c>
      <c r="O162" t="inlineStr">
        <is>
          <t>Jyothsna Nanda kishore</t>
        </is>
      </c>
      <c r="Y162" t="inlineStr">
        <is>
          <t>2025-10-16</t>
        </is>
      </c>
      <c r="Z162" t="inlineStr">
        <is>
          <t>https://app.hubspot.com/contacts/243046792/record/0-3/189574763220</t>
        </is>
      </c>
    </row>
    <row r="163">
      <c r="A163" t="n">
        <v>162</v>
      </c>
      <c r="B163" t="inlineStr">
        <is>
          <t>181352951541</t>
        </is>
      </c>
      <c r="D163" t="inlineStr">
        <is>
          <t>Temporary Staffing Support</t>
        </is>
      </c>
      <c r="E163" t="inlineStr">
        <is>
          <t>Boston Public Health Commission</t>
        </is>
      </c>
      <c r="F163" t="inlineStr">
        <is>
          <t>Massachusetts</t>
        </is>
      </c>
      <c r="G163" t="inlineStr">
        <is>
          <t>Submitted</t>
        </is>
      </c>
      <c r="H163" t="inlineStr">
        <is>
          <t>No</t>
        </is>
      </c>
      <c r="J163" s="96" t="n">
        <v>45964</v>
      </c>
      <c r="K163" s="96" t="n">
        <v>45961</v>
      </c>
      <c r="M163" t="inlineStr">
        <is>
          <t>Staff Augmentation</t>
        </is>
      </c>
      <c r="N163" t="inlineStr">
        <is>
          <t>Email</t>
        </is>
      </c>
      <c r="O163" t="inlineStr">
        <is>
          <t>Abhishek Zalani</t>
        </is>
      </c>
      <c r="Y163" t="inlineStr">
        <is>
          <t>2025-10-08</t>
        </is>
      </c>
      <c r="Z163" t="inlineStr">
        <is>
          <t>https://app.hubspot.com/contacts/243046792/record/0-3/181352951541</t>
        </is>
      </c>
    </row>
    <row r="164">
      <c r="A164" t="n">
        <v>163</v>
      </c>
      <c r="B164" t="inlineStr">
        <is>
          <t>163707374317</t>
        </is>
      </c>
      <c r="C164" t="inlineStr">
        <is>
          <t>25-00332</t>
        </is>
      </c>
      <c r="D164" t="inlineStr">
        <is>
          <t>Oracle Customer Services Consulting Services</t>
        </is>
      </c>
      <c r="E164" t="inlineStr">
        <is>
          <t>Hillsborough County</t>
        </is>
      </c>
      <c r="F164" t="inlineStr">
        <is>
          <t>Florida</t>
        </is>
      </c>
      <c r="G164" t="inlineStr">
        <is>
          <t>Submitted</t>
        </is>
      </c>
      <c r="H164" t="inlineStr">
        <is>
          <t>No</t>
        </is>
      </c>
      <c r="J164" s="96" t="n">
        <v>45964</v>
      </c>
      <c r="K164" s="96" t="n">
        <v>45961</v>
      </c>
      <c r="L164" s="65" t="n">
        <v>139380</v>
      </c>
      <c r="N164" t="inlineStr">
        <is>
          <t>Portal</t>
        </is>
      </c>
      <c r="O164" t="inlineStr">
        <is>
          <t>Abhishek Zalani</t>
        </is>
      </c>
      <c r="Y164" t="inlineStr">
        <is>
          <t>2025-09-18</t>
        </is>
      </c>
      <c r="Z164" t="inlineStr">
        <is>
          <t>https://app.hubspot.com/contacts/243046792/record/0-3/163707374317</t>
        </is>
      </c>
    </row>
    <row r="165">
      <c r="A165" t="n">
        <v>164</v>
      </c>
      <c r="B165" t="inlineStr">
        <is>
          <t>197790308051</t>
        </is>
      </c>
      <c r="D165" t="inlineStr">
        <is>
          <t>IT Support Services</t>
        </is>
      </c>
      <c r="E165" t="inlineStr">
        <is>
          <t>Burlington Township</t>
        </is>
      </c>
      <c r="F165" t="inlineStr">
        <is>
          <t>New Jersey</t>
        </is>
      </c>
      <c r="G165" t="inlineStr">
        <is>
          <t>Submitted</t>
        </is>
      </c>
      <c r="H165" t="inlineStr">
        <is>
          <t>No</t>
        </is>
      </c>
      <c r="J165" s="96" t="n">
        <v>45965</v>
      </c>
      <c r="K165" s="96" t="n">
        <v>45961</v>
      </c>
      <c r="L165" s="65" t="n">
        <v>144000</v>
      </c>
      <c r="M165" t="inlineStr">
        <is>
          <t>Managed Services (MSP)</t>
        </is>
      </c>
      <c r="N165" t="inlineStr">
        <is>
          <t>Offline</t>
        </is>
      </c>
      <c r="O165" t="inlineStr">
        <is>
          <t>Jyothsna Nanda kishore</t>
        </is>
      </c>
      <c r="Y165" t="inlineStr">
        <is>
          <t>2025-10-24</t>
        </is>
      </c>
      <c r="Z165" t="inlineStr">
        <is>
          <t>https://app.hubspot.com/contacts/243046792/record/0-3/197790308051</t>
        </is>
      </c>
    </row>
    <row r="166">
      <c r="A166" t="n">
        <v>165</v>
      </c>
      <c r="B166" t="inlineStr">
        <is>
          <t>189205105379</t>
        </is>
      </c>
      <c r="D166" t="inlineStr">
        <is>
          <t>Data Warehouse/Data Platform</t>
        </is>
      </c>
      <c r="E166" t="inlineStr">
        <is>
          <t>ChildCare Group</t>
        </is>
      </c>
      <c r="F166" t="inlineStr">
        <is>
          <t>Texas</t>
        </is>
      </c>
      <c r="G166" t="inlineStr">
        <is>
          <t>RFx Cancelled</t>
        </is>
      </c>
      <c r="H166" t="inlineStr">
        <is>
          <t>No</t>
        </is>
      </c>
      <c r="J166" s="96" t="n">
        <v>45967</v>
      </c>
      <c r="K166" s="96" t="n">
        <v>45961</v>
      </c>
      <c r="L166" s="65" t="n">
        <v>199370</v>
      </c>
      <c r="M166" t="inlineStr">
        <is>
          <t>Platform Implementation (ERP, CRMs)</t>
        </is>
      </c>
      <c r="N166" t="inlineStr">
        <is>
          <t>Email</t>
        </is>
      </c>
      <c r="O166" t="inlineStr">
        <is>
          <t>Jyothsna Nanda kishore</t>
        </is>
      </c>
      <c r="Y166" t="inlineStr">
        <is>
          <t>2025-10-15</t>
        </is>
      </c>
      <c r="Z166" t="inlineStr">
        <is>
          <t>https://app.hubspot.com/contacts/243046792/record/0-3/189205105379</t>
        </is>
      </c>
    </row>
    <row r="167">
      <c r="A167" t="n">
        <v>166</v>
      </c>
      <c r="B167" t="inlineStr">
        <is>
          <t>200525470449</t>
        </is>
      </c>
      <c r="D167" t="inlineStr">
        <is>
          <t>Website Design and Development Project Services Using WordPress CMS</t>
        </is>
      </c>
      <c r="E167" t="inlineStr">
        <is>
          <t>Fox Waterway Agency</t>
        </is>
      </c>
      <c r="F167" t="inlineStr">
        <is>
          <t>Illinois</t>
        </is>
      </c>
      <c r="G167" t="inlineStr">
        <is>
          <t>Submitted</t>
        </is>
      </c>
      <c r="H167" t="inlineStr">
        <is>
          <t>No</t>
        </is>
      </c>
      <c r="J167" s="96" t="n">
        <v>45968</v>
      </c>
      <c r="K167" s="96" t="n">
        <v>45961</v>
      </c>
      <c r="O167" t="inlineStr">
        <is>
          <t>Abhishek Zalani</t>
        </is>
      </c>
      <c r="Y167" t="inlineStr">
        <is>
          <t>2025-10-27</t>
        </is>
      </c>
      <c r="Z167" t="inlineStr">
        <is>
          <t>https://app.hubspot.com/contacts/243046792/record/0-3/200525470449</t>
        </is>
      </c>
    </row>
    <row r="168">
      <c r="A168" t="n">
        <v>167</v>
      </c>
      <c r="B168" t="inlineStr">
        <is>
          <t>173508347608</t>
        </is>
      </c>
      <c r="D168" t="inlineStr">
        <is>
          <t>Information Technology Managed Services</t>
        </is>
      </c>
      <c r="E168" t="inlineStr">
        <is>
          <t>City of McFarland</t>
        </is>
      </c>
      <c r="F168" t="inlineStr">
        <is>
          <t>California</t>
        </is>
      </c>
      <c r="G168" t="inlineStr">
        <is>
          <t>Closed Lost</t>
        </is>
      </c>
      <c r="H168" t="inlineStr">
        <is>
          <t>No</t>
        </is>
      </c>
      <c r="J168" s="96" t="n">
        <v>45972</v>
      </c>
      <c r="K168" s="96" t="n">
        <v>45961</v>
      </c>
      <c r="M168" t="inlineStr">
        <is>
          <t>Managed Services (MSP)</t>
        </is>
      </c>
      <c r="N168" t="inlineStr">
        <is>
          <t>Email</t>
        </is>
      </c>
      <c r="O168" t="inlineStr">
        <is>
          <t>Ashutosh Chauhan</t>
        </is>
      </c>
      <c r="Y168" t="inlineStr">
        <is>
          <t>2025-10-01</t>
        </is>
      </c>
      <c r="Z168" t="inlineStr">
        <is>
          <t>https://app.hubspot.com/contacts/243046792/record/0-3/173508347608</t>
        </is>
      </c>
    </row>
    <row r="169">
      <c r="A169" t="n">
        <v>168</v>
      </c>
      <c r="B169" t="inlineStr">
        <is>
          <t>196439362287</t>
        </is>
      </c>
      <c r="C169" t="inlineStr">
        <is>
          <t>226-28</t>
        </is>
      </c>
      <c r="D169" t="inlineStr">
        <is>
          <t>Redgate Licenses (Rebid)</t>
        </is>
      </c>
      <c r="E169" t="inlineStr">
        <is>
          <t>The School District of Greenville County (District)</t>
        </is>
      </c>
      <c r="F169" t="inlineStr">
        <is>
          <t>South Carolina</t>
        </is>
      </c>
      <c r="G169" t="inlineStr">
        <is>
          <t>Closed Lost</t>
        </is>
      </c>
      <c r="H169" t="inlineStr">
        <is>
          <t>No</t>
        </is>
      </c>
      <c r="J169" s="96" t="n">
        <v>45980</v>
      </c>
      <c r="K169" s="96" t="n">
        <v>45961</v>
      </c>
      <c r="L169" s="65" t="n">
        <v>16933.5</v>
      </c>
      <c r="M169" t="inlineStr">
        <is>
          <t>Reseller</t>
        </is>
      </c>
      <c r="N169" t="inlineStr">
        <is>
          <t>Portal</t>
        </is>
      </c>
      <c r="O169" t="inlineStr">
        <is>
          <t>Ashutosh Chauhan</t>
        </is>
      </c>
      <c r="Y169" t="inlineStr">
        <is>
          <t>2025-10-23</t>
        </is>
      </c>
      <c r="Z169" t="inlineStr">
        <is>
          <t>https://app.hubspot.com/contacts/243046792/record/0-3/196439362287</t>
        </is>
      </c>
    </row>
    <row r="170">
      <c r="A170" t="n">
        <v>169</v>
      </c>
      <c r="B170" t="inlineStr">
        <is>
          <t>173494982350</t>
        </is>
      </c>
      <c r="D170" t="inlineStr">
        <is>
          <t>25-09 - Plan and Execute a Tabletop Exercise of the Incident Response Plan (IRP) and Emergency Operations Plan (EOP)</t>
        </is>
      </c>
      <c r="E170" t="inlineStr">
        <is>
          <t>BRISTOL BAY BOROUGH</t>
        </is>
      </c>
      <c r="F170" t="inlineStr">
        <is>
          <t>ALASKA</t>
        </is>
      </c>
      <c r="G170" t="inlineStr">
        <is>
          <t>Closed Lost</t>
        </is>
      </c>
      <c r="H170" t="inlineStr">
        <is>
          <t>No</t>
        </is>
      </c>
      <c r="J170" s="96" t="n">
        <v>45994</v>
      </c>
      <c r="K170" s="96" t="n">
        <v>45961</v>
      </c>
      <c r="L170" s="65" t="n">
        <v>18150</v>
      </c>
      <c r="M170" t="inlineStr">
        <is>
          <t>Training</t>
        </is>
      </c>
      <c r="O170" t="inlineStr">
        <is>
          <t>Ashutosh Chauhan</t>
        </is>
      </c>
      <c r="Y170" t="inlineStr">
        <is>
          <t>2025-10-01</t>
        </is>
      </c>
      <c r="Z170" t="inlineStr">
        <is>
          <t>https://app.hubspot.com/contacts/243046792/record/0-3/173494982350</t>
        </is>
      </c>
    </row>
    <row r="171">
      <c r="A171" t="n">
        <v>170</v>
      </c>
      <c r="B171" t="inlineStr">
        <is>
          <t>161660339939</t>
        </is>
      </c>
      <c r="D171" t="inlineStr">
        <is>
          <t>Data Master Plan and Governance Framework Development</t>
        </is>
      </c>
      <c r="E171" t="inlineStr">
        <is>
          <t>Massachusetts School Building Authority</t>
        </is>
      </c>
      <c r="F171" t="inlineStr">
        <is>
          <t>Massachusetts</t>
        </is>
      </c>
      <c r="G171" t="inlineStr">
        <is>
          <t>Closed Lost</t>
        </is>
      </c>
      <c r="H171" t="inlineStr">
        <is>
          <t>No</t>
        </is>
      </c>
      <c r="J171" s="96" t="n">
        <v>46133</v>
      </c>
      <c r="K171" s="96" t="n">
        <v>45964</v>
      </c>
      <c r="L171" s="65" t="n">
        <v>77717</v>
      </c>
      <c r="M171" t="inlineStr">
        <is>
          <t>Modernization / Migration</t>
        </is>
      </c>
      <c r="O171" t="inlineStr">
        <is>
          <t>Ashutosh Chauhan</t>
        </is>
      </c>
      <c r="Y171" t="inlineStr">
        <is>
          <t>2025-09-17</t>
        </is>
      </c>
      <c r="Z171" t="inlineStr">
        <is>
          <t>https://app.hubspot.com/contacts/243046792/record/0-3/161660339939</t>
        </is>
      </c>
    </row>
    <row r="172">
      <c r="A172" t="n">
        <v>171</v>
      </c>
      <c r="B172" t="inlineStr">
        <is>
          <t>175110073058</t>
        </is>
      </c>
      <c r="D172" t="inlineStr">
        <is>
          <t>Managed IT Services</t>
        </is>
      </c>
      <c r="E172" t="inlineStr">
        <is>
          <t>City of Knob Noster</t>
        </is>
      </c>
      <c r="F172" t="inlineStr">
        <is>
          <t>Missouri</t>
        </is>
      </c>
      <c r="G172" t="inlineStr">
        <is>
          <t>RFx Cancelled</t>
        </is>
      </c>
      <c r="H172" t="inlineStr">
        <is>
          <t>No</t>
        </is>
      </c>
      <c r="J172" s="96" t="n">
        <v>45966</v>
      </c>
      <c r="K172" s="96" t="n">
        <v>45966</v>
      </c>
      <c r="M172" t="inlineStr">
        <is>
          <t>Managed Services (MSP)</t>
        </is>
      </c>
      <c r="N172" t="inlineStr">
        <is>
          <t>Email</t>
        </is>
      </c>
      <c r="O172" t="inlineStr">
        <is>
          <t>Ashutosh Chauhan</t>
        </is>
      </c>
      <c r="Y172" t="inlineStr">
        <is>
          <t>2025-10-03</t>
        </is>
      </c>
      <c r="Z172" t="inlineStr">
        <is>
          <t>https://app.hubspot.com/contacts/243046792/record/0-3/175110073058</t>
        </is>
      </c>
    </row>
    <row r="173">
      <c r="A173" t="n">
        <v>172</v>
      </c>
      <c r="B173" t="inlineStr">
        <is>
          <t>181347911388</t>
        </is>
      </c>
      <c r="C173" t="inlineStr">
        <is>
          <t>2025-05</t>
        </is>
      </c>
      <c r="D173" t="inlineStr">
        <is>
          <t>IT Management Services</t>
        </is>
      </c>
      <c r="E173" t="inlineStr">
        <is>
          <t xml:space="preserve">Spartanburg Housing Authority </t>
        </is>
      </c>
      <c r="F173" t="inlineStr">
        <is>
          <t>South Carolina</t>
        </is>
      </c>
      <c r="G173" t="inlineStr">
        <is>
          <t>Submitted</t>
        </is>
      </c>
      <c r="H173" t="inlineStr">
        <is>
          <t>No</t>
        </is>
      </c>
      <c r="J173" s="96" t="n">
        <v>45965</v>
      </c>
      <c r="K173" s="96" t="n">
        <v>45967</v>
      </c>
      <c r="M173" t="inlineStr">
        <is>
          <t>Managed Services (MSP)</t>
        </is>
      </c>
      <c r="N173" t="inlineStr">
        <is>
          <t>Offline</t>
        </is>
      </c>
      <c r="O173" t="inlineStr">
        <is>
          <t>Ashutosh Chauhan</t>
        </is>
      </c>
      <c r="Y173" t="inlineStr">
        <is>
          <t>2025-10-08</t>
        </is>
      </c>
      <c r="Z173" t="inlineStr">
        <is>
          <t>https://app.hubspot.com/contacts/243046792/record/0-3/181347911388</t>
        </is>
      </c>
    </row>
    <row r="174">
      <c r="A174" t="n">
        <v>173</v>
      </c>
      <c r="B174" t="inlineStr">
        <is>
          <t>157264849616</t>
        </is>
      </c>
      <c r="D174" t="inlineStr">
        <is>
          <t>IT Software Asset Management (SAM) Solution Implementation Services</t>
        </is>
      </c>
      <c r="E174" t="inlineStr">
        <is>
          <t>Metropolitan Water District of Southern California</t>
        </is>
      </c>
      <c r="F174" t="inlineStr">
        <is>
          <t>California</t>
        </is>
      </c>
      <c r="G174" t="inlineStr">
        <is>
          <t>Submitted</t>
        </is>
      </c>
      <c r="H174" t="inlineStr">
        <is>
          <t>No</t>
        </is>
      </c>
      <c r="J174" s="96" t="n">
        <v>45967</v>
      </c>
      <c r="K174" s="96" t="n">
        <v>45967</v>
      </c>
      <c r="L174" s="65" t="n">
        <v>188000</v>
      </c>
      <c r="M174" t="inlineStr">
        <is>
          <t>Platform Implementation (ERP, CRMs)</t>
        </is>
      </c>
      <c r="N174" t="inlineStr">
        <is>
          <t>Portal</t>
        </is>
      </c>
      <c r="O174" t="inlineStr">
        <is>
          <t>Abhishek Zalani</t>
        </is>
      </c>
      <c r="Y174" t="inlineStr">
        <is>
          <t>2025-09-08</t>
        </is>
      </c>
      <c r="Z174" t="inlineStr">
        <is>
          <t>https://app.hubspot.com/contacts/243046792/record/0-3/157264849616</t>
        </is>
      </c>
    </row>
    <row r="175">
      <c r="A175" t="n">
        <v>174</v>
      </c>
      <c r="B175" t="inlineStr">
        <is>
          <t>186744999661</t>
        </is>
      </c>
      <c r="C175" t="inlineStr">
        <is>
          <t>#25-183</t>
        </is>
      </c>
      <c r="D175" t="inlineStr">
        <is>
          <t>Information Technology &amp; Computer Support Services</t>
        </is>
      </c>
      <c r="E175" t="inlineStr">
        <is>
          <t>Housing Authority of the City of Bristol</t>
        </is>
      </c>
      <c r="F175" t="inlineStr">
        <is>
          <t>Connecticut</t>
        </is>
      </c>
      <c r="G175" t="inlineStr">
        <is>
          <t>Submitted</t>
        </is>
      </c>
      <c r="H175" t="inlineStr">
        <is>
          <t>No</t>
        </is>
      </c>
      <c r="J175" s="96" t="n">
        <v>45967</v>
      </c>
      <c r="K175" s="96" t="n">
        <v>45967</v>
      </c>
      <c r="L175" s="65" t="n">
        <v>129480</v>
      </c>
      <c r="N175" t="inlineStr">
        <is>
          <t>Offline</t>
        </is>
      </c>
      <c r="O175" t="inlineStr">
        <is>
          <t>Abhishek Zalani</t>
        </is>
      </c>
      <c r="Y175" t="inlineStr">
        <is>
          <t>2025-10-13</t>
        </is>
      </c>
      <c r="Z175" t="inlineStr">
        <is>
          <t>https://app.hubspot.com/contacts/243046792/record/0-3/186744999661</t>
        </is>
      </c>
    </row>
    <row r="176">
      <c r="A176" t="n">
        <v>175</v>
      </c>
      <c r="B176" t="inlineStr">
        <is>
          <t>197746210499</t>
        </is>
      </c>
      <c r="D176" t="inlineStr">
        <is>
          <t>CISCO UNIFIED COMMUNICATIONS MANAGER UPGRADE</t>
        </is>
      </c>
      <c r="E176" t="inlineStr">
        <is>
          <t>Escambia County</t>
        </is>
      </c>
      <c r="F176" t="inlineStr">
        <is>
          <t>Florida</t>
        </is>
      </c>
      <c r="G176" t="inlineStr">
        <is>
          <t>Submitted</t>
        </is>
      </c>
      <c r="H176" t="inlineStr">
        <is>
          <t>No</t>
        </is>
      </c>
      <c r="J176" s="96" t="n">
        <v>45968</v>
      </c>
      <c r="K176" s="96" t="n">
        <v>45967</v>
      </c>
      <c r="M176" t="inlineStr">
        <is>
          <t>Reseller</t>
        </is>
      </c>
      <c r="O176" t="inlineStr">
        <is>
          <t>Abhishek Zalani</t>
        </is>
      </c>
      <c r="Y176" t="inlineStr">
        <is>
          <t>2025-10-24</t>
        </is>
      </c>
      <c r="Z176" t="inlineStr">
        <is>
          <t>https://app.hubspot.com/contacts/243046792/record/0-3/197746210499</t>
        </is>
      </c>
    </row>
    <row r="177">
      <c r="A177" t="n">
        <v>176</v>
      </c>
      <c r="B177" t="inlineStr">
        <is>
          <t>202088860356</t>
        </is>
      </c>
      <c r="D177" t="inlineStr">
        <is>
          <t>Coworking Software Platform</t>
        </is>
      </c>
      <c r="E177" t="inlineStr">
        <is>
          <t>Denver Housing Authority</t>
        </is>
      </c>
      <c r="F177" t="inlineStr">
        <is>
          <t>Colorado</t>
        </is>
      </c>
      <c r="G177" t="inlineStr">
        <is>
          <t>Closed Lost</t>
        </is>
      </c>
      <c r="H177" t="inlineStr">
        <is>
          <t>Yes</t>
        </is>
      </c>
      <c r="I177" t="inlineStr">
        <is>
          <t>Interview</t>
        </is>
      </c>
      <c r="J177" s="96" t="n">
        <v>46227</v>
      </c>
      <c r="K177" s="96" t="n">
        <v>45967</v>
      </c>
      <c r="L177" s="65" t="n">
        <v>61000</v>
      </c>
      <c r="M177" t="inlineStr">
        <is>
          <t>Platform Implementation (ERP, CRMs)</t>
        </is>
      </c>
      <c r="N177" t="inlineStr">
        <is>
          <t>Portal</t>
        </is>
      </c>
      <c r="O177" t="inlineStr">
        <is>
          <t>Ashutosh Chauhan</t>
        </is>
      </c>
      <c r="Q177" t="inlineStr">
        <is>
          <t>2026-01-16</t>
        </is>
      </c>
      <c r="Y177" t="inlineStr">
        <is>
          <t>2025-10-28</t>
        </is>
      </c>
      <c r="Z177" t="inlineStr">
        <is>
          <t>https://app.hubspot.com/contacts/243046792/record/0-3/202088860356</t>
        </is>
      </c>
    </row>
    <row r="178">
      <c r="A178" t="n">
        <v>177</v>
      </c>
      <c r="B178" t="inlineStr">
        <is>
          <t>181354392264</t>
        </is>
      </c>
      <c r="C178" t="inlineStr">
        <is>
          <t>25-11</t>
        </is>
      </c>
      <c r="D178" t="inlineStr">
        <is>
          <t>AIS Technology Consulting Services</t>
        </is>
      </c>
      <c r="E178" t="inlineStr">
        <is>
          <t>Pittsburgh Regional Transit</t>
        </is>
      </c>
      <c r="F178" t="inlineStr">
        <is>
          <t>Pennsylvania</t>
        </is>
      </c>
      <c r="G178" t="inlineStr">
        <is>
          <t>Submitted</t>
        </is>
      </c>
      <c r="H178" t="inlineStr">
        <is>
          <t>No</t>
        </is>
      </c>
      <c r="J178" s="96" t="n">
        <v>45968</v>
      </c>
      <c r="K178" s="96" t="n">
        <v>45968</v>
      </c>
      <c r="M178" t="inlineStr">
        <is>
          <t>Consulting</t>
        </is>
      </c>
      <c r="N178" t="inlineStr">
        <is>
          <t>Portal</t>
        </is>
      </c>
      <c r="O178" t="inlineStr">
        <is>
          <t>Ashutosh Chauhan</t>
        </is>
      </c>
      <c r="Y178" t="inlineStr">
        <is>
          <t>2025-10-08</t>
        </is>
      </c>
      <c r="Z178" t="inlineStr">
        <is>
          <t>https://app.hubspot.com/contacts/243046792/record/0-3/181354392264</t>
        </is>
      </c>
    </row>
    <row r="179">
      <c r="A179" t="n">
        <v>178</v>
      </c>
      <c r="B179" t="inlineStr">
        <is>
          <t>179112632005</t>
        </is>
      </c>
      <c r="D179" t="inlineStr">
        <is>
          <t>Snake River Water Headwaters Data Dashboard</t>
        </is>
      </c>
      <c r="E179" t="inlineStr">
        <is>
          <t>Teton Conservation District</t>
        </is>
      </c>
      <c r="F179" t="inlineStr">
        <is>
          <t>Wyoming</t>
        </is>
      </c>
      <c r="G179" t="inlineStr">
        <is>
          <t>Submitted</t>
        </is>
      </c>
      <c r="H179" t="inlineStr">
        <is>
          <t>No</t>
        </is>
      </c>
      <c r="J179" s="96" t="n">
        <v>45968</v>
      </c>
      <c r="K179" s="96" t="n">
        <v>45968</v>
      </c>
      <c r="M179" t="inlineStr">
        <is>
          <t>Consulting;Platform Implementation (ERP, CRMs)</t>
        </is>
      </c>
      <c r="O179" t="inlineStr">
        <is>
          <t>Abhishek Zalani</t>
        </is>
      </c>
      <c r="Y179" t="inlineStr">
        <is>
          <t>2025-10-06</t>
        </is>
      </c>
      <c r="Z179" t="inlineStr">
        <is>
          <t>https://app.hubspot.com/contacts/243046792/record/0-3/179112632005</t>
        </is>
      </c>
    </row>
    <row r="180">
      <c r="A180" t="n">
        <v>179</v>
      </c>
      <c r="B180" t="inlineStr">
        <is>
          <t>211100515005</t>
        </is>
      </c>
      <c r="D180" t="inlineStr">
        <is>
          <t>Managed Services for Oracle PeopleSoft in AWS Cloud</t>
        </is>
      </c>
      <c r="E180" t="inlineStr">
        <is>
          <t>Central Washington University</t>
        </is>
      </c>
      <c r="F180" t="inlineStr">
        <is>
          <t>Washington</t>
        </is>
      </c>
      <c r="G180" t="inlineStr">
        <is>
          <t>Submitted</t>
        </is>
      </c>
      <c r="H180" t="inlineStr">
        <is>
          <t>No</t>
        </is>
      </c>
      <c r="J180" s="96" t="n">
        <v>45968</v>
      </c>
      <c r="K180" s="96" t="n">
        <v>45968</v>
      </c>
      <c r="M180" t="inlineStr">
        <is>
          <t>Managed Services (MSP)</t>
        </is>
      </c>
      <c r="O180" t="inlineStr">
        <is>
          <t>Abhishek Zalani</t>
        </is>
      </c>
      <c r="Y180" t="inlineStr">
        <is>
          <t>2025-11-05</t>
        </is>
      </c>
      <c r="Z180" t="inlineStr">
        <is>
          <t>https://app.hubspot.com/contacts/243046792/record/0-3/211100515005</t>
        </is>
      </c>
    </row>
    <row r="181">
      <c r="A181" t="n">
        <v>180</v>
      </c>
      <c r="B181" t="inlineStr">
        <is>
          <t>173494982346</t>
        </is>
      </c>
      <c r="C181" t="inlineStr">
        <is>
          <t>B-25-019</t>
        </is>
      </c>
      <c r="D181" t="inlineStr">
        <is>
          <t>Learning Management System Selection and Implementation</t>
        </is>
      </c>
      <c r="E181" t="inlineStr">
        <is>
          <t>Metro Water Recovery</t>
        </is>
      </c>
      <c r="F181" t="inlineStr">
        <is>
          <t>Colorado</t>
        </is>
      </c>
      <c r="G181" t="inlineStr">
        <is>
          <t>Submitted</t>
        </is>
      </c>
      <c r="H181" t="inlineStr">
        <is>
          <t>No</t>
        </is>
      </c>
      <c r="J181" s="96" t="n">
        <v>45968</v>
      </c>
      <c r="K181" s="96" t="n">
        <v>45968</v>
      </c>
      <c r="L181" s="65" t="n">
        <v>113000</v>
      </c>
      <c r="N181" t="inlineStr">
        <is>
          <t>Portal</t>
        </is>
      </c>
      <c r="O181" t="inlineStr">
        <is>
          <t>Abhishek Zalani</t>
        </is>
      </c>
      <c r="Y181" t="inlineStr">
        <is>
          <t>2025-10-01</t>
        </is>
      </c>
      <c r="Z181" t="inlineStr">
        <is>
          <t>https://app.hubspot.com/contacts/243046792/record/0-3/173494982346</t>
        </is>
      </c>
    </row>
    <row r="182">
      <c r="A182" t="n">
        <v>181</v>
      </c>
      <c r="B182" t="inlineStr">
        <is>
          <t>204626558697</t>
        </is>
      </c>
      <c r="C182" t="inlineStr">
        <is>
          <t>2026-2028</t>
        </is>
      </c>
      <c r="D182" t="inlineStr">
        <is>
          <t>Information Technology Services</t>
        </is>
      </c>
      <c r="E182" t="inlineStr">
        <is>
          <t>City of Greenville</t>
        </is>
      </c>
      <c r="F182" t="inlineStr">
        <is>
          <t>Michigan</t>
        </is>
      </c>
      <c r="G182" t="inlineStr">
        <is>
          <t>Submitted</t>
        </is>
      </c>
      <c r="H182" t="inlineStr">
        <is>
          <t>No</t>
        </is>
      </c>
      <c r="J182" s="96" t="n">
        <v>45971</v>
      </c>
      <c r="K182" s="96" t="n">
        <v>45968</v>
      </c>
      <c r="L182" s="65" t="n">
        <v>106000</v>
      </c>
      <c r="M182" t="inlineStr">
        <is>
          <t>Managed Services (MSP)</t>
        </is>
      </c>
      <c r="N182" t="inlineStr">
        <is>
          <t>Offline</t>
        </is>
      </c>
      <c r="O182" t="inlineStr">
        <is>
          <t>Ashutosh Chauhan</t>
        </is>
      </c>
      <c r="Y182" t="inlineStr">
        <is>
          <t>2025-10-30</t>
        </is>
      </c>
      <c r="Z182" t="inlineStr">
        <is>
          <t>https://app.hubspot.com/contacts/243046792/record/0-3/204626558697</t>
        </is>
      </c>
    </row>
    <row r="183">
      <c r="A183" t="n">
        <v>182</v>
      </c>
      <c r="B183" t="inlineStr">
        <is>
          <t>197746216661</t>
        </is>
      </c>
      <c r="D183" t="inlineStr">
        <is>
          <t>Fundraising CRM/Database Solution</t>
        </is>
      </c>
      <c r="E183" t="inlineStr">
        <is>
          <t>National Forest Foundation</t>
        </is>
      </c>
      <c r="F183" t="inlineStr">
        <is>
          <t>Montana</t>
        </is>
      </c>
      <c r="G183" t="inlineStr">
        <is>
          <t>Closed Lost</t>
        </is>
      </c>
      <c r="H183" t="inlineStr">
        <is>
          <t>No</t>
        </is>
      </c>
      <c r="J183" s="96" t="n">
        <v>46000</v>
      </c>
      <c r="K183" s="96" t="n">
        <v>45968</v>
      </c>
      <c r="L183" s="65" t="n">
        <v>223250</v>
      </c>
      <c r="M183" t="inlineStr">
        <is>
          <t>Platform Implementation (ERP, CRMs)</t>
        </is>
      </c>
      <c r="N183" t="inlineStr">
        <is>
          <t>Email</t>
        </is>
      </c>
      <c r="O183" t="inlineStr">
        <is>
          <t>Jyothsna Nanda kishore</t>
        </is>
      </c>
      <c r="Y183" t="inlineStr">
        <is>
          <t>2025-10-24</t>
        </is>
      </c>
      <c r="Z183" t="inlineStr">
        <is>
          <t>https://app.hubspot.com/contacts/243046792/record/0-3/197746216661</t>
        </is>
      </c>
    </row>
    <row r="184">
      <c r="A184" t="n">
        <v>183</v>
      </c>
      <c r="B184" t="inlineStr">
        <is>
          <t>181172761324</t>
        </is>
      </c>
      <c r="D184" t="inlineStr">
        <is>
          <t>Constituent Services Mobile Application and Supporting Components and Services</t>
        </is>
      </c>
      <c r="E184" t="inlineStr">
        <is>
          <t>Office of State Procurement</t>
        </is>
      </c>
      <c r="F184" t="inlineStr">
        <is>
          <t>Arkansas</t>
        </is>
      </c>
      <c r="G184" t="inlineStr">
        <is>
          <t>Closed Lost</t>
        </is>
      </c>
      <c r="H184" t="inlineStr">
        <is>
          <t>Yes</t>
        </is>
      </c>
      <c r="I184" t="inlineStr">
        <is>
          <t>Interview</t>
        </is>
      </c>
      <c r="J184" s="96" t="n">
        <v>46027</v>
      </c>
      <c r="K184" s="96" t="n">
        <v>45968</v>
      </c>
      <c r="L184" s="65" t="n">
        <v>1500000</v>
      </c>
      <c r="M184" t="inlineStr">
        <is>
          <t>Modernization / Migration</t>
        </is>
      </c>
      <c r="O184" t="inlineStr">
        <is>
          <t>Ashutosh Chauhan</t>
        </is>
      </c>
      <c r="P184" t="inlineStr">
        <is>
          <t>Interview Scheduled</t>
        </is>
      </c>
      <c r="Q184" t="inlineStr">
        <is>
          <t>2025-11-19</t>
        </is>
      </c>
      <c r="Y184" t="inlineStr">
        <is>
          <t>2025-10-08</t>
        </is>
      </c>
      <c r="Z184" t="inlineStr">
        <is>
          <t>https://app.hubspot.com/contacts/243046792/record/0-3/181172761324</t>
        </is>
      </c>
    </row>
    <row r="185">
      <c r="A185" t="n">
        <v>184</v>
      </c>
      <c r="B185" t="inlineStr">
        <is>
          <t>182109882068</t>
        </is>
      </c>
      <c r="D185" t="inlineStr">
        <is>
          <t>Greene County - Professional Consultant Services (Rebid)</t>
        </is>
      </c>
      <c r="E185" t="inlineStr">
        <is>
          <t>Greene County</t>
        </is>
      </c>
      <c r="F185" t="inlineStr">
        <is>
          <t>New York</t>
        </is>
      </c>
      <c r="G185" t="inlineStr">
        <is>
          <t>Closed Won</t>
        </is>
      </c>
      <c r="H185" t="inlineStr">
        <is>
          <t>No</t>
        </is>
      </c>
      <c r="J185" s="96" t="n">
        <v>46097</v>
      </c>
      <c r="K185" s="96" t="n">
        <v>45968</v>
      </c>
      <c r="M185" t="inlineStr">
        <is>
          <t>Staff Augmentation</t>
        </is>
      </c>
      <c r="N185" t="inlineStr">
        <is>
          <t>Offline</t>
        </is>
      </c>
      <c r="O185" t="inlineStr">
        <is>
          <t>Abhishek Zalani</t>
        </is>
      </c>
      <c r="S185" t="inlineStr">
        <is>
          <t>2025-12-09</t>
        </is>
      </c>
      <c r="U185" s="96" t="n">
        <v>46079</v>
      </c>
      <c r="Y185" t="inlineStr">
        <is>
          <t>2025-10-09</t>
        </is>
      </c>
      <c r="Z185" t="inlineStr">
        <is>
          <t>https://app.hubspot.com/contacts/243046792/record/0-3/182109882068</t>
        </is>
      </c>
      <c r="AA185" t="inlineStr">
        <is>
          <t>No</t>
        </is>
      </c>
    </row>
    <row r="186">
      <c r="A186" t="n">
        <v>185</v>
      </c>
      <c r="B186" t="inlineStr">
        <is>
          <t>189830098631</t>
        </is>
      </c>
      <c r="D186" t="inlineStr">
        <is>
          <t>District Data Lake, Reporting and Visualization Platform</t>
        </is>
      </c>
      <c r="E186" t="inlineStr">
        <is>
          <t>Leander ISD</t>
        </is>
      </c>
      <c r="F186" t="inlineStr">
        <is>
          <t>Texas</t>
        </is>
      </c>
      <c r="G186" t="inlineStr">
        <is>
          <t>Closed Lost</t>
        </is>
      </c>
      <c r="H186" t="inlineStr">
        <is>
          <t>Yes</t>
        </is>
      </c>
      <c r="I186" t="inlineStr">
        <is>
          <t>Interview</t>
        </is>
      </c>
      <c r="J186" s="96" t="n">
        <v>46128</v>
      </c>
      <c r="K186" s="96" t="n">
        <v>45968</v>
      </c>
      <c r="L186" s="65" t="n">
        <v>498500</v>
      </c>
      <c r="M186" t="inlineStr">
        <is>
          <t>Platform Implementation (ERP, CRMs)</t>
        </is>
      </c>
      <c r="N186" t="inlineStr">
        <is>
          <t>Portal</t>
        </is>
      </c>
      <c r="O186" t="inlineStr">
        <is>
          <t>Jyothsna Nanda kishore</t>
        </is>
      </c>
      <c r="P186" t="inlineStr">
        <is>
          <t>Interview Scheduled</t>
        </is>
      </c>
      <c r="Q186" t="inlineStr">
        <is>
          <t>2025-12-01</t>
        </is>
      </c>
      <c r="Y186" t="inlineStr">
        <is>
          <t>2025-10-16</t>
        </is>
      </c>
      <c r="Z186" t="inlineStr">
        <is>
          <t>https://app.hubspot.com/contacts/243046792/record/0-3/189830098631</t>
        </is>
      </c>
    </row>
    <row r="187">
      <c r="A187" t="n">
        <v>186</v>
      </c>
      <c r="B187" t="inlineStr">
        <is>
          <t>203220831960</t>
        </is>
      </c>
      <c r="D187" t="inlineStr">
        <is>
          <t>CPOR Airtable Maintenance and Enhancements</t>
        </is>
      </c>
      <c r="E187" t="inlineStr">
        <is>
          <t>Chicago Public Schools</t>
        </is>
      </c>
      <c r="F187" t="inlineStr">
        <is>
          <t>Chicago</t>
        </is>
      </c>
      <c r="G187" t="inlineStr">
        <is>
          <t>Closed Lost</t>
        </is>
      </c>
      <c r="H187" t="inlineStr">
        <is>
          <t>No</t>
        </is>
      </c>
      <c r="J187" s="96" t="n">
        <v>46289</v>
      </c>
      <c r="K187" s="96" t="n">
        <v>45970</v>
      </c>
      <c r="L187" s="65" t="n">
        <v>42700</v>
      </c>
      <c r="M187" t="inlineStr">
        <is>
          <t>Support &amp; Maintenance</t>
        </is>
      </c>
      <c r="O187" t="inlineStr">
        <is>
          <t>Jyothsna Nanda kishore</t>
        </is>
      </c>
      <c r="Y187" t="inlineStr">
        <is>
          <t>2025-10-30</t>
        </is>
      </c>
      <c r="Z187" t="inlineStr">
        <is>
          <t>https://app.hubspot.com/contacts/243046792/record/0-3/203220831960</t>
        </is>
      </c>
    </row>
    <row r="188">
      <c r="A188" t="n">
        <v>187</v>
      </c>
      <c r="B188" t="inlineStr">
        <is>
          <t>179568478952</t>
        </is>
      </c>
      <c r="C188" t="inlineStr">
        <is>
          <t>PA000000378</t>
        </is>
      </c>
      <c r="D188" t="inlineStr">
        <is>
          <t>Cybersecurity Services 2026</t>
        </is>
      </c>
      <c r="E188" t="inlineStr">
        <is>
          <t>Port of Tacoma</t>
        </is>
      </c>
      <c r="F188" t="inlineStr">
        <is>
          <t>Washington</t>
        </is>
      </c>
      <c r="G188" t="inlineStr">
        <is>
          <t>Submitted</t>
        </is>
      </c>
      <c r="H188" t="inlineStr">
        <is>
          <t>No</t>
        </is>
      </c>
      <c r="J188" s="96" t="n">
        <v>45970</v>
      </c>
      <c r="K188" s="96" t="n">
        <v>45971</v>
      </c>
      <c r="L188" s="65" t="n">
        <v>65000</v>
      </c>
      <c r="M188" t="inlineStr">
        <is>
          <t>Audits and Assessment</t>
        </is>
      </c>
      <c r="N188" t="inlineStr">
        <is>
          <t>Portal</t>
        </is>
      </c>
      <c r="O188" t="inlineStr">
        <is>
          <t>Ashutosh Chauhan</t>
        </is>
      </c>
      <c r="Y188" t="inlineStr">
        <is>
          <t>2025-10-07</t>
        </is>
      </c>
      <c r="Z188" t="inlineStr">
        <is>
          <t>https://app.hubspot.com/contacts/243046792/record/0-3/179568478952</t>
        </is>
      </c>
    </row>
    <row r="189">
      <c r="A189" t="n">
        <v>188</v>
      </c>
      <c r="B189" t="inlineStr">
        <is>
          <t>204679147229</t>
        </is>
      </c>
      <c r="D189" t="inlineStr">
        <is>
          <t>Strategic Planning Consultant</t>
        </is>
      </c>
      <c r="E189" t="inlineStr">
        <is>
          <t>Cincinnati Public Schools</t>
        </is>
      </c>
      <c r="F189" t="inlineStr">
        <is>
          <t>Ohio</t>
        </is>
      </c>
      <c r="G189" t="inlineStr">
        <is>
          <t>Submitted</t>
        </is>
      </c>
      <c r="H189" t="inlineStr">
        <is>
          <t>No</t>
        </is>
      </c>
      <c r="J189" s="96" t="n">
        <v>45971</v>
      </c>
      <c r="K189" s="96" t="n">
        <v>45971</v>
      </c>
      <c r="M189" t="inlineStr">
        <is>
          <t>Consulting</t>
        </is>
      </c>
      <c r="O189" t="inlineStr">
        <is>
          <t>Abhishek Zalani</t>
        </is>
      </c>
      <c r="Y189" t="inlineStr">
        <is>
          <t>2025-10-30</t>
        </is>
      </c>
      <c r="Z189" t="inlineStr">
        <is>
          <t>https://app.hubspot.com/contacts/243046792/record/0-3/204679147229</t>
        </is>
      </c>
    </row>
    <row r="190">
      <c r="A190" t="n">
        <v>189</v>
      </c>
      <c r="B190" t="inlineStr">
        <is>
          <t>202088860375</t>
        </is>
      </c>
      <c r="C190" t="inlineStr">
        <is>
          <t>251-26-216</t>
        </is>
      </c>
      <c r="D190" t="inlineStr">
        <is>
          <t>Cloud Migration and Technology Infrastructure Modernization for School District</t>
        </is>
      </c>
      <c r="E190" t="inlineStr">
        <is>
          <t>Wake County Board of Education [NC]</t>
        </is>
      </c>
      <c r="F190" t="inlineStr">
        <is>
          <t>North Carolina</t>
        </is>
      </c>
      <c r="G190" t="inlineStr">
        <is>
          <t>Submitted</t>
        </is>
      </c>
      <c r="H190" t="inlineStr">
        <is>
          <t>No</t>
        </is>
      </c>
      <c r="J190" s="96" t="n">
        <v>45971</v>
      </c>
      <c r="K190" s="96" t="n">
        <v>45971</v>
      </c>
      <c r="M190" t="inlineStr">
        <is>
          <t>Modernization / Migration</t>
        </is>
      </c>
      <c r="O190" t="inlineStr">
        <is>
          <t>Ashutosh Chauhan</t>
        </is>
      </c>
      <c r="Y190" t="inlineStr">
        <is>
          <t>2025-10-28</t>
        </is>
      </c>
      <c r="Z190" t="inlineStr">
        <is>
          <t>https://app.hubspot.com/contacts/243046792/record/0-3/202088860375</t>
        </is>
      </c>
    </row>
    <row r="191">
      <c r="A191" t="n">
        <v>190</v>
      </c>
      <c r="B191" t="inlineStr">
        <is>
          <t>186933291754</t>
        </is>
      </c>
      <c r="D191" t="inlineStr">
        <is>
          <t>ERP Readiness and Tool Selection Consulting Services</t>
        </is>
      </c>
      <c r="E191" t="inlineStr">
        <is>
          <t>Virginia Tech</t>
        </is>
      </c>
      <c r="F191" t="inlineStr">
        <is>
          <t>Virginia</t>
        </is>
      </c>
      <c r="G191" t="inlineStr">
        <is>
          <t>Submitted</t>
        </is>
      </c>
      <c r="H191" t="inlineStr">
        <is>
          <t>No</t>
        </is>
      </c>
      <c r="J191" s="96" t="n">
        <v>45971</v>
      </c>
      <c r="K191" s="96" t="n">
        <v>45971</v>
      </c>
      <c r="M191" t="inlineStr">
        <is>
          <t>Platform Implementation (ERP, CRMs)</t>
        </is>
      </c>
      <c r="N191" t="inlineStr">
        <is>
          <t>Portal</t>
        </is>
      </c>
      <c r="O191" t="inlineStr">
        <is>
          <t>Ashutosh Chauhan</t>
        </is>
      </c>
      <c r="Y191" t="inlineStr">
        <is>
          <t>2025-10-13</t>
        </is>
      </c>
      <c r="Z191" t="inlineStr">
        <is>
          <t>https://app.hubspot.com/contacts/243046792/record/0-3/186933291754</t>
        </is>
      </c>
    </row>
    <row r="192">
      <c r="A192" t="n">
        <v>191</v>
      </c>
      <c r="B192" t="inlineStr">
        <is>
          <t>202091740908</t>
        </is>
      </c>
      <c r="D192" t="inlineStr">
        <is>
          <t>OFFLINE Exchange Migration Services</t>
        </is>
      </c>
      <c r="E192" t="inlineStr">
        <is>
          <t>City of Warwick</t>
        </is>
      </c>
      <c r="F192" t="inlineStr">
        <is>
          <t>Rhode Island</t>
        </is>
      </c>
      <c r="G192" t="inlineStr">
        <is>
          <t>Submitted</t>
        </is>
      </c>
      <c r="H192" t="inlineStr">
        <is>
          <t>No</t>
        </is>
      </c>
      <c r="J192" s="96" t="n">
        <v>45974</v>
      </c>
      <c r="K192" s="96" t="n">
        <v>45971</v>
      </c>
      <c r="M192" t="inlineStr">
        <is>
          <t>Modernization / Migration</t>
        </is>
      </c>
      <c r="O192" t="inlineStr">
        <is>
          <t>Abhishek Zalani</t>
        </is>
      </c>
      <c r="Y192" t="inlineStr">
        <is>
          <t>2025-10-28</t>
        </is>
      </c>
      <c r="Z192" t="inlineStr">
        <is>
          <t>https://app.hubspot.com/contacts/243046792/record/0-3/202091740908</t>
        </is>
      </c>
    </row>
    <row r="193">
      <c r="A193" t="n">
        <v>192</v>
      </c>
      <c r="B193" t="inlineStr">
        <is>
          <t>202093180646</t>
        </is>
      </c>
      <c r="D193" t="inlineStr">
        <is>
          <t>OFFLINE Information Technology Management Services</t>
        </is>
      </c>
      <c r="E193" t="inlineStr">
        <is>
          <t>City of Eagle Pass</t>
        </is>
      </c>
      <c r="F193" t="inlineStr">
        <is>
          <t>Texas</t>
        </is>
      </c>
      <c r="G193" t="inlineStr">
        <is>
          <t>Closed Lost</t>
        </is>
      </c>
      <c r="H193" t="inlineStr">
        <is>
          <t>No</t>
        </is>
      </c>
      <c r="J193" s="96" t="n">
        <v>46146</v>
      </c>
      <c r="K193" s="96" t="n">
        <v>45971</v>
      </c>
      <c r="M193" t="inlineStr">
        <is>
          <t>Managed Services (MSP)</t>
        </is>
      </c>
      <c r="O193" t="inlineStr">
        <is>
          <t>Abhishek Zalani</t>
        </is>
      </c>
      <c r="Y193" t="inlineStr">
        <is>
          <t>2025-10-28</t>
        </is>
      </c>
      <c r="Z193" t="inlineStr">
        <is>
          <t>https://app.hubspot.com/contacts/243046792/record/0-3/202093180646</t>
        </is>
      </c>
    </row>
    <row r="194">
      <c r="A194" t="n">
        <v>193</v>
      </c>
      <c r="B194" t="inlineStr">
        <is>
          <t>156444950247</t>
        </is>
      </c>
      <c r="D194" t="inlineStr">
        <is>
          <t>Data Analytics and Artificial Intelligence Services</t>
        </is>
      </c>
      <c r="E194" t="inlineStr">
        <is>
          <t>San Antonio Water System</t>
        </is>
      </c>
      <c r="F194" t="inlineStr">
        <is>
          <t>Texas</t>
        </is>
      </c>
      <c r="G194" t="inlineStr">
        <is>
          <t>Submitted</t>
        </is>
      </c>
      <c r="H194" t="inlineStr">
        <is>
          <t>No</t>
        </is>
      </c>
      <c r="J194" s="96" t="n">
        <v>45972</v>
      </c>
      <c r="K194" s="96" t="n">
        <v>45972</v>
      </c>
      <c r="M194" t="inlineStr">
        <is>
          <t>Consulting</t>
        </is>
      </c>
      <c r="N194" t="inlineStr">
        <is>
          <t>Email</t>
        </is>
      </c>
      <c r="O194" t="inlineStr">
        <is>
          <t>Abhishek Zalani</t>
        </is>
      </c>
      <c r="Y194" t="inlineStr">
        <is>
          <t>2025-09-08</t>
        </is>
      </c>
      <c r="Z194" t="inlineStr">
        <is>
          <t>https://app.hubspot.com/contacts/243046792/record/0-3/156444950247</t>
        </is>
      </c>
    </row>
    <row r="195">
      <c r="A195" t="n">
        <v>194</v>
      </c>
      <c r="B195" t="inlineStr">
        <is>
          <t>212006218455</t>
        </is>
      </c>
      <c r="D195" t="inlineStr">
        <is>
          <t>IT Provider Services</t>
        </is>
      </c>
      <c r="E195" t="inlineStr">
        <is>
          <t>WASATCH PEAK ACADEMY</t>
        </is>
      </c>
      <c r="F195" t="inlineStr">
        <is>
          <t>Utah</t>
        </is>
      </c>
      <c r="G195" t="inlineStr">
        <is>
          <t>Submitted</t>
        </is>
      </c>
      <c r="H195" t="inlineStr">
        <is>
          <t>No</t>
        </is>
      </c>
      <c r="J195" s="96" t="n">
        <v>45972</v>
      </c>
      <c r="K195" s="96" t="n">
        <v>45972</v>
      </c>
      <c r="M195" t="inlineStr">
        <is>
          <t>Managed Services (MSP)</t>
        </is>
      </c>
      <c r="O195" t="inlineStr">
        <is>
          <t>Abhishek Zalani</t>
        </is>
      </c>
      <c r="Y195" t="inlineStr">
        <is>
          <t>2025-11-05</t>
        </is>
      </c>
      <c r="Z195" t="inlineStr">
        <is>
          <t>https://app.hubspot.com/contacts/243046792/record/0-3/212006218455</t>
        </is>
      </c>
    </row>
    <row r="196">
      <c r="A196" t="n">
        <v>195</v>
      </c>
      <c r="B196" t="inlineStr">
        <is>
          <t>205497478865</t>
        </is>
      </c>
      <c r="D196" t="inlineStr">
        <is>
          <t>Technology Support Services</t>
        </is>
      </c>
      <c r="E196" t="inlineStr">
        <is>
          <t>City of Linden</t>
        </is>
      </c>
      <c r="F196" t="inlineStr">
        <is>
          <t>New Jersey</t>
        </is>
      </c>
      <c r="G196" t="inlineStr">
        <is>
          <t>Submitted</t>
        </is>
      </c>
      <c r="H196" t="inlineStr">
        <is>
          <t>No</t>
        </is>
      </c>
      <c r="J196" s="96" t="n">
        <v>45974</v>
      </c>
      <c r="K196" s="96" t="n">
        <v>45972</v>
      </c>
      <c r="L196" s="65" t="n">
        <v>464640</v>
      </c>
      <c r="M196" t="inlineStr">
        <is>
          <t>Managed Services (MSP)</t>
        </is>
      </c>
      <c r="N196" t="inlineStr">
        <is>
          <t>Portal</t>
        </is>
      </c>
      <c r="O196" t="inlineStr">
        <is>
          <t>Jyothsna Nanda kishore</t>
        </is>
      </c>
      <c r="Y196" t="inlineStr">
        <is>
          <t>2025-10-31</t>
        </is>
      </c>
      <c r="Z196" t="inlineStr">
        <is>
          <t>https://app.hubspot.com/contacts/243046792/record/0-3/205497478865</t>
        </is>
      </c>
    </row>
    <row r="197">
      <c r="A197" t="n">
        <v>196</v>
      </c>
      <c r="B197" t="inlineStr">
        <is>
          <t>212007532245</t>
        </is>
      </c>
      <c r="D197" t="inlineStr">
        <is>
          <t>Managed IT Services</t>
        </is>
      </c>
      <c r="E197" t="inlineStr">
        <is>
          <t>City of deephaven</t>
        </is>
      </c>
      <c r="F197" t="inlineStr">
        <is>
          <t>Minnesota</t>
        </is>
      </c>
      <c r="G197" t="inlineStr">
        <is>
          <t>Submitted</t>
        </is>
      </c>
      <c r="H197" t="inlineStr">
        <is>
          <t>No</t>
        </is>
      </c>
      <c r="J197" s="96" t="n">
        <v>45973</v>
      </c>
      <c r="K197" s="96" t="n">
        <v>45973</v>
      </c>
      <c r="M197" t="inlineStr">
        <is>
          <t>Managed Services (MSP)</t>
        </is>
      </c>
      <c r="N197" t="inlineStr">
        <is>
          <t>Email</t>
        </is>
      </c>
      <c r="O197" t="inlineStr">
        <is>
          <t>Abhishek Zalani</t>
        </is>
      </c>
      <c r="Y197" t="inlineStr">
        <is>
          <t>2025-11-05</t>
        </is>
      </c>
      <c r="Z197" t="inlineStr">
        <is>
          <t>https://app.hubspot.com/contacts/243046792/record/0-3/212007532245</t>
        </is>
      </c>
    </row>
    <row r="198">
      <c r="A198" t="n">
        <v>197</v>
      </c>
      <c r="B198" t="inlineStr">
        <is>
          <t>200525471459</t>
        </is>
      </c>
      <c r="D198" t="inlineStr">
        <is>
          <t>Consulting Roster for Enterprise Resource Planning System</t>
        </is>
      </c>
      <c r="E198" t="inlineStr">
        <is>
          <t>King County</t>
        </is>
      </c>
      <c r="F198" t="inlineStr">
        <is>
          <t>Washington</t>
        </is>
      </c>
      <c r="G198" t="inlineStr">
        <is>
          <t>Submitted</t>
        </is>
      </c>
      <c r="H198" t="inlineStr">
        <is>
          <t>No</t>
        </is>
      </c>
      <c r="J198" s="96" t="n">
        <v>45973</v>
      </c>
      <c r="K198" s="96" t="n">
        <v>45973</v>
      </c>
      <c r="M198" t="inlineStr">
        <is>
          <t>Staff Augmentation</t>
        </is>
      </c>
      <c r="O198" t="inlineStr">
        <is>
          <t>Jyothsna Nanda kishore</t>
        </is>
      </c>
      <c r="Y198" t="inlineStr">
        <is>
          <t>2025-10-27</t>
        </is>
      </c>
      <c r="Z198" t="inlineStr">
        <is>
          <t>https://app.hubspot.com/contacts/243046792/record/0-3/200525471459</t>
        </is>
      </c>
    </row>
    <row r="199">
      <c r="A199" t="n">
        <v>198</v>
      </c>
      <c r="B199" t="inlineStr">
        <is>
          <t>212006933231</t>
        </is>
      </c>
      <c r="D199" t="inlineStr">
        <is>
          <t>Computer and Cybersecurity Maintenance Services</t>
        </is>
      </c>
      <c r="E199" t="inlineStr">
        <is>
          <t>Borough of Highland Park</t>
        </is>
      </c>
      <c r="F199" t="inlineStr">
        <is>
          <t>New Jersey</t>
        </is>
      </c>
      <c r="G199" t="inlineStr">
        <is>
          <t>Submitted</t>
        </is>
      </c>
      <c r="H199" t="inlineStr">
        <is>
          <t>No</t>
        </is>
      </c>
      <c r="J199" s="96" t="n">
        <v>45974</v>
      </c>
      <c r="K199" s="96" t="n">
        <v>45973</v>
      </c>
      <c r="L199" s="65" t="n">
        <v>12300</v>
      </c>
      <c r="M199" t="inlineStr">
        <is>
          <t>Managed Services (MSP);Support &amp; Maintenance</t>
        </is>
      </c>
      <c r="N199" t="inlineStr">
        <is>
          <t>Offline</t>
        </is>
      </c>
      <c r="O199" t="inlineStr">
        <is>
          <t>Abhishek Zalani</t>
        </is>
      </c>
      <c r="Y199" t="inlineStr">
        <is>
          <t>2025-11-05</t>
        </is>
      </c>
      <c r="Z199" t="inlineStr">
        <is>
          <t>https://app.hubspot.com/contacts/243046792/record/0-3/212006933231</t>
        </is>
      </c>
    </row>
    <row r="200">
      <c r="A200" t="n">
        <v>199</v>
      </c>
      <c r="B200" t="inlineStr">
        <is>
          <t>211970383601</t>
        </is>
      </c>
      <c r="D200" t="inlineStr">
        <is>
          <t>OFFLINE Computer Maintenance and Cyber Security Services</t>
        </is>
      </c>
      <c r="E200" t="inlineStr">
        <is>
          <t>EDISON HOUSING AUTHORITY</t>
        </is>
      </c>
      <c r="F200" t="inlineStr">
        <is>
          <t>New Jersey</t>
        </is>
      </c>
      <c r="G200" t="inlineStr">
        <is>
          <t>Submitted</t>
        </is>
      </c>
      <c r="H200" t="inlineStr">
        <is>
          <t>No</t>
        </is>
      </c>
      <c r="J200" s="96" t="n">
        <v>45974</v>
      </c>
      <c r="K200" s="96" t="n">
        <v>45973</v>
      </c>
      <c r="M200" t="inlineStr">
        <is>
          <t>Support &amp; Maintenance</t>
        </is>
      </c>
      <c r="O200" t="inlineStr">
        <is>
          <t>Abhishek Zalani</t>
        </is>
      </c>
      <c r="Y200" t="inlineStr">
        <is>
          <t>2025-11-05</t>
        </is>
      </c>
      <c r="Z200" t="inlineStr">
        <is>
          <t>https://app.hubspot.com/contacts/243046792/record/0-3/211970383601</t>
        </is>
      </c>
    </row>
    <row r="201">
      <c r="A201" t="n">
        <v>200</v>
      </c>
      <c r="B201" t="inlineStr">
        <is>
          <t>197783932640</t>
        </is>
      </c>
      <c r="D201" t="inlineStr">
        <is>
          <t>Amzon Web Services (AWS) Cloud</t>
        </is>
      </c>
      <c r="E201" t="inlineStr">
        <is>
          <t>Riverside County</t>
        </is>
      </c>
      <c r="F201" t="inlineStr">
        <is>
          <t>California</t>
        </is>
      </c>
      <c r="G201" t="inlineStr">
        <is>
          <t>Submitted</t>
        </is>
      </c>
      <c r="H201" t="inlineStr">
        <is>
          <t>No</t>
        </is>
      </c>
      <c r="J201" s="96" t="n">
        <v>45978</v>
      </c>
      <c r="K201" s="96" t="n">
        <v>45973</v>
      </c>
      <c r="M201" t="inlineStr">
        <is>
          <t>Reseller</t>
        </is>
      </c>
      <c r="N201" t="inlineStr">
        <is>
          <t>Portal</t>
        </is>
      </c>
      <c r="O201" t="inlineStr">
        <is>
          <t>Ashutosh Chauhan</t>
        </is>
      </c>
      <c r="Y201" t="inlineStr">
        <is>
          <t>2025-10-28</t>
        </is>
      </c>
      <c r="Z201" t="inlineStr">
        <is>
          <t>https://app.hubspot.com/contacts/243046792/record/0-3/197783932640</t>
        </is>
      </c>
    </row>
    <row r="202">
      <c r="A202" t="n">
        <v>201</v>
      </c>
      <c r="B202" t="inlineStr">
        <is>
          <t>202003378880</t>
        </is>
      </c>
      <c r="D202" t="inlineStr">
        <is>
          <t>Information Technology Managed Services and Support</t>
        </is>
      </c>
      <c r="E202" t="inlineStr">
        <is>
          <t>Vashon Island Fire and rescue</t>
        </is>
      </c>
      <c r="F202" t="inlineStr">
        <is>
          <t>Washington</t>
        </is>
      </c>
      <c r="G202" t="inlineStr">
        <is>
          <t>Submitted</t>
        </is>
      </c>
      <c r="H202" t="inlineStr">
        <is>
          <t>No</t>
        </is>
      </c>
      <c r="J202" s="96" t="n">
        <v>45975</v>
      </c>
      <c r="K202" s="96" t="n">
        <v>45974</v>
      </c>
      <c r="L202" s="65" t="n">
        <v>37800</v>
      </c>
      <c r="M202" t="inlineStr">
        <is>
          <t>Managed Services (MSP)</t>
        </is>
      </c>
      <c r="N202" t="inlineStr">
        <is>
          <t>Email</t>
        </is>
      </c>
      <c r="O202" t="inlineStr">
        <is>
          <t>Ashutosh Chauhan</t>
        </is>
      </c>
      <c r="Y202" t="inlineStr">
        <is>
          <t>2025-10-28</t>
        </is>
      </c>
      <c r="Z202" t="inlineStr">
        <is>
          <t>https://app.hubspot.com/contacts/243046792/record/0-3/202003378880</t>
        </is>
      </c>
    </row>
    <row r="203">
      <c r="A203" t="n">
        <v>202</v>
      </c>
      <c r="B203" t="inlineStr">
        <is>
          <t>200821843696</t>
        </is>
      </c>
      <c r="D203" t="inlineStr">
        <is>
          <t>OFFLINE - Information Technology Services</t>
        </is>
      </c>
      <c r="E203" t="inlineStr">
        <is>
          <t>Vineland Housing Authority</t>
        </is>
      </c>
      <c r="F203" t="inlineStr">
        <is>
          <t>New Jersey</t>
        </is>
      </c>
      <c r="G203" t="inlineStr">
        <is>
          <t>Submitted</t>
        </is>
      </c>
      <c r="H203" t="inlineStr">
        <is>
          <t>No</t>
        </is>
      </c>
      <c r="J203" s="96" t="n">
        <v>45975</v>
      </c>
      <c r="K203" s="96" t="n">
        <v>45974</v>
      </c>
      <c r="L203" s="65" t="n">
        <v>59920</v>
      </c>
      <c r="M203" t="inlineStr">
        <is>
          <t>Managed Services (MSP)</t>
        </is>
      </c>
      <c r="N203" t="inlineStr">
        <is>
          <t>Offline</t>
        </is>
      </c>
      <c r="O203" t="inlineStr">
        <is>
          <t>Abhishek Zalani</t>
        </is>
      </c>
      <c r="Y203" t="inlineStr">
        <is>
          <t>2025-10-27</t>
        </is>
      </c>
      <c r="Z203" t="inlineStr">
        <is>
          <t>https://app.hubspot.com/contacts/243046792/record/0-3/200821843696</t>
        </is>
      </c>
    </row>
    <row r="204">
      <c r="A204" t="n">
        <v>203</v>
      </c>
      <c r="B204" t="inlineStr">
        <is>
          <t>202821960428</t>
        </is>
      </c>
      <c r="D204" t="inlineStr">
        <is>
          <t>IT Services</t>
        </is>
      </c>
      <c r="E204" t="inlineStr">
        <is>
          <t>Port of Pend Oreille</t>
        </is>
      </c>
      <c r="F204" t="inlineStr">
        <is>
          <t>Washington</t>
        </is>
      </c>
      <c r="G204" t="inlineStr">
        <is>
          <t>Closed Lost</t>
        </is>
      </c>
      <c r="H204" t="inlineStr">
        <is>
          <t>No</t>
        </is>
      </c>
      <c r="J204" s="96" t="n">
        <v>45996</v>
      </c>
      <c r="K204" s="96" t="n">
        <v>45974</v>
      </c>
      <c r="M204" t="inlineStr">
        <is>
          <t>Managed Services (MSP)</t>
        </is>
      </c>
      <c r="N204" t="inlineStr">
        <is>
          <t>Offline</t>
        </is>
      </c>
      <c r="O204" t="inlineStr">
        <is>
          <t>Ashutosh Chauhan</t>
        </is>
      </c>
      <c r="Y204" t="inlineStr">
        <is>
          <t>2025-10-29</t>
        </is>
      </c>
      <c r="Z204" t="inlineStr">
        <is>
          <t>https://app.hubspot.com/contacts/243046792/record/0-3/202821960428</t>
        </is>
      </c>
    </row>
    <row r="205">
      <c r="A205" t="n">
        <v>204</v>
      </c>
      <c r="B205" t="inlineStr">
        <is>
          <t>183378332367</t>
        </is>
      </c>
      <c r="C205" t="inlineStr">
        <is>
          <t>CM25-02</t>
        </is>
      </c>
      <c r="D205" t="inlineStr">
        <is>
          <t>Information Technology Managed Services</t>
        </is>
      </c>
      <c r="E205" t="inlineStr">
        <is>
          <t>City of South Pasadena</t>
        </is>
      </c>
      <c r="F205" t="inlineStr">
        <is>
          <t>California</t>
        </is>
      </c>
      <c r="G205" t="inlineStr">
        <is>
          <t>Closed Lost</t>
        </is>
      </c>
      <c r="H205" t="inlineStr">
        <is>
          <t>No</t>
        </is>
      </c>
      <c r="J205" s="96" t="n">
        <v>46030</v>
      </c>
      <c r="K205" s="96" t="n">
        <v>45974</v>
      </c>
      <c r="L205" s="65" t="n">
        <v>303870</v>
      </c>
      <c r="M205" t="inlineStr">
        <is>
          <t>Managed Services (MSP)</t>
        </is>
      </c>
      <c r="N205" t="inlineStr">
        <is>
          <t>Portal</t>
        </is>
      </c>
      <c r="O205" t="inlineStr">
        <is>
          <t>Jyothsna Nanda kishore</t>
        </is>
      </c>
      <c r="Y205" t="inlineStr">
        <is>
          <t>2025-10-10</t>
        </is>
      </c>
      <c r="Z205" t="inlineStr">
        <is>
          <t>https://app.hubspot.com/contacts/243046792/record/0-3/183378332367</t>
        </is>
      </c>
    </row>
    <row r="206">
      <c r="A206" t="n">
        <v>205</v>
      </c>
      <c r="B206" t="inlineStr">
        <is>
          <t>197783935728</t>
        </is>
      </c>
      <c r="D206" t="inlineStr">
        <is>
          <t>Information Technology Consultant Services</t>
        </is>
      </c>
      <c r="E206" t="inlineStr">
        <is>
          <t>McKean County Housing Authority</t>
        </is>
      </c>
      <c r="F206" t="inlineStr">
        <is>
          <t>Pennsylvania</t>
        </is>
      </c>
      <c r="G206" t="inlineStr">
        <is>
          <t>Submitted</t>
        </is>
      </c>
      <c r="H206" t="inlineStr">
        <is>
          <t>No</t>
        </is>
      </c>
      <c r="J206" s="96" t="n">
        <v>45975</v>
      </c>
      <c r="K206" s="96" t="n">
        <v>45975</v>
      </c>
      <c r="M206" t="inlineStr">
        <is>
          <t>Consulting;Support &amp; Maintenance</t>
        </is>
      </c>
      <c r="O206" t="inlineStr">
        <is>
          <t>Abhishek Zalani</t>
        </is>
      </c>
      <c r="Y206" t="inlineStr">
        <is>
          <t>2025-10-28</t>
        </is>
      </c>
      <c r="Z206" t="inlineStr">
        <is>
          <t>https://app.hubspot.com/contacts/243046792/record/0-3/197783935728</t>
        </is>
      </c>
    </row>
    <row r="207">
      <c r="A207" t="n">
        <v>206</v>
      </c>
      <c r="B207" t="inlineStr">
        <is>
          <t>209643402993</t>
        </is>
      </c>
      <c r="D207" t="inlineStr">
        <is>
          <t>Software Solutions Specialist</t>
        </is>
      </c>
      <c r="E207" t="inlineStr">
        <is>
          <t>NDC Partnership</t>
        </is>
      </c>
      <c r="F207" t="inlineStr">
        <is>
          <t>Washington</t>
        </is>
      </c>
      <c r="G207" t="inlineStr">
        <is>
          <t>Submitted</t>
        </is>
      </c>
      <c r="H207" t="inlineStr">
        <is>
          <t>No</t>
        </is>
      </c>
      <c r="J207" s="96" t="n">
        <v>45975</v>
      </c>
      <c r="K207" s="96" t="n">
        <v>45975</v>
      </c>
      <c r="M207" t="inlineStr">
        <is>
          <t>Staff Augmentation</t>
        </is>
      </c>
      <c r="N207" t="inlineStr">
        <is>
          <t>Email</t>
        </is>
      </c>
      <c r="O207" t="inlineStr">
        <is>
          <t>Jyothsna Nanda kishore</t>
        </is>
      </c>
      <c r="Y207" t="inlineStr">
        <is>
          <t>2025-11-03</t>
        </is>
      </c>
      <c r="Z207" t="inlineStr">
        <is>
          <t>https://app.hubspot.com/contacts/243046792/record/0-3/209643402993</t>
        </is>
      </c>
    </row>
    <row r="208">
      <c r="A208" t="n">
        <v>207</v>
      </c>
      <c r="B208" t="inlineStr">
        <is>
          <t>204626595515</t>
        </is>
      </c>
      <c r="D208" t="inlineStr">
        <is>
          <t>ServiceNow Development Consultant Service</t>
        </is>
      </c>
      <c r="E208" t="inlineStr">
        <is>
          <t>Seattle Public Schools</t>
        </is>
      </c>
      <c r="F208" t="inlineStr">
        <is>
          <t>Washington</t>
        </is>
      </c>
      <c r="G208" t="inlineStr">
        <is>
          <t>RFx Cancelled</t>
        </is>
      </c>
      <c r="H208" t="inlineStr">
        <is>
          <t>No</t>
        </is>
      </c>
      <c r="J208" s="96" t="n">
        <v>45975</v>
      </c>
      <c r="K208" s="96" t="n">
        <v>45975</v>
      </c>
      <c r="M208" t="inlineStr">
        <is>
          <t>Consulting</t>
        </is>
      </c>
      <c r="N208" t="inlineStr">
        <is>
          <t>Email</t>
        </is>
      </c>
      <c r="O208" t="inlineStr">
        <is>
          <t>Jyothsna Nanda kishore</t>
        </is>
      </c>
      <c r="Y208" t="inlineStr">
        <is>
          <t>2025-10-31</t>
        </is>
      </c>
      <c r="Z208" t="inlineStr">
        <is>
          <t>https://app.hubspot.com/contacts/243046792/record/0-3/204626595515</t>
        </is>
      </c>
    </row>
    <row r="209">
      <c r="A209" t="n">
        <v>208</v>
      </c>
      <c r="B209" t="inlineStr">
        <is>
          <t>205597215459</t>
        </is>
      </c>
      <c r="D209" t="inlineStr">
        <is>
          <t>SharePoint Migration &amp; LegalServer Integration Project</t>
        </is>
      </c>
      <c r="E209" t="inlineStr">
        <is>
          <t>Legal Aid Society of Mid-New York, Inc. (LASMNY)</t>
        </is>
      </c>
      <c r="F209" t="inlineStr">
        <is>
          <t>New York</t>
        </is>
      </c>
      <c r="G209" t="inlineStr">
        <is>
          <t>Submitted</t>
        </is>
      </c>
      <c r="H209" t="inlineStr">
        <is>
          <t>No</t>
        </is>
      </c>
      <c r="J209" s="96" t="n">
        <v>45975</v>
      </c>
      <c r="K209" s="96" t="n">
        <v>45975</v>
      </c>
      <c r="M209" t="inlineStr">
        <is>
          <t>Platform Implementation (ERP, CRMs)</t>
        </is>
      </c>
      <c r="N209" t="inlineStr">
        <is>
          <t>Email</t>
        </is>
      </c>
      <c r="O209" t="inlineStr">
        <is>
          <t>Abhishek Zalani</t>
        </is>
      </c>
      <c r="Y209" t="inlineStr">
        <is>
          <t>2025-10-31</t>
        </is>
      </c>
      <c r="Z209" t="inlineStr">
        <is>
          <t>https://app.hubspot.com/contacts/243046792/record/0-3/205597215459</t>
        </is>
      </c>
    </row>
    <row r="210">
      <c r="A210" t="n">
        <v>209</v>
      </c>
      <c r="B210" t="inlineStr">
        <is>
          <t>200821172951</t>
        </is>
      </c>
      <c r="D210" t="inlineStr">
        <is>
          <t>Managed IT Services</t>
        </is>
      </c>
      <c r="E210" t="inlineStr">
        <is>
          <t>Idaho Legal Aid Services</t>
        </is>
      </c>
      <c r="F210" t="inlineStr">
        <is>
          <t>Idaho</t>
        </is>
      </c>
      <c r="G210" t="inlineStr">
        <is>
          <t>Closed Lost</t>
        </is>
      </c>
      <c r="H210" t="inlineStr">
        <is>
          <t>Yes</t>
        </is>
      </c>
      <c r="I210" t="inlineStr">
        <is>
          <t>Interview</t>
        </is>
      </c>
      <c r="J210" s="96" t="n">
        <v>46008</v>
      </c>
      <c r="K210" s="96" t="n">
        <v>45975</v>
      </c>
      <c r="M210" t="inlineStr">
        <is>
          <t>Managed Services (MSP)</t>
        </is>
      </c>
      <c r="N210" t="inlineStr">
        <is>
          <t>Email</t>
        </is>
      </c>
      <c r="O210" t="inlineStr">
        <is>
          <t>Ashutosh Chauhan</t>
        </is>
      </c>
      <c r="Q210" t="inlineStr">
        <is>
          <t>2025-11-05</t>
        </is>
      </c>
      <c r="Y210" t="inlineStr">
        <is>
          <t>2025-10-28</t>
        </is>
      </c>
      <c r="Z210" t="inlineStr">
        <is>
          <t>https://app.hubspot.com/contacts/243046792/record/0-3/200821172951</t>
        </is>
      </c>
    </row>
    <row r="211">
      <c r="A211" t="n">
        <v>210</v>
      </c>
      <c r="B211" t="inlineStr">
        <is>
          <t>203838420700</t>
        </is>
      </c>
      <c r="D211" t="inlineStr">
        <is>
          <t>Technology Assessment &amp; Cybersecurity Audit</t>
        </is>
      </c>
      <c r="E211" t="inlineStr">
        <is>
          <t>Legal Aid Society of Middle Tennessee &amp; The Cumberlands</t>
        </is>
      </c>
      <c r="F211" t="inlineStr">
        <is>
          <t>Tennessee</t>
        </is>
      </c>
      <c r="G211" t="inlineStr">
        <is>
          <t>Closed Lost</t>
        </is>
      </c>
      <c r="H211" t="inlineStr">
        <is>
          <t>No</t>
        </is>
      </c>
      <c r="J211" s="96" t="n">
        <v>46118</v>
      </c>
      <c r="K211" s="96" t="n">
        <v>45975</v>
      </c>
      <c r="M211" t="inlineStr">
        <is>
          <t>Audits and Assessment</t>
        </is>
      </c>
      <c r="O211" t="inlineStr">
        <is>
          <t>Abhishek Zalani</t>
        </is>
      </c>
      <c r="Y211" t="inlineStr">
        <is>
          <t>2025-10-30</t>
        </is>
      </c>
      <c r="Z211" t="inlineStr">
        <is>
          <t>https://app.hubspot.com/contacts/243046792/record/0-3/203838420700</t>
        </is>
      </c>
    </row>
    <row r="212">
      <c r="A212" t="n">
        <v>211</v>
      </c>
      <c r="B212" t="inlineStr">
        <is>
          <t>216534863596</t>
        </is>
      </c>
      <c r="D212" t="inlineStr">
        <is>
          <t>Independent Cybersecurity Assessment — #2005728</t>
        </is>
      </c>
      <c r="E212" t="inlineStr">
        <is>
          <t>Palm Coast</t>
        </is>
      </c>
      <c r="F212" t="inlineStr">
        <is>
          <t>Florida</t>
        </is>
      </c>
      <c r="G212" t="inlineStr">
        <is>
          <t>RFx Cancelled</t>
        </is>
      </c>
      <c r="H212" t="inlineStr">
        <is>
          <t>No</t>
        </is>
      </c>
      <c r="J212" s="96" t="n">
        <v>45978</v>
      </c>
      <c r="K212" s="96" t="n">
        <v>45978</v>
      </c>
      <c r="L212" s="65" t="n">
        <v>34800</v>
      </c>
      <c r="M212" t="inlineStr">
        <is>
          <t>Audits and Assessment</t>
        </is>
      </c>
      <c r="N212" t="inlineStr">
        <is>
          <t>Portal</t>
        </is>
      </c>
      <c r="O212" t="inlineStr">
        <is>
          <t>Abhishek Zalani</t>
        </is>
      </c>
      <c r="Y212" t="inlineStr">
        <is>
          <t>2025-11-11</t>
        </is>
      </c>
      <c r="Z212" t="inlineStr">
        <is>
          <t>https://app.hubspot.com/contacts/243046792/record/0-3/216534863596</t>
        </is>
      </c>
    </row>
    <row r="213">
      <c r="A213" t="n">
        <v>212</v>
      </c>
      <c r="B213" t="inlineStr">
        <is>
          <t>205597216474</t>
        </is>
      </c>
      <c r="D213" t="inlineStr">
        <is>
          <t>Offline Digital Accessibility Services</t>
        </is>
      </c>
      <c r="E213" t="inlineStr">
        <is>
          <t xml:space="preserve">Harper College </t>
        </is>
      </c>
      <c r="F213" t="inlineStr">
        <is>
          <t>Illinois</t>
        </is>
      </c>
      <c r="G213" t="inlineStr">
        <is>
          <t>Submitted</t>
        </is>
      </c>
      <c r="H213" t="inlineStr">
        <is>
          <t>No</t>
        </is>
      </c>
      <c r="J213" s="96" t="n">
        <v>45979</v>
      </c>
      <c r="K213" s="96" t="n">
        <v>45978</v>
      </c>
      <c r="M213" t="inlineStr">
        <is>
          <t>Consulting</t>
        </is>
      </c>
      <c r="O213" t="inlineStr">
        <is>
          <t>Abhishek Zalani</t>
        </is>
      </c>
      <c r="Y213" t="inlineStr">
        <is>
          <t>2025-10-31</t>
        </is>
      </c>
      <c r="Z213" t="inlineStr">
        <is>
          <t>https://app.hubspot.com/contacts/243046792/record/0-3/205597216474</t>
        </is>
      </c>
    </row>
    <row r="214">
      <c r="A214" t="n">
        <v>213</v>
      </c>
      <c r="B214" t="inlineStr">
        <is>
          <t>199601331942</t>
        </is>
      </c>
      <c r="C214" t="inlineStr">
        <is>
          <t>RFB #540297</t>
        </is>
      </c>
      <c r="D214" t="inlineStr">
        <is>
          <t>System Simulation Integration &amp; Analytical Services</t>
        </is>
      </c>
      <c r="E214" t="inlineStr">
        <is>
          <t>City of Detroit</t>
        </is>
      </c>
      <c r="F214" t="inlineStr">
        <is>
          <t>Michigan</t>
        </is>
      </c>
      <c r="G214" t="inlineStr">
        <is>
          <t>Closed Lost</t>
        </is>
      </c>
      <c r="H214" t="inlineStr">
        <is>
          <t>No</t>
        </is>
      </c>
      <c r="J214" s="96" t="n">
        <v>46008</v>
      </c>
      <c r="K214" s="96" t="n">
        <v>45978</v>
      </c>
      <c r="L214" s="65" t="n">
        <v>565240</v>
      </c>
      <c r="M214" t="inlineStr">
        <is>
          <t>Platform Implementation (ERP, CRMs)</t>
        </is>
      </c>
      <c r="N214" t="inlineStr">
        <is>
          <t>Portal</t>
        </is>
      </c>
      <c r="O214" t="inlineStr">
        <is>
          <t>Jyothsna Nanda kishore</t>
        </is>
      </c>
      <c r="Y214" t="inlineStr">
        <is>
          <t>2025-10-27</t>
        </is>
      </c>
      <c r="Z214" t="inlineStr">
        <is>
          <t>https://app.hubspot.com/contacts/243046792/record/0-3/199601331942</t>
        </is>
      </c>
    </row>
    <row r="215">
      <c r="A215" t="n">
        <v>214</v>
      </c>
      <c r="B215" t="inlineStr">
        <is>
          <t>197693529836</t>
        </is>
      </c>
      <c r="C215" t="inlineStr">
        <is>
          <t>K26-0031-25</t>
        </is>
      </c>
      <c r="D215" t="inlineStr">
        <is>
          <t>Power BI Data Visualization Dashboards</t>
        </is>
      </c>
      <c r="E215" t="inlineStr">
        <is>
          <t>The Administrative Office of the Courts (AOC)</t>
        </is>
      </c>
      <c r="F215" t="inlineStr">
        <is>
          <t>Maryland</t>
        </is>
      </c>
      <c r="G215" t="inlineStr">
        <is>
          <t>Submitted</t>
        </is>
      </c>
      <c r="H215" t="inlineStr">
        <is>
          <t>No</t>
        </is>
      </c>
      <c r="J215" s="96" t="n">
        <v>45978</v>
      </c>
      <c r="K215" s="96" t="n">
        <v>45979</v>
      </c>
      <c r="L215" s="65" t="n">
        <v>39500</v>
      </c>
      <c r="N215" t="inlineStr">
        <is>
          <t>Portal</t>
        </is>
      </c>
      <c r="O215" t="inlineStr">
        <is>
          <t>Abhishek Zalani</t>
        </is>
      </c>
      <c r="Y215" t="inlineStr">
        <is>
          <t>2025-10-24</t>
        </is>
      </c>
      <c r="Z215" t="inlineStr">
        <is>
          <t>https://app.hubspot.com/contacts/243046792/record/0-3/197693529836</t>
        </is>
      </c>
    </row>
    <row r="216">
      <c r="A216" t="n">
        <v>215</v>
      </c>
      <c r="B216" t="inlineStr">
        <is>
          <t>155021638368</t>
        </is>
      </c>
      <c r="D216" t="inlineStr">
        <is>
          <t>IT Managed Services and Staff Augmentation</t>
        </is>
      </c>
      <c r="E216" t="inlineStr">
        <is>
          <t>Florida State University</t>
        </is>
      </c>
      <c r="F216" t="inlineStr">
        <is>
          <t>Florida</t>
        </is>
      </c>
      <c r="G216" t="inlineStr">
        <is>
          <t>Submitted</t>
        </is>
      </c>
      <c r="H216" t="inlineStr">
        <is>
          <t>No</t>
        </is>
      </c>
      <c r="J216" s="96" t="n">
        <v>45978</v>
      </c>
      <c r="K216" s="96" t="n">
        <v>45979</v>
      </c>
      <c r="M216" t="inlineStr">
        <is>
          <t>Managed Services (MSP);Staff Augmentation</t>
        </is>
      </c>
      <c r="O216" t="inlineStr">
        <is>
          <t>Arshdeep Kaur</t>
        </is>
      </c>
      <c r="Y216" t="inlineStr">
        <is>
          <t>2025-09-03</t>
        </is>
      </c>
      <c r="Z216" t="inlineStr">
        <is>
          <t>https://app.hubspot.com/contacts/243046792/record/0-3/155021638368</t>
        </is>
      </c>
    </row>
    <row r="217">
      <c r="A217" t="n">
        <v>216</v>
      </c>
      <c r="B217" t="inlineStr">
        <is>
          <t>215453148909</t>
        </is>
      </c>
      <c r="D217" t="inlineStr">
        <is>
          <t>Information Technology (IT) Consultant Services</t>
        </is>
      </c>
      <c r="E217" t="inlineStr">
        <is>
          <t xml:space="preserve">Township of Bloomfield </t>
        </is>
      </c>
      <c r="F217" t="inlineStr">
        <is>
          <t>New Jersey</t>
        </is>
      </c>
      <c r="G217" t="inlineStr">
        <is>
          <t>Submitted</t>
        </is>
      </c>
      <c r="H217" t="inlineStr">
        <is>
          <t>No</t>
        </is>
      </c>
      <c r="J217" s="96" t="n">
        <v>45979</v>
      </c>
      <c r="K217" s="96" t="n">
        <v>45979</v>
      </c>
      <c r="M217" t="inlineStr">
        <is>
          <t>Consulting</t>
        </is>
      </c>
      <c r="N217" t="inlineStr">
        <is>
          <t>Offline</t>
        </is>
      </c>
      <c r="O217" t="inlineStr">
        <is>
          <t>Jyothsna Nanda kishore</t>
        </is>
      </c>
      <c r="Y217" t="inlineStr">
        <is>
          <t>2025-11-10</t>
        </is>
      </c>
      <c r="Z217" t="inlineStr">
        <is>
          <t>https://app.hubspot.com/contacts/243046792/record/0-3/215453148909</t>
        </is>
      </c>
    </row>
    <row r="218">
      <c r="A218" t="n">
        <v>217</v>
      </c>
      <c r="B218" t="inlineStr">
        <is>
          <t>186631721675</t>
        </is>
      </c>
      <c r="D218" t="inlineStr">
        <is>
          <t>PeopleSoft Support and Maintenance</t>
        </is>
      </c>
      <c r="E218" t="inlineStr">
        <is>
          <t>Community Transit</t>
        </is>
      </c>
      <c r="F218" t="inlineStr">
        <is>
          <t>Washington</t>
        </is>
      </c>
      <c r="G218" t="inlineStr">
        <is>
          <t>Closed Lost</t>
        </is>
      </c>
      <c r="H218" t="inlineStr">
        <is>
          <t>No</t>
        </is>
      </c>
      <c r="J218" s="96" t="n">
        <v>46154</v>
      </c>
      <c r="K218" s="96" t="n">
        <v>45979</v>
      </c>
      <c r="M218" t="inlineStr">
        <is>
          <t>Support &amp; Maintenance</t>
        </is>
      </c>
      <c r="O218" t="inlineStr">
        <is>
          <t>Abhishek Zalani</t>
        </is>
      </c>
      <c r="Y218" t="inlineStr">
        <is>
          <t>2025-10-13</t>
        </is>
      </c>
      <c r="Z218" t="inlineStr">
        <is>
          <t>https://app.hubspot.com/contacts/243046792/record/0-3/186631721675</t>
        </is>
      </c>
    </row>
    <row r="219">
      <c r="A219" t="n">
        <v>218</v>
      </c>
      <c r="B219" t="inlineStr">
        <is>
          <t>212628218608</t>
        </is>
      </c>
      <c r="D219" t="inlineStr">
        <is>
          <t>Professional Services</t>
        </is>
      </c>
      <c r="E219" t="inlineStr">
        <is>
          <t>Borough of Neptune City</t>
        </is>
      </c>
      <c r="F219" t="inlineStr">
        <is>
          <t>New Jersey</t>
        </is>
      </c>
      <c r="G219" t="inlineStr">
        <is>
          <t>Submitted</t>
        </is>
      </c>
      <c r="H219" t="inlineStr">
        <is>
          <t>No</t>
        </is>
      </c>
      <c r="J219" s="96" t="n">
        <v>45980</v>
      </c>
      <c r="K219" s="96" t="n">
        <v>45979</v>
      </c>
      <c r="M219" t="inlineStr">
        <is>
          <t>Staff Augmentation</t>
        </is>
      </c>
      <c r="N219" t="inlineStr">
        <is>
          <t>Offline</t>
        </is>
      </c>
      <c r="O219" t="inlineStr">
        <is>
          <t>Abhishek Zalani</t>
        </is>
      </c>
      <c r="Y219" t="inlineStr">
        <is>
          <t>2025-11-07</t>
        </is>
      </c>
      <c r="Z219" t="inlineStr">
        <is>
          <t>https://app.hubspot.com/contacts/243046792/record/0-3/212628218608</t>
        </is>
      </c>
    </row>
    <row r="220">
      <c r="A220" t="n">
        <v>219</v>
      </c>
      <c r="B220" t="inlineStr">
        <is>
          <t>189205106379</t>
        </is>
      </c>
      <c r="D220" t="inlineStr">
        <is>
          <t>ENTERPRISE RESOURCE PLANNING (ERP) SYSTEM CONSULTING SERVICES</t>
        </is>
      </c>
      <c r="E220" t="inlineStr">
        <is>
          <t>City of Blythe</t>
        </is>
      </c>
      <c r="F220" t="inlineStr">
        <is>
          <t>California</t>
        </is>
      </c>
      <c r="G220" t="inlineStr">
        <is>
          <t>Submitted</t>
        </is>
      </c>
      <c r="H220" t="inlineStr">
        <is>
          <t>No</t>
        </is>
      </c>
      <c r="J220" s="96" t="n">
        <v>45980</v>
      </c>
      <c r="K220" s="96" t="n">
        <v>45979</v>
      </c>
      <c r="L220" s="65" t="n">
        <v>98500</v>
      </c>
      <c r="M220" t="inlineStr">
        <is>
          <t>Platform Implementation (ERP, CRMs)</t>
        </is>
      </c>
      <c r="O220" t="inlineStr">
        <is>
          <t>Ashutosh Chauhan</t>
        </is>
      </c>
      <c r="Y220" t="inlineStr">
        <is>
          <t>2025-10-15</t>
        </is>
      </c>
      <c r="Z220" t="inlineStr">
        <is>
          <t>https://app.hubspot.com/contacts/243046792/record/0-3/189205106379</t>
        </is>
      </c>
    </row>
    <row r="221">
      <c r="A221" t="n">
        <v>220</v>
      </c>
      <c r="B221" t="inlineStr">
        <is>
          <t>209641964265</t>
        </is>
      </c>
      <c r="D221" t="inlineStr">
        <is>
          <t>City of Sunnyvale - Professional and Technical IT Contracting Services for SharePoint Migration</t>
        </is>
      </c>
      <c r="E221" t="inlineStr">
        <is>
          <t>City of Sunnyvale</t>
        </is>
      </c>
      <c r="F221" t="inlineStr">
        <is>
          <t>California</t>
        </is>
      </c>
      <c r="G221" t="inlineStr">
        <is>
          <t>Closed Won</t>
        </is>
      </c>
      <c r="H221" t="inlineStr">
        <is>
          <t>Yes</t>
        </is>
      </c>
      <c r="I221" t="inlineStr">
        <is>
          <t>Interview</t>
        </is>
      </c>
      <c r="J221" s="96" t="n">
        <v>46058</v>
      </c>
      <c r="K221" s="96" t="n">
        <v>45979</v>
      </c>
      <c r="L221" s="65" t="n">
        <v>68400</v>
      </c>
      <c r="M221" t="inlineStr">
        <is>
          <t>Modernization / Migration</t>
        </is>
      </c>
      <c r="O221" t="inlineStr">
        <is>
          <t>Jyothsna Nanda kishore</t>
        </is>
      </c>
      <c r="Q221" t="inlineStr">
        <is>
          <t>2025-12-11</t>
        </is>
      </c>
      <c r="S221" t="inlineStr">
        <is>
          <t>2025-12-30</t>
        </is>
      </c>
      <c r="U221" s="96" t="n">
        <v>46022</v>
      </c>
      <c r="Y221" t="inlineStr">
        <is>
          <t>2025-11-03</t>
        </is>
      </c>
      <c r="Z221" t="inlineStr">
        <is>
          <t>https://app.hubspot.com/contacts/243046792/record/0-3/209641964265</t>
        </is>
      </c>
      <c r="AA221" t="inlineStr">
        <is>
          <t>Yes</t>
        </is>
      </c>
    </row>
    <row r="222">
      <c r="A222" t="n">
        <v>221</v>
      </c>
      <c r="B222" t="inlineStr">
        <is>
          <t>212628219619</t>
        </is>
      </c>
      <c r="C222" t="inlineStr">
        <is>
          <t>0000010552</t>
        </is>
      </c>
      <c r="D222" t="inlineStr">
        <is>
          <t>Extended Support for Maximo 7.6.1.3</t>
        </is>
      </c>
      <c r="E222" t="inlineStr">
        <is>
          <t>Washington Metropolitan Area Transit Authority</t>
        </is>
      </c>
      <c r="F222" t="inlineStr">
        <is>
          <t>Washington</t>
        </is>
      </c>
      <c r="G222" t="inlineStr">
        <is>
          <t>Closed Lost</t>
        </is>
      </c>
      <c r="H222" t="inlineStr">
        <is>
          <t>No</t>
        </is>
      </c>
      <c r="J222" s="96" t="n">
        <v>46113</v>
      </c>
      <c r="K222" s="96" t="n">
        <v>45979</v>
      </c>
      <c r="L222" s="65" t="n">
        <v>490500</v>
      </c>
      <c r="M222" t="inlineStr">
        <is>
          <t>Support &amp; Maintenance</t>
        </is>
      </c>
      <c r="N222" t="inlineStr">
        <is>
          <t>Portal</t>
        </is>
      </c>
      <c r="O222" t="inlineStr">
        <is>
          <t>Abhishek Zalani</t>
        </is>
      </c>
      <c r="Y222" t="inlineStr">
        <is>
          <t>2025-11-07</t>
        </is>
      </c>
      <c r="Z222" t="inlineStr">
        <is>
          <t>https://app.hubspot.com/contacts/243046792/record/0-3/212628219619</t>
        </is>
      </c>
    </row>
    <row r="223">
      <c r="A223" t="n">
        <v>222</v>
      </c>
      <c r="B223" t="inlineStr">
        <is>
          <t>221443571446</t>
        </is>
      </c>
      <c r="D223" t="inlineStr">
        <is>
          <t>OFFLINE AI Professional Development for Administration and Support Staff</t>
        </is>
      </c>
      <c r="E223" t="inlineStr">
        <is>
          <t>CARTERET PUBLIC SCHOOLS</t>
        </is>
      </c>
      <c r="F223" t="inlineStr">
        <is>
          <t>New Jersey</t>
        </is>
      </c>
      <c r="G223" t="inlineStr">
        <is>
          <t>Closed Lost</t>
        </is>
      </c>
      <c r="H223" t="inlineStr">
        <is>
          <t>No</t>
        </is>
      </c>
      <c r="J223" s="96" t="n">
        <v>46154</v>
      </c>
      <c r="K223" s="96" t="n">
        <v>45980</v>
      </c>
      <c r="M223" t="inlineStr">
        <is>
          <t>Training;Support &amp; Maintenance</t>
        </is>
      </c>
      <c r="O223" t="inlineStr">
        <is>
          <t>Abhishek Zalani</t>
        </is>
      </c>
      <c r="Y223" t="inlineStr">
        <is>
          <t>2025-11-17</t>
        </is>
      </c>
      <c r="Z223" t="inlineStr">
        <is>
          <t>https://app.hubspot.com/contacts/243046792/record/0-3/221443571446</t>
        </is>
      </c>
    </row>
    <row r="224">
      <c r="A224" t="n">
        <v>223</v>
      </c>
      <c r="B224" t="inlineStr">
        <is>
          <t>216534906589</t>
        </is>
      </c>
      <c r="C224" t="inlineStr">
        <is>
          <t>#377-25RFP</t>
        </is>
      </c>
      <c r="D224" t="inlineStr">
        <is>
          <t>Maintenance and Support of City Software</t>
        </is>
      </c>
      <c r="E224" t="inlineStr">
        <is>
          <t xml:space="preserve">City of New Brunswick </t>
        </is>
      </c>
      <c r="F224" t="inlineStr">
        <is>
          <t>New Jersey</t>
        </is>
      </c>
      <c r="G224" t="inlineStr">
        <is>
          <t>Submitted</t>
        </is>
      </c>
      <c r="H224" t="inlineStr">
        <is>
          <t>No</t>
        </is>
      </c>
      <c r="J224" s="96" t="n">
        <v>45981</v>
      </c>
      <c r="K224" s="96" t="n">
        <v>45980</v>
      </c>
      <c r="M224" t="inlineStr">
        <is>
          <t>Support &amp; Maintenance</t>
        </is>
      </c>
      <c r="N224" t="inlineStr">
        <is>
          <t>Offline</t>
        </is>
      </c>
      <c r="O224" t="inlineStr">
        <is>
          <t>Abhishek Zalani</t>
        </is>
      </c>
      <c r="Y224" t="inlineStr">
        <is>
          <t>2025-11-12</t>
        </is>
      </c>
      <c r="Z224" t="inlineStr">
        <is>
          <t>https://app.hubspot.com/contacts/243046792/record/0-3/216534906589</t>
        </is>
      </c>
    </row>
    <row r="225">
      <c r="A225" t="n">
        <v>224</v>
      </c>
      <c r="B225" t="inlineStr">
        <is>
          <t>212007532248</t>
        </is>
      </c>
      <c r="D225" t="inlineStr">
        <is>
          <t>System Wide CRM Alignment and Implementation Partner</t>
        </is>
      </c>
      <c r="E225" t="inlineStr">
        <is>
          <t>University System of New Hampshire</t>
        </is>
      </c>
      <c r="F225" t="inlineStr">
        <is>
          <t>New Hampshire</t>
        </is>
      </c>
      <c r="G225" t="inlineStr">
        <is>
          <t>Closed Lost</t>
        </is>
      </c>
      <c r="H225" t="inlineStr">
        <is>
          <t>No</t>
        </is>
      </c>
      <c r="J225" s="96" t="n">
        <v>46154</v>
      </c>
      <c r="K225" s="96" t="n">
        <v>45980</v>
      </c>
      <c r="L225" s="65" t="n">
        <v>69550</v>
      </c>
      <c r="N225" t="inlineStr">
        <is>
          <t>Portal</t>
        </is>
      </c>
      <c r="O225" t="inlineStr">
        <is>
          <t>Abhishek Zalani</t>
        </is>
      </c>
      <c r="Y225" t="inlineStr">
        <is>
          <t>2025-11-05</t>
        </is>
      </c>
      <c r="Z225" t="inlineStr">
        <is>
          <t>https://app.hubspot.com/contacts/243046792/record/0-3/212007532248</t>
        </is>
      </c>
    </row>
    <row r="226">
      <c r="A226" t="n">
        <v>225</v>
      </c>
      <c r="B226" t="inlineStr">
        <is>
          <t>203838417649</t>
        </is>
      </c>
      <c r="D226" t="inlineStr">
        <is>
          <t>RFP - 2026 Professional &amp; IT Services - Fair &amp; Open Process - Computer Services</t>
        </is>
      </c>
      <c r="E226" t="inlineStr">
        <is>
          <t>Watchung Borough</t>
        </is>
      </c>
      <c r="F226" t="inlineStr">
        <is>
          <t>New Jersey</t>
        </is>
      </c>
      <c r="G226" t="inlineStr">
        <is>
          <t>Submitted</t>
        </is>
      </c>
      <c r="H226" t="inlineStr">
        <is>
          <t>No</t>
        </is>
      </c>
      <c r="J226" s="96" t="n">
        <v>45981</v>
      </c>
      <c r="K226" s="96" t="n">
        <v>45981</v>
      </c>
      <c r="M226" t="inlineStr">
        <is>
          <t>Managed Services (MSP)</t>
        </is>
      </c>
      <c r="N226" t="inlineStr">
        <is>
          <t>Offline</t>
        </is>
      </c>
      <c r="O226" t="inlineStr">
        <is>
          <t>Ashutosh Chauhan</t>
        </is>
      </c>
      <c r="Y226" t="inlineStr">
        <is>
          <t>2025-10-30</t>
        </is>
      </c>
      <c r="Z226" t="inlineStr">
        <is>
          <t>https://app.hubspot.com/contacts/243046792/record/0-3/203838417649</t>
        </is>
      </c>
    </row>
    <row r="227">
      <c r="A227" t="n">
        <v>226</v>
      </c>
      <c r="B227" t="inlineStr">
        <is>
          <t>200822611705</t>
        </is>
      </c>
      <c r="D227" t="inlineStr">
        <is>
          <t>Public Records Request Management System</t>
        </is>
      </c>
      <c r="E227" t="inlineStr">
        <is>
          <t>Ohio Department of Natural Resources</t>
        </is>
      </c>
      <c r="F227" t="inlineStr">
        <is>
          <t>Ohio</t>
        </is>
      </c>
      <c r="G227" t="inlineStr">
        <is>
          <t>Submitted</t>
        </is>
      </c>
      <c r="H227" t="inlineStr">
        <is>
          <t>No</t>
        </is>
      </c>
      <c r="J227" s="96" t="n">
        <v>45981</v>
      </c>
      <c r="K227" s="96" t="n">
        <v>45981</v>
      </c>
      <c r="M227" t="inlineStr">
        <is>
          <t>Platform Implementation (ERP, CRMs)</t>
        </is>
      </c>
      <c r="O227" t="inlineStr">
        <is>
          <t>Abhishek Zalani</t>
        </is>
      </c>
      <c r="Y227" t="inlineStr">
        <is>
          <t>2025-10-28</t>
        </is>
      </c>
      <c r="Z227" t="inlineStr">
        <is>
          <t>https://app.hubspot.com/contacts/243046792/record/0-3/200822611705</t>
        </is>
      </c>
    </row>
    <row r="228">
      <c r="A228" t="n">
        <v>227</v>
      </c>
      <c r="B228" t="inlineStr">
        <is>
          <t>180942916300</t>
        </is>
      </c>
      <c r="C228" t="inlineStr">
        <is>
          <t>RFP-DS-BI-ADPDI-10-25</t>
        </is>
      </c>
      <c r="D228" t="inlineStr">
        <is>
          <t>Azure Data Platform Design and Implementation</t>
        </is>
      </c>
      <c r="E228" t="inlineStr">
        <is>
          <t>Houston-Galveston Area Council</t>
        </is>
      </c>
      <c r="F228" t="inlineStr">
        <is>
          <t>Texas</t>
        </is>
      </c>
      <c r="G228" t="inlineStr">
        <is>
          <t>Submitted</t>
        </is>
      </c>
      <c r="H228" t="inlineStr">
        <is>
          <t>No</t>
        </is>
      </c>
      <c r="J228" s="96" t="n">
        <v>45981</v>
      </c>
      <c r="K228" s="96" t="n">
        <v>45981</v>
      </c>
      <c r="L228" s="65" t="n">
        <v>61000</v>
      </c>
      <c r="M228" t="inlineStr">
        <is>
          <t>Modernization / Migration</t>
        </is>
      </c>
      <c r="N228" t="inlineStr">
        <is>
          <t>Portal</t>
        </is>
      </c>
      <c r="O228" t="inlineStr">
        <is>
          <t>Ashutosh Chauhan</t>
        </is>
      </c>
      <c r="Y228" t="inlineStr">
        <is>
          <t>2025-10-08</t>
        </is>
      </c>
      <c r="Z228" t="inlineStr">
        <is>
          <t>https://app.hubspot.com/contacts/243046792/record/0-3/180942916300</t>
        </is>
      </c>
    </row>
    <row r="229">
      <c r="A229" t="n">
        <v>228</v>
      </c>
      <c r="B229" t="inlineStr">
        <is>
          <t>203233555138</t>
        </is>
      </c>
      <c r="D229" t="inlineStr">
        <is>
          <t>PROFESSIONAL INFORMATION TECHNOLOGY (IT) SERVICES</t>
        </is>
      </c>
      <c r="E229" t="inlineStr">
        <is>
          <t>Avon Lake Regional Water</t>
        </is>
      </c>
      <c r="F229" t="inlineStr">
        <is>
          <t>Ohio</t>
        </is>
      </c>
      <c r="G229" t="inlineStr">
        <is>
          <t>Closed Lost</t>
        </is>
      </c>
      <c r="H229" t="inlineStr">
        <is>
          <t>Yes</t>
        </is>
      </c>
      <c r="I229" t="inlineStr">
        <is>
          <t>Interview</t>
        </is>
      </c>
      <c r="J229" s="96" t="n">
        <v>46178</v>
      </c>
      <c r="K229" s="96" t="n">
        <v>45981</v>
      </c>
      <c r="M229" t="inlineStr">
        <is>
          <t>Managed Services (MSP)</t>
        </is>
      </c>
      <c r="N229" t="inlineStr">
        <is>
          <t>Offline</t>
        </is>
      </c>
      <c r="O229" t="inlineStr">
        <is>
          <t>Jyothsna Nanda kishore</t>
        </is>
      </c>
      <c r="P229" t="inlineStr">
        <is>
          <t>Interview Scheduled</t>
        </is>
      </c>
      <c r="Q229" t="inlineStr">
        <is>
          <t>2026-01-09</t>
        </is>
      </c>
      <c r="Y229" t="inlineStr">
        <is>
          <t>2025-10-30</t>
        </is>
      </c>
      <c r="Z229" t="inlineStr">
        <is>
          <t>https://app.hubspot.com/contacts/243046792/record/0-3/203233555138</t>
        </is>
      </c>
    </row>
    <row r="230">
      <c r="A230" t="n">
        <v>229</v>
      </c>
      <c r="B230" t="inlineStr">
        <is>
          <t>173703980764</t>
        </is>
      </c>
      <c r="C230" t="inlineStr">
        <is>
          <t>2509-700-394</t>
        </is>
      </c>
      <c r="D230" t="inlineStr">
        <is>
          <t>Belton Independent School District - Software &amp; Applications</t>
        </is>
      </c>
      <c r="E230" t="inlineStr">
        <is>
          <t>Belton Independent School District ( District )</t>
        </is>
      </c>
      <c r="F230" t="inlineStr">
        <is>
          <t>Texas</t>
        </is>
      </c>
      <c r="G230" t="inlineStr">
        <is>
          <t>Closed Won</t>
        </is>
      </c>
      <c r="H230" t="inlineStr">
        <is>
          <t>No</t>
        </is>
      </c>
      <c r="J230" s="96" t="n">
        <v>46219</v>
      </c>
      <c r="K230" s="96" t="n">
        <v>45981</v>
      </c>
      <c r="M230" t="inlineStr">
        <is>
          <t>Reseller</t>
        </is>
      </c>
      <c r="N230" t="inlineStr">
        <is>
          <t>Portal</t>
        </is>
      </c>
      <c r="O230" t="inlineStr">
        <is>
          <t>Jyothsna Nanda kishore</t>
        </is>
      </c>
      <c r="Y230" t="inlineStr">
        <is>
          <t>2025-10-01</t>
        </is>
      </c>
      <c r="Z230" t="inlineStr">
        <is>
          <t>https://app.hubspot.com/contacts/243046792/record/0-3/173703980764</t>
        </is>
      </c>
    </row>
    <row r="231">
      <c r="A231" t="n">
        <v>230</v>
      </c>
      <c r="B231" t="inlineStr">
        <is>
          <t>144659614422</t>
        </is>
      </c>
      <c r="C231" t="inlineStr">
        <is>
          <t>373GHS00006</t>
        </is>
      </c>
      <c r="D231" t="inlineStr">
        <is>
          <t>Microsoft Software Licensing Compliance and Optimization Assessment and Advisory Services</t>
        </is>
      </c>
      <c r="E231" t="inlineStr">
        <is>
          <t>Granville Health System</t>
        </is>
      </c>
      <c r="F231" t="inlineStr">
        <is>
          <t>North Carolina</t>
        </is>
      </c>
      <c r="G231" t="inlineStr">
        <is>
          <t>Submitted</t>
        </is>
      </c>
      <c r="H231" t="inlineStr">
        <is>
          <t>No</t>
        </is>
      </c>
      <c r="J231" s="96" t="n">
        <v>45992</v>
      </c>
      <c r="K231" s="96" t="n">
        <v>45981</v>
      </c>
      <c r="M231" t="inlineStr">
        <is>
          <t>Audits and Assessment;Consulting</t>
        </is>
      </c>
      <c r="N231" t="inlineStr">
        <is>
          <t>Email</t>
        </is>
      </c>
      <c r="O231" t="inlineStr">
        <is>
          <t>Jyothsna Nanda kishore</t>
        </is>
      </c>
      <c r="Y231" t="inlineStr">
        <is>
          <t>2025-08-22</t>
        </is>
      </c>
      <c r="Z231" t="inlineStr">
        <is>
          <t>https://app.hubspot.com/contacts/243046792/record/0-3/144659614422</t>
        </is>
      </c>
    </row>
    <row r="232">
      <c r="A232" t="n">
        <v>231</v>
      </c>
      <c r="B232" t="inlineStr">
        <is>
          <t>221442127549</t>
        </is>
      </c>
      <c r="D232" t="inlineStr">
        <is>
          <t>On-site ITIL 4 Training Services</t>
        </is>
      </c>
      <c r="E232" t="inlineStr">
        <is>
          <t>Virginia IT Agency</t>
        </is>
      </c>
      <c r="F232" t="inlineStr">
        <is>
          <t>Virginia</t>
        </is>
      </c>
      <c r="G232" t="inlineStr">
        <is>
          <t>Closed Lost</t>
        </is>
      </c>
      <c r="H232" t="inlineStr">
        <is>
          <t>Yes</t>
        </is>
      </c>
      <c r="I232" t="inlineStr">
        <is>
          <t>Interview</t>
        </is>
      </c>
      <c r="J232" s="96" t="n">
        <v>46034</v>
      </c>
      <c r="K232" s="96" t="n">
        <v>45981</v>
      </c>
      <c r="L232" s="65" t="n">
        <v>24425</v>
      </c>
      <c r="M232" t="inlineStr">
        <is>
          <t>Training</t>
        </is>
      </c>
      <c r="N232" t="inlineStr">
        <is>
          <t>Email</t>
        </is>
      </c>
      <c r="O232" t="inlineStr">
        <is>
          <t>Jyothsna Nanda kishore</t>
        </is>
      </c>
      <c r="Q232" t="inlineStr">
        <is>
          <t>2025-12-16</t>
        </is>
      </c>
      <c r="Y232" t="inlineStr">
        <is>
          <t>2025-11-17</t>
        </is>
      </c>
      <c r="Z232" t="inlineStr">
        <is>
          <t>https://app.hubspot.com/contacts/243046792/record/0-3/221442127549</t>
        </is>
      </c>
    </row>
    <row r="233">
      <c r="A233" t="n">
        <v>232</v>
      </c>
      <c r="B233" t="inlineStr">
        <is>
          <t>218275269367</t>
        </is>
      </c>
      <c r="D233" t="inlineStr">
        <is>
          <t>HRI IT Contractor Posting – Expert Software Developer</t>
        </is>
      </c>
      <c r="E233" t="inlineStr">
        <is>
          <t>Health Research, Inc., NY</t>
        </is>
      </c>
      <c r="F233" t="inlineStr">
        <is>
          <t>New York</t>
        </is>
      </c>
      <c r="G233" t="inlineStr">
        <is>
          <t>RFx Cancelled</t>
        </is>
      </c>
      <c r="H233" t="inlineStr">
        <is>
          <t>No</t>
        </is>
      </c>
      <c r="J233" s="96" t="n">
        <v>46076</v>
      </c>
      <c r="K233" s="96" t="n">
        <v>45981</v>
      </c>
      <c r="M233" t="inlineStr">
        <is>
          <t>Staff Augmentation</t>
        </is>
      </c>
      <c r="O233" t="inlineStr">
        <is>
          <t>Jyothsna Nanda kishore</t>
        </is>
      </c>
      <c r="Y233" t="inlineStr">
        <is>
          <t>2025-11-13</t>
        </is>
      </c>
      <c r="Z233" t="inlineStr">
        <is>
          <t>https://app.hubspot.com/contacts/243046792/record/0-3/218275269367</t>
        </is>
      </c>
    </row>
    <row r="234">
      <c r="A234" t="n">
        <v>233</v>
      </c>
      <c r="B234" t="inlineStr">
        <is>
          <t>204626559719</t>
        </is>
      </c>
      <c r="D234" t="inlineStr">
        <is>
          <t>Managed Service Provider (MSP) Services</t>
        </is>
      </c>
      <c r="E234" t="inlineStr">
        <is>
          <t>County of Belknap</t>
        </is>
      </c>
      <c r="F234" t="inlineStr">
        <is>
          <t>New Hampshire</t>
        </is>
      </c>
      <c r="G234" t="inlineStr">
        <is>
          <t>Closed Lost</t>
        </is>
      </c>
      <c r="H234" t="inlineStr">
        <is>
          <t>No</t>
        </is>
      </c>
      <c r="J234" s="96" t="n">
        <v>46113</v>
      </c>
      <c r="K234" s="96" t="n">
        <v>45981</v>
      </c>
      <c r="L234" s="65" t="n">
        <v>194880</v>
      </c>
      <c r="M234" t="inlineStr">
        <is>
          <t>Managed Services (MSP)</t>
        </is>
      </c>
      <c r="N234" t="inlineStr">
        <is>
          <t>Email</t>
        </is>
      </c>
      <c r="O234" t="inlineStr">
        <is>
          <t>Abhishek Zalani</t>
        </is>
      </c>
      <c r="Y234" t="inlineStr">
        <is>
          <t>2025-10-30</t>
        </is>
      </c>
      <c r="Z234" t="inlineStr">
        <is>
          <t>https://app.hubspot.com/contacts/243046792/record/0-3/204626559719</t>
        </is>
      </c>
    </row>
    <row r="235">
      <c r="A235" t="n">
        <v>234</v>
      </c>
      <c r="B235" t="inlineStr">
        <is>
          <t>199601369812</t>
        </is>
      </c>
      <c r="C235" t="inlineStr">
        <is>
          <t>RFP 26-IT01</t>
        </is>
      </c>
      <c r="D235" t="inlineStr">
        <is>
          <t>Managed IT and Security</t>
        </is>
      </c>
      <c r="E235" t="inlineStr">
        <is>
          <t>City of Milton</t>
        </is>
      </c>
      <c r="F235" t="inlineStr">
        <is>
          <t>Georgia</t>
        </is>
      </c>
      <c r="G235" t="inlineStr">
        <is>
          <t>Closed Lost</t>
        </is>
      </c>
      <c r="H235" t="inlineStr">
        <is>
          <t>No</t>
        </is>
      </c>
      <c r="J235" s="96" t="n">
        <v>46121</v>
      </c>
      <c r="K235" s="96" t="n">
        <v>45981</v>
      </c>
      <c r="M235" t="inlineStr">
        <is>
          <t>Managed Services (MSP)</t>
        </is>
      </c>
      <c r="N235" t="inlineStr">
        <is>
          <t>Portal</t>
        </is>
      </c>
      <c r="O235" t="inlineStr">
        <is>
          <t>Ashutosh Chauhan</t>
        </is>
      </c>
      <c r="Y235" t="inlineStr">
        <is>
          <t>2025-10-28</t>
        </is>
      </c>
      <c r="Z235" t="inlineStr">
        <is>
          <t>https://app.hubspot.com/contacts/243046792/record/0-3/199601369812</t>
        </is>
      </c>
    </row>
    <row r="236">
      <c r="A236" t="n">
        <v>235</v>
      </c>
      <c r="B236" t="inlineStr">
        <is>
          <t>202093900488</t>
        </is>
      </c>
      <c r="D236" t="inlineStr">
        <is>
          <t>Asset Management and Facilities Services Software Solution</t>
        </is>
      </c>
      <c r="E236" t="inlineStr">
        <is>
          <t>Butte County</t>
        </is>
      </c>
      <c r="F236" t="inlineStr">
        <is>
          <t>California</t>
        </is>
      </c>
      <c r="G236" t="inlineStr">
        <is>
          <t>Closed Lost</t>
        </is>
      </c>
      <c r="H236" t="inlineStr">
        <is>
          <t>No</t>
        </is>
      </c>
      <c r="J236" s="96" t="n">
        <v>46129</v>
      </c>
      <c r="K236" s="96" t="n">
        <v>45981</v>
      </c>
      <c r="M236" t="inlineStr">
        <is>
          <t>Platform Implementation (ERP, CRMs)</t>
        </is>
      </c>
      <c r="N236" t="inlineStr">
        <is>
          <t>Email</t>
        </is>
      </c>
      <c r="O236" t="inlineStr">
        <is>
          <t>Abhishek Zalani</t>
        </is>
      </c>
      <c r="Y236" t="inlineStr">
        <is>
          <t>2025-10-28</t>
        </is>
      </c>
      <c r="Z236" t="inlineStr">
        <is>
          <t>https://app.hubspot.com/contacts/243046792/record/0-3/202093900488</t>
        </is>
      </c>
    </row>
    <row r="237">
      <c r="A237" t="n">
        <v>236</v>
      </c>
      <c r="B237" t="inlineStr">
        <is>
          <t>212647352025</t>
        </is>
      </c>
      <c r="C237" t="inlineStr">
        <is>
          <t>#0000003885</t>
        </is>
      </c>
      <c r="D237" t="inlineStr">
        <is>
          <t>RFP_IT_WCAG 2.1 Assessment</t>
        </is>
      </c>
      <c r="E237" t="inlineStr">
        <is>
          <t>City of Minneapolis</t>
        </is>
      </c>
      <c r="F237" t="inlineStr">
        <is>
          <t>Minnesota</t>
        </is>
      </c>
      <c r="G237" t="inlineStr">
        <is>
          <t>Submitted</t>
        </is>
      </c>
      <c r="H237" t="inlineStr">
        <is>
          <t>No</t>
        </is>
      </c>
      <c r="J237" s="96" t="n">
        <v>45982</v>
      </c>
      <c r="K237" s="96" t="n">
        <v>45982</v>
      </c>
      <c r="L237" s="65" t="n">
        <v>41850</v>
      </c>
      <c r="N237" t="inlineStr">
        <is>
          <t>Portal</t>
        </is>
      </c>
      <c r="O237" t="inlineStr">
        <is>
          <t>Abhishek Zalani</t>
        </is>
      </c>
      <c r="Y237" t="inlineStr">
        <is>
          <t>2025-11-06</t>
        </is>
      </c>
      <c r="Z237" t="inlineStr">
        <is>
          <t>https://app.hubspot.com/contacts/243046792/record/0-3/212647352025</t>
        </is>
      </c>
    </row>
    <row r="238">
      <c r="A238" t="n">
        <v>237</v>
      </c>
      <c r="B238" t="inlineStr">
        <is>
          <t>200821173963</t>
        </is>
      </c>
      <c r="D238" t="inlineStr">
        <is>
          <t>Advisory Services for Digital Records Storage Software</t>
        </is>
      </c>
      <c r="E238" t="inlineStr">
        <is>
          <t>LIVERMORE-AMADOR VALLEY WATER MANAGEMENT AGENCY</t>
        </is>
      </c>
      <c r="F238" t="inlineStr">
        <is>
          <t>California</t>
        </is>
      </c>
      <c r="G238" t="inlineStr">
        <is>
          <t>Closed Lost</t>
        </is>
      </c>
      <c r="H238" t="inlineStr">
        <is>
          <t>Yes</t>
        </is>
      </c>
      <c r="I238" t="inlineStr">
        <is>
          <t>Interview</t>
        </is>
      </c>
      <c r="J238" s="96" t="n">
        <v>46010</v>
      </c>
      <c r="K238" s="96" t="n">
        <v>45982</v>
      </c>
      <c r="L238" s="65" t="n">
        <v>39010</v>
      </c>
      <c r="M238" t="inlineStr">
        <is>
          <t>Consulting</t>
        </is>
      </c>
      <c r="O238" t="inlineStr">
        <is>
          <t>Ashutosh Chauhan</t>
        </is>
      </c>
      <c r="Q238" t="inlineStr">
        <is>
          <t>2025-12-18</t>
        </is>
      </c>
      <c r="Y238" t="inlineStr">
        <is>
          <t>2025-10-28</t>
        </is>
      </c>
      <c r="Z238" t="inlineStr">
        <is>
          <t>https://app.hubspot.com/contacts/243046792/record/0-3/200821173963</t>
        </is>
      </c>
    </row>
    <row r="239">
      <c r="A239" t="n">
        <v>238</v>
      </c>
      <c r="B239" t="inlineStr">
        <is>
          <t>203233555157</t>
        </is>
      </c>
      <c r="C239" t="inlineStr">
        <is>
          <t>NYSCR 25/26-3562IT</t>
        </is>
      </c>
      <c r="D239" t="inlineStr">
        <is>
          <t>Identity Consultants Services</t>
        </is>
      </c>
      <c r="E239" t="inlineStr">
        <is>
          <t>Stony Brook University Hospital</t>
        </is>
      </c>
      <c r="F239" t="inlineStr">
        <is>
          <t>New York</t>
        </is>
      </c>
      <c r="G239" t="inlineStr">
        <is>
          <t>Closed Lost</t>
        </is>
      </c>
      <c r="H239" t="inlineStr">
        <is>
          <t>No</t>
        </is>
      </c>
      <c r="J239" s="96" t="n">
        <v>46129</v>
      </c>
      <c r="K239" s="96" t="n">
        <v>45982</v>
      </c>
      <c r="M239" t="inlineStr">
        <is>
          <t>Staff Augmentation</t>
        </is>
      </c>
      <c r="O239" t="inlineStr">
        <is>
          <t>Arshdeep Kaur</t>
        </is>
      </c>
      <c r="Y239" t="inlineStr">
        <is>
          <t>2025-10-30</t>
        </is>
      </c>
      <c r="Z239" t="inlineStr">
        <is>
          <t>https://app.hubspot.com/contacts/243046792/record/0-3/203233555157</t>
        </is>
      </c>
    </row>
    <row r="240">
      <c r="A240" t="n">
        <v>239</v>
      </c>
      <c r="B240" t="inlineStr">
        <is>
          <t>211098716921</t>
        </is>
      </c>
      <c r="C240" t="inlineStr">
        <is>
          <t>STATE 0000000159SL</t>
        </is>
      </c>
      <c r="D240" t="inlineStr">
        <is>
          <t>Endpoint Data Loss Prevention Security Services (REBID)</t>
        </is>
      </c>
      <c r="E240" t="inlineStr">
        <is>
          <t>Missouri Information Technology Services Division</t>
        </is>
      </c>
      <c r="F240" t="inlineStr">
        <is>
          <t>Missouri</t>
        </is>
      </c>
      <c r="G240" t="inlineStr">
        <is>
          <t>Closed Lost</t>
        </is>
      </c>
      <c r="H240" t="inlineStr">
        <is>
          <t>Yes</t>
        </is>
      </c>
      <c r="I240" t="inlineStr">
        <is>
          <t>BAFO</t>
        </is>
      </c>
      <c r="J240" s="96" t="n">
        <v>46136</v>
      </c>
      <c r="K240" s="96" t="n">
        <v>45982</v>
      </c>
      <c r="L240" s="65" t="n">
        <v>65500</v>
      </c>
      <c r="M240" t="inlineStr">
        <is>
          <t>Support &amp; Maintenance</t>
        </is>
      </c>
      <c r="O240" t="inlineStr">
        <is>
          <t>Jyothsna Nanda kishore</t>
        </is>
      </c>
      <c r="P240" t="inlineStr">
        <is>
          <t>BAFO</t>
        </is>
      </c>
      <c r="R240" t="inlineStr">
        <is>
          <t>2026-02-25</t>
        </is>
      </c>
      <c r="Y240" t="inlineStr">
        <is>
          <t>2025-11-05</t>
        </is>
      </c>
      <c r="Z240" t="inlineStr">
        <is>
          <t>https://app.hubspot.com/contacts/243046792/record/0-3/211098716921</t>
        </is>
      </c>
    </row>
    <row r="241">
      <c r="A241" t="n">
        <v>240</v>
      </c>
      <c r="B241" t="inlineStr">
        <is>
          <t>202002661057</t>
        </is>
      </c>
      <c r="D241" t="inlineStr">
        <is>
          <t>Information Technology Consultant</t>
        </is>
      </c>
      <c r="E241" t="inlineStr">
        <is>
          <t>THE TOWNSHIP OF LYNDHURST</t>
        </is>
      </c>
      <c r="F241" t="inlineStr">
        <is>
          <t>New Jersey</t>
        </is>
      </c>
      <c r="G241" t="inlineStr">
        <is>
          <t>Submitted</t>
        </is>
      </c>
      <c r="H241" t="inlineStr">
        <is>
          <t>No</t>
        </is>
      </c>
      <c r="J241" s="96" t="n">
        <v>45986</v>
      </c>
      <c r="K241" s="96" t="n">
        <v>45985</v>
      </c>
      <c r="L241" s="65" t="n">
        <v>16080</v>
      </c>
      <c r="M241" t="inlineStr">
        <is>
          <t>Consulting</t>
        </is>
      </c>
      <c r="N241" t="inlineStr">
        <is>
          <t>Offline</t>
        </is>
      </c>
      <c r="O241" t="inlineStr">
        <is>
          <t>Ashutosh Chauhan</t>
        </is>
      </c>
      <c r="Y241" t="inlineStr">
        <is>
          <t>2025-10-28</t>
        </is>
      </c>
      <c r="Z241" t="inlineStr">
        <is>
          <t>https://app.hubspot.com/contacts/243046792/record/0-3/202002661057</t>
        </is>
      </c>
    </row>
    <row r="242">
      <c r="A242" t="n">
        <v>241</v>
      </c>
      <c r="B242" t="inlineStr">
        <is>
          <t>197783879408</t>
        </is>
      </c>
      <c r="D242" t="inlineStr">
        <is>
          <t>Managed Services Support</t>
        </is>
      </c>
      <c r="E242" t="inlineStr">
        <is>
          <t>Shelby County Government</t>
        </is>
      </c>
      <c r="F242" t="inlineStr">
        <is>
          <t>Tennessee</t>
        </is>
      </c>
      <c r="G242" t="inlineStr">
        <is>
          <t>RFx Cancelled</t>
        </is>
      </c>
      <c r="H242" t="inlineStr">
        <is>
          <t>No</t>
        </is>
      </c>
      <c r="J242" s="96" t="n">
        <v>45986</v>
      </c>
      <c r="K242" s="96" t="n">
        <v>45985</v>
      </c>
      <c r="L242" s="65" t="n">
        <v>242540</v>
      </c>
      <c r="M242" t="inlineStr">
        <is>
          <t>Managed Services (MSP)</t>
        </is>
      </c>
      <c r="N242" t="inlineStr">
        <is>
          <t>Offline</t>
        </is>
      </c>
      <c r="O242" t="inlineStr">
        <is>
          <t>Ashutosh Chauhan</t>
        </is>
      </c>
      <c r="Y242" t="inlineStr">
        <is>
          <t>2025-10-27</t>
        </is>
      </c>
      <c r="Z242" t="inlineStr">
        <is>
          <t>https://app.hubspot.com/contacts/243046792/record/0-3/197783879408</t>
        </is>
      </c>
    </row>
    <row r="243">
      <c r="A243" t="n">
        <v>242</v>
      </c>
      <c r="B243" t="inlineStr">
        <is>
          <t>218382308088</t>
        </is>
      </c>
      <c r="D243" t="inlineStr">
        <is>
          <t>Technology Hardware, Software and Services</t>
        </is>
      </c>
      <c r="E243" t="inlineStr">
        <is>
          <t>FRIENDSHIP PUBLIC CHARTER SCHOOL</t>
        </is>
      </c>
      <c r="F243" t="inlineStr">
        <is>
          <t>Washington, D.C.</t>
        </is>
      </c>
      <c r="G243" t="inlineStr">
        <is>
          <t>Submitted</t>
        </is>
      </c>
      <c r="H243" t="inlineStr">
        <is>
          <t>No</t>
        </is>
      </c>
      <c r="J243" s="96" t="n">
        <v>45989</v>
      </c>
      <c r="K243" s="96" t="n">
        <v>45985</v>
      </c>
      <c r="M243" t="inlineStr">
        <is>
          <t>Support &amp; Maintenance</t>
        </is>
      </c>
      <c r="N243" t="inlineStr">
        <is>
          <t>Email</t>
        </is>
      </c>
      <c r="O243" t="inlineStr">
        <is>
          <t>Jyothsna Nanda kishore</t>
        </is>
      </c>
      <c r="Y243" t="inlineStr">
        <is>
          <t>2025-11-13</t>
        </is>
      </c>
      <c r="Z243" t="inlineStr">
        <is>
          <t>https://app.hubspot.com/contacts/243046792/record/0-3/218382308088</t>
        </is>
      </c>
    </row>
    <row r="244">
      <c r="A244" t="n">
        <v>243</v>
      </c>
      <c r="B244" t="inlineStr">
        <is>
          <t>199601365713</t>
        </is>
      </c>
      <c r="D244" t="inlineStr">
        <is>
          <t>Managed IT Services with Embedded On-Site Staff</t>
        </is>
      </c>
      <c r="E244" t="inlineStr">
        <is>
          <t xml:space="preserve">Legal Services of the Hudson Valley </t>
        </is>
      </c>
      <c r="F244" t="inlineStr">
        <is>
          <t>New York</t>
        </is>
      </c>
      <c r="G244" t="inlineStr">
        <is>
          <t>Closed Lost</t>
        </is>
      </c>
      <c r="H244" t="inlineStr">
        <is>
          <t>No</t>
        </is>
      </c>
      <c r="J244" s="96" t="n">
        <v>46203</v>
      </c>
      <c r="K244" s="96" t="n">
        <v>45985</v>
      </c>
      <c r="M244" t="inlineStr">
        <is>
          <t>Managed Services (MSP)</t>
        </is>
      </c>
      <c r="O244" t="inlineStr">
        <is>
          <t>Ashutosh Chauhan</t>
        </is>
      </c>
      <c r="Y244" t="inlineStr">
        <is>
          <t>2025-10-28</t>
        </is>
      </c>
      <c r="Z244" t="inlineStr">
        <is>
          <t>https://app.hubspot.com/contacts/243046792/record/0-3/199601365713</t>
        </is>
      </c>
    </row>
    <row r="245">
      <c r="A245" t="n">
        <v>244</v>
      </c>
      <c r="B245" t="inlineStr">
        <is>
          <t>216534863554</t>
        </is>
      </c>
      <c r="D245" t="inlineStr">
        <is>
          <t>Timekeeping Support Services for Infor Workforce Management Software</t>
        </is>
      </c>
      <c r="E245" t="inlineStr">
        <is>
          <t>County of San Mateo</t>
        </is>
      </c>
      <c r="F245" t="inlineStr">
        <is>
          <t>California</t>
        </is>
      </c>
      <c r="G245" t="inlineStr">
        <is>
          <t>Closed Lost</t>
        </is>
      </c>
      <c r="H245" t="inlineStr">
        <is>
          <t>Yes</t>
        </is>
      </c>
      <c r="I245" t="inlineStr">
        <is>
          <t>Interview</t>
        </is>
      </c>
      <c r="J245" s="96" t="n">
        <v>46001</v>
      </c>
      <c r="K245" s="96" t="n">
        <v>45985</v>
      </c>
      <c r="M245" t="inlineStr">
        <is>
          <t>Support &amp; Maintenance</t>
        </is>
      </c>
      <c r="N245" t="inlineStr">
        <is>
          <t>Portal</t>
        </is>
      </c>
      <c r="O245" t="inlineStr">
        <is>
          <t>Ashutosh Chauhan</t>
        </is>
      </c>
      <c r="P245" t="inlineStr">
        <is>
          <t>Interview Scheduled</t>
        </is>
      </c>
      <c r="Q245" t="inlineStr">
        <is>
          <t>2025-12-04</t>
        </is>
      </c>
      <c r="Y245" t="inlineStr">
        <is>
          <t>2025-11-11</t>
        </is>
      </c>
      <c r="Z245" t="inlineStr">
        <is>
          <t>https://app.hubspot.com/contacts/243046792/record/0-3/216534863554</t>
        </is>
      </c>
    </row>
    <row r="246">
      <c r="A246" t="n">
        <v>245</v>
      </c>
      <c r="B246" t="inlineStr">
        <is>
          <t>222284251883</t>
        </is>
      </c>
      <c r="D246" t="inlineStr">
        <is>
          <t>INFORMATION TECHNOLOGY SUPPORT SERVICES</t>
        </is>
      </c>
      <c r="E246" t="inlineStr">
        <is>
          <t>City of Palm Valley</t>
        </is>
      </c>
      <c r="F246" t="inlineStr">
        <is>
          <t>Texas</t>
        </is>
      </c>
      <c r="G246" t="inlineStr">
        <is>
          <t>Closed Lost</t>
        </is>
      </c>
      <c r="H246" t="inlineStr">
        <is>
          <t>No</t>
        </is>
      </c>
      <c r="J246" s="96" t="n">
        <v>46077</v>
      </c>
      <c r="K246" s="96" t="n">
        <v>45985</v>
      </c>
      <c r="L246" s="65" t="n">
        <v>120766</v>
      </c>
      <c r="M246" t="inlineStr">
        <is>
          <t>Managed Services (MSP)</t>
        </is>
      </c>
      <c r="N246" t="inlineStr">
        <is>
          <t>Offline</t>
        </is>
      </c>
      <c r="O246" t="inlineStr">
        <is>
          <t>Jyothsna Nanda kishore</t>
        </is>
      </c>
      <c r="Y246" t="inlineStr">
        <is>
          <t>2025-11-18</t>
        </is>
      </c>
      <c r="Z246" t="inlineStr">
        <is>
          <t>https://app.hubspot.com/contacts/243046792/record/0-3/222284251883</t>
        </is>
      </c>
    </row>
    <row r="247">
      <c r="A247" t="n">
        <v>246</v>
      </c>
      <c r="B247" t="inlineStr">
        <is>
          <t>209420964598</t>
        </is>
      </c>
      <c r="D247" t="inlineStr">
        <is>
          <t>FY26 Software Development Services</t>
        </is>
      </c>
      <c r="E247" t="inlineStr">
        <is>
          <t>Ohio State University Wexner Medical Center</t>
        </is>
      </c>
      <c r="F247" t="inlineStr">
        <is>
          <t>Ohio</t>
        </is>
      </c>
      <c r="G247" t="inlineStr">
        <is>
          <t>Closed Lost</t>
        </is>
      </c>
      <c r="H247" t="inlineStr">
        <is>
          <t>Yes</t>
        </is>
      </c>
      <c r="I247" t="inlineStr">
        <is>
          <t>Interview</t>
        </is>
      </c>
      <c r="J247" s="96" t="n">
        <v>46094</v>
      </c>
      <c r="K247" s="96" t="n">
        <v>45985</v>
      </c>
      <c r="L247" s="65" t="n">
        <v>190900</v>
      </c>
      <c r="M247" t="inlineStr">
        <is>
          <t>Modernization / Migration</t>
        </is>
      </c>
      <c r="N247" t="inlineStr">
        <is>
          <t>Portal</t>
        </is>
      </c>
      <c r="O247" t="inlineStr">
        <is>
          <t>Ashutosh Chauhan</t>
        </is>
      </c>
      <c r="P247" t="inlineStr">
        <is>
          <t>Interview Scheduled</t>
        </is>
      </c>
      <c r="Q247" t="inlineStr">
        <is>
          <t>2026-01-14</t>
        </is>
      </c>
      <c r="Y247" t="inlineStr">
        <is>
          <t>2025-11-03</t>
        </is>
      </c>
      <c r="Z247" t="inlineStr">
        <is>
          <t>https://app.hubspot.com/contacts/243046792/record/0-3/209420964598</t>
        </is>
      </c>
    </row>
    <row r="248">
      <c r="A248" t="n">
        <v>247</v>
      </c>
      <c r="B248" t="inlineStr">
        <is>
          <t>215719776967</t>
        </is>
      </c>
      <c r="D248" t="inlineStr">
        <is>
          <t>Medical Licensure / Records Database Maintenance System</t>
        </is>
      </c>
      <c r="E248" t="inlineStr">
        <is>
          <t>West Virginia Board of Medicine</t>
        </is>
      </c>
      <c r="F248" t="inlineStr">
        <is>
          <t>Virginia</t>
        </is>
      </c>
      <c r="G248" t="inlineStr">
        <is>
          <t>Closed Lost</t>
        </is>
      </c>
      <c r="H248" t="inlineStr">
        <is>
          <t>Yes</t>
        </is>
      </c>
      <c r="I248" t="inlineStr">
        <is>
          <t>Interview</t>
        </is>
      </c>
      <c r="J248" s="96" t="n">
        <v>46146</v>
      </c>
      <c r="K248" s="96" t="n">
        <v>45985</v>
      </c>
      <c r="L248" s="65" t="n">
        <v>666000</v>
      </c>
      <c r="M248" t="inlineStr">
        <is>
          <t>Modernization / Migration</t>
        </is>
      </c>
      <c r="N248" t="inlineStr">
        <is>
          <t>Offline;Portal</t>
        </is>
      </c>
      <c r="O248" t="inlineStr">
        <is>
          <t>Jyothsna Nanda kishore</t>
        </is>
      </c>
      <c r="Q248" t="inlineStr">
        <is>
          <t>2026-02-12</t>
        </is>
      </c>
      <c r="Y248" t="inlineStr">
        <is>
          <t>2025-11-11</t>
        </is>
      </c>
      <c r="Z248" t="inlineStr">
        <is>
          <t>https://app.hubspot.com/contacts/243046792/record/0-3/215719776967</t>
        </is>
      </c>
    </row>
    <row r="249">
      <c r="A249" t="n">
        <v>248</v>
      </c>
      <c r="B249" t="inlineStr">
        <is>
          <t>202091020006</t>
        </is>
      </c>
      <c r="D249" t="inlineStr">
        <is>
          <t>Multi-Jurisdictional, Cybersecurity Penetration Testing</t>
        </is>
      </c>
      <c r="E249" t="inlineStr">
        <is>
          <t xml:space="preserve">Atlanta Regional Commission </t>
        </is>
      </c>
      <c r="F249" t="inlineStr">
        <is>
          <t>Georgia</t>
        </is>
      </c>
      <c r="G249" t="inlineStr">
        <is>
          <t>Closed Lost</t>
        </is>
      </c>
      <c r="H249" t="inlineStr">
        <is>
          <t>No</t>
        </is>
      </c>
      <c r="J249" s="96" t="n">
        <v>46225</v>
      </c>
      <c r="K249" s="96" t="n">
        <v>45986</v>
      </c>
      <c r="L249" s="65" t="n">
        <v>116050.5</v>
      </c>
      <c r="M249" t="inlineStr">
        <is>
          <t>Audits and Assessment</t>
        </is>
      </c>
      <c r="O249" t="inlineStr">
        <is>
          <t>Ashutosh Chauhan</t>
        </is>
      </c>
      <c r="Y249" t="inlineStr">
        <is>
          <t>2025-10-28</t>
        </is>
      </c>
      <c r="Z249" t="inlineStr">
        <is>
          <t>https://app.hubspot.com/contacts/243046792/record/0-3/202091020006</t>
        </is>
      </c>
    </row>
    <row r="250">
      <c r="A250" t="n">
        <v>249</v>
      </c>
      <c r="B250" t="inlineStr">
        <is>
          <t>199601370831</t>
        </is>
      </c>
      <c r="C250" t="inlineStr">
        <is>
          <t>RFP #25-011</t>
        </is>
      </c>
      <c r="D250" t="inlineStr">
        <is>
          <t>Website Design and Development Services</t>
        </is>
      </c>
      <c r="E250" t="inlineStr">
        <is>
          <t>Housing Authority of Salt Lake City</t>
        </is>
      </c>
      <c r="F250" t="inlineStr">
        <is>
          <t>Utah</t>
        </is>
      </c>
      <c r="G250" t="inlineStr">
        <is>
          <t>Submitted</t>
        </is>
      </c>
      <c r="H250" t="inlineStr">
        <is>
          <t>No</t>
        </is>
      </c>
      <c r="J250" s="96" t="n">
        <v>45987</v>
      </c>
      <c r="K250" s="96" t="n">
        <v>45987</v>
      </c>
      <c r="L250" s="65" t="n">
        <v>47600</v>
      </c>
      <c r="M250" t="inlineStr">
        <is>
          <t>Consulting;Support &amp; Maintenance</t>
        </is>
      </c>
      <c r="N250" t="inlineStr">
        <is>
          <t>Portal</t>
        </is>
      </c>
      <c r="O250" t="inlineStr">
        <is>
          <t>Abhishek Zalani</t>
        </is>
      </c>
      <c r="Y250" s="96" t="n">
        <v>45958</v>
      </c>
      <c r="Z250" t="inlineStr">
        <is>
          <t>https://app.hubspot.com/contacts/243046792/record/0-3/199601370831</t>
        </is>
      </c>
    </row>
    <row r="251">
      <c r="A251" t="n">
        <v>250</v>
      </c>
      <c r="B251" t="inlineStr">
        <is>
          <t>161660339927</t>
        </is>
      </c>
      <c r="C251" t="inlineStr">
        <is>
          <t>RFP #S-19800-00014589</t>
        </is>
      </c>
      <c r="D251" t="inlineStr">
        <is>
          <t>OFFLINE - Website Accessibility Audit - OJD Public Facing Content</t>
        </is>
      </c>
      <c r="E251" t="inlineStr">
        <is>
          <t>Oregon Judicial Department</t>
        </is>
      </c>
      <c r="F251" t="inlineStr">
        <is>
          <t>Oregon</t>
        </is>
      </c>
      <c r="G251" t="inlineStr">
        <is>
          <t>Submitted</t>
        </is>
      </c>
      <c r="H251" t="inlineStr">
        <is>
          <t>No</t>
        </is>
      </c>
      <c r="J251" s="96" t="n">
        <v>45987</v>
      </c>
      <c r="K251" s="96" t="n">
        <v>45987</v>
      </c>
      <c r="L251" s="65" t="n">
        <v>51000</v>
      </c>
      <c r="M251" t="inlineStr">
        <is>
          <t>Audits and Assessment</t>
        </is>
      </c>
      <c r="N251" t="inlineStr">
        <is>
          <t>Offline</t>
        </is>
      </c>
      <c r="O251" t="inlineStr">
        <is>
          <t>Abhishek Zalani</t>
        </is>
      </c>
      <c r="Y251" t="inlineStr">
        <is>
          <t>2025-09-17</t>
        </is>
      </c>
      <c r="Z251" t="inlineStr">
        <is>
          <t>https://app.hubspot.com/contacts/243046792/record/0-3/161660339927</t>
        </is>
      </c>
    </row>
    <row r="252">
      <c r="A252" t="n">
        <v>251</v>
      </c>
      <c r="B252" t="inlineStr">
        <is>
          <t>202092460757</t>
        </is>
      </c>
      <c r="D252" t="inlineStr">
        <is>
          <t>Technical Staff Augmentation Consulting Services</t>
        </is>
      </c>
      <c r="E252" t="inlineStr">
        <is>
          <t>New Mexico State University [NM]</t>
        </is>
      </c>
      <c r="F252" t="inlineStr">
        <is>
          <t>New Mexico</t>
        </is>
      </c>
      <c r="G252" t="inlineStr">
        <is>
          <t>Submitted</t>
        </is>
      </c>
      <c r="H252" t="inlineStr">
        <is>
          <t>No</t>
        </is>
      </c>
      <c r="J252" s="96" t="n">
        <v>45996</v>
      </c>
      <c r="K252" s="96" t="n">
        <v>45987</v>
      </c>
      <c r="M252" t="inlineStr">
        <is>
          <t>Staff Augmentation</t>
        </is>
      </c>
      <c r="N252" t="inlineStr">
        <is>
          <t>Portal</t>
        </is>
      </c>
      <c r="O252" t="inlineStr">
        <is>
          <t>Abhishek Zalani</t>
        </is>
      </c>
      <c r="Y252" t="inlineStr">
        <is>
          <t>2025-10-28</t>
        </is>
      </c>
      <c r="Z252" t="inlineStr">
        <is>
          <t>https://app.hubspot.com/contacts/243046792/record/0-3/202092460757</t>
        </is>
      </c>
    </row>
    <row r="253">
      <c r="A253" t="n">
        <v>252</v>
      </c>
      <c r="B253" t="inlineStr">
        <is>
          <t>212696340201</t>
        </is>
      </c>
      <c r="D253" t="inlineStr">
        <is>
          <t>Data Science Services</t>
        </is>
      </c>
      <c r="E253" t="inlineStr">
        <is>
          <t>District of Columbia Public Charter School Board</t>
        </is>
      </c>
      <c r="F253" t="inlineStr">
        <is>
          <t>Washington, D.C</t>
        </is>
      </c>
      <c r="G253" t="inlineStr">
        <is>
          <t>Closed Lost</t>
        </is>
      </c>
      <c r="H253" t="inlineStr">
        <is>
          <t>No</t>
        </is>
      </c>
      <c r="J253" s="96" t="n">
        <v>46014</v>
      </c>
      <c r="K253" s="96" t="n">
        <v>45987</v>
      </c>
      <c r="L253" s="65" t="n">
        <v>93600</v>
      </c>
      <c r="M253" t="inlineStr">
        <is>
          <t>Staff Augmentation</t>
        </is>
      </c>
      <c r="O253" t="inlineStr">
        <is>
          <t>Ashutosh Chauhan</t>
        </is>
      </c>
      <c r="Y253" t="inlineStr">
        <is>
          <t>2025-11-10</t>
        </is>
      </c>
      <c r="Z253" t="inlineStr">
        <is>
          <t>https://app.hubspot.com/contacts/243046792/record/0-3/212696340201</t>
        </is>
      </c>
    </row>
    <row r="254">
      <c r="A254" t="n">
        <v>253</v>
      </c>
      <c r="B254" t="inlineStr">
        <is>
          <t>211157798649</t>
        </is>
      </c>
      <c r="D254" t="inlineStr">
        <is>
          <t>Data Analytics Engineering services for PostgreSQL databases hosted on AWS</t>
        </is>
      </c>
      <c r="E254" t="inlineStr">
        <is>
          <t>District of Columbia Public Charter School Board</t>
        </is>
      </c>
      <c r="F254" t="inlineStr">
        <is>
          <t>Washington, D.C</t>
        </is>
      </c>
      <c r="G254" t="inlineStr">
        <is>
          <t>Closed Lost</t>
        </is>
      </c>
      <c r="H254" t="inlineStr">
        <is>
          <t>No</t>
        </is>
      </c>
      <c r="J254" s="96" t="n">
        <v>46014</v>
      </c>
      <c r="K254" s="96" t="n">
        <v>45987</v>
      </c>
      <c r="L254" s="65" t="n">
        <v>100800</v>
      </c>
      <c r="M254" t="inlineStr">
        <is>
          <t>Staff Augmentation</t>
        </is>
      </c>
      <c r="O254" t="inlineStr">
        <is>
          <t>Ashutosh Chauhan</t>
        </is>
      </c>
      <c r="Y254" t="inlineStr">
        <is>
          <t>2025-11-05</t>
        </is>
      </c>
      <c r="Z254" t="inlineStr">
        <is>
          <t>https://app.hubspot.com/contacts/243046792/record/0-3/211157798649</t>
        </is>
      </c>
    </row>
    <row r="255">
      <c r="A255" t="n">
        <v>254</v>
      </c>
      <c r="B255" t="inlineStr">
        <is>
          <t>218429303540</t>
        </is>
      </c>
      <c r="D255" t="inlineStr">
        <is>
          <t xml:space="preserve">PROFESSIONAL SERVICES </t>
        </is>
      </c>
      <c r="E255" t="inlineStr">
        <is>
          <t>Manchester Township</t>
        </is>
      </c>
      <c r="F255" t="inlineStr">
        <is>
          <t>New Jersey</t>
        </is>
      </c>
      <c r="G255" t="inlineStr">
        <is>
          <t>Closed Lost</t>
        </is>
      </c>
      <c r="H255" t="inlineStr">
        <is>
          <t>No</t>
        </is>
      </c>
      <c r="J255" s="96" t="n">
        <v>46027</v>
      </c>
      <c r="K255" s="96" t="n">
        <v>45987</v>
      </c>
      <c r="M255" t="inlineStr">
        <is>
          <t>Managed Services (MSP)</t>
        </is>
      </c>
      <c r="N255" t="inlineStr">
        <is>
          <t>Portal</t>
        </is>
      </c>
      <c r="O255" t="inlineStr">
        <is>
          <t>Jyothsna Nanda kishore</t>
        </is>
      </c>
      <c r="Y255" t="inlineStr">
        <is>
          <t>2025-11-13</t>
        </is>
      </c>
      <c r="Z255" t="inlineStr">
        <is>
          <t>https://app.hubspot.com/contacts/243046792/record/0-3/218429303540</t>
        </is>
      </c>
    </row>
    <row r="256">
      <c r="A256" t="n">
        <v>255</v>
      </c>
      <c r="B256" t="inlineStr">
        <is>
          <t>203233554153</t>
        </is>
      </c>
      <c r="D256" t="inlineStr">
        <is>
          <t>IT Legacy Systems Replacement</t>
        </is>
      </c>
      <c r="E256" t="inlineStr">
        <is>
          <t xml:space="preserve">California State Auditor s Office </t>
        </is>
      </c>
      <c r="F256" t="inlineStr">
        <is>
          <t>California</t>
        </is>
      </c>
      <c r="G256" t="inlineStr">
        <is>
          <t>Submitted</t>
        </is>
      </c>
      <c r="H256" t="inlineStr">
        <is>
          <t>No</t>
        </is>
      </c>
      <c r="J256" s="96" t="n">
        <v>45995</v>
      </c>
      <c r="K256" s="96" t="n">
        <v>45988</v>
      </c>
      <c r="M256" t="inlineStr">
        <is>
          <t>Modernization / Migration</t>
        </is>
      </c>
      <c r="O256" t="inlineStr">
        <is>
          <t>Jyothsna Nanda kishore</t>
        </is>
      </c>
      <c r="Y256" t="inlineStr">
        <is>
          <t>2025-10-30</t>
        </is>
      </c>
      <c r="Z256" t="inlineStr">
        <is>
          <t>https://app.hubspot.com/contacts/243046792/record/0-3/203233554153</t>
        </is>
      </c>
    </row>
    <row r="257">
      <c r="A257" t="n">
        <v>256</v>
      </c>
      <c r="B257" t="inlineStr">
        <is>
          <t>216637087420</t>
        </is>
      </c>
      <c r="D257" t="inlineStr">
        <is>
          <t>NERC-CIP Cyber Security Consultant</t>
        </is>
      </c>
      <c r="E257" t="inlineStr">
        <is>
          <t>Lansing Board of Water and Light</t>
        </is>
      </c>
      <c r="F257" t="inlineStr">
        <is>
          <t>Michigan</t>
        </is>
      </c>
      <c r="G257" t="inlineStr">
        <is>
          <t>Submitted</t>
        </is>
      </c>
      <c r="H257" t="inlineStr">
        <is>
          <t>No</t>
        </is>
      </c>
      <c r="J257" s="96" t="n">
        <v>45986</v>
      </c>
      <c r="K257" s="96" t="n">
        <v>45991</v>
      </c>
      <c r="M257" t="inlineStr">
        <is>
          <t>Consulting;Staff Augmentation</t>
        </is>
      </c>
      <c r="N257" t="inlineStr">
        <is>
          <t>Portal</t>
        </is>
      </c>
      <c r="O257" t="inlineStr">
        <is>
          <t>Abhishek Zalani</t>
        </is>
      </c>
      <c r="Y257" t="inlineStr">
        <is>
          <t>2025-11-11</t>
        </is>
      </c>
      <c r="Z257" t="inlineStr">
        <is>
          <t>https://app.hubspot.com/contacts/243046792/record/0-3/216637087420</t>
        </is>
      </c>
    </row>
    <row r="258">
      <c r="A258" t="n">
        <v>257</v>
      </c>
      <c r="B258" t="inlineStr">
        <is>
          <t>221717095098</t>
        </is>
      </c>
      <c r="D258" t="inlineStr">
        <is>
          <t>Microsoft 365 G5 Plan 2 Licenses</t>
        </is>
      </c>
      <c r="E258" t="inlineStr">
        <is>
          <t>City of Warren</t>
        </is>
      </c>
      <c r="F258" t="inlineStr">
        <is>
          <t>Michigan</t>
        </is>
      </c>
      <c r="G258" t="inlineStr">
        <is>
          <t>Submitted</t>
        </is>
      </c>
      <c r="H258" t="inlineStr">
        <is>
          <t>No</t>
        </is>
      </c>
      <c r="J258" s="96" t="n">
        <v>45987</v>
      </c>
      <c r="K258" s="96" t="n">
        <v>45991</v>
      </c>
      <c r="L258" s="65" t="n">
        <v>906663</v>
      </c>
      <c r="N258" t="inlineStr">
        <is>
          <t>Portal</t>
        </is>
      </c>
      <c r="O258" t="inlineStr">
        <is>
          <t>Abhishek Zalani</t>
        </is>
      </c>
      <c r="Y258" t="inlineStr">
        <is>
          <t>2025-11-17</t>
        </is>
      </c>
      <c r="Z258" t="inlineStr">
        <is>
          <t>https://app.hubspot.com/contacts/243046792/record/0-3/221717095098</t>
        </is>
      </c>
    </row>
    <row r="259">
      <c r="A259" t="n">
        <v>258</v>
      </c>
      <c r="B259" t="inlineStr">
        <is>
          <t>209420244717</t>
        </is>
      </c>
      <c r="C259" t="inlineStr">
        <is>
          <t>P26001</t>
        </is>
      </c>
      <c r="D259" t="inlineStr">
        <is>
          <t>Allen Metropolitan Housing Authority - IT Services</t>
        </is>
      </c>
      <c r="E259" t="inlineStr">
        <is>
          <t>Allen Metropolitan Housing Authority</t>
        </is>
      </c>
      <c r="F259" t="inlineStr">
        <is>
          <t>Ohio</t>
        </is>
      </c>
      <c r="G259" t="inlineStr">
        <is>
          <t>Closed Lost</t>
        </is>
      </c>
      <c r="H259" t="inlineStr">
        <is>
          <t>Yes</t>
        </is>
      </c>
      <c r="I259" t="inlineStr">
        <is>
          <t>Interview</t>
        </is>
      </c>
      <c r="J259" s="96" t="n">
        <v>46280</v>
      </c>
      <c r="K259" s="96" t="n">
        <v>45992</v>
      </c>
      <c r="L259" s="65" t="n">
        <v>33200</v>
      </c>
      <c r="M259" t="inlineStr">
        <is>
          <t>Managed Services (MSP)</t>
        </is>
      </c>
      <c r="N259" t="inlineStr">
        <is>
          <t>Offline</t>
        </is>
      </c>
      <c r="O259" t="inlineStr">
        <is>
          <t>Ashutosh Chauhan</t>
        </is>
      </c>
      <c r="P259" t="inlineStr">
        <is>
          <t>Interview Scheduled</t>
        </is>
      </c>
      <c r="Q259" t="inlineStr">
        <is>
          <t>2026-03-16</t>
        </is>
      </c>
      <c r="S259" s="96" t="n"/>
      <c r="Y259" t="inlineStr">
        <is>
          <t>2025-11-03</t>
        </is>
      </c>
      <c r="Z259" t="inlineStr">
        <is>
          <t>https://app.hubspot.com/contacts/243046792/record/0-3/209420244717</t>
        </is>
      </c>
    </row>
    <row r="260">
      <c r="A260" t="n">
        <v>259</v>
      </c>
      <c r="B260" t="inlineStr">
        <is>
          <t>224457121527</t>
        </is>
      </c>
      <c r="D260" t="inlineStr">
        <is>
          <t>IT Support</t>
        </is>
      </c>
      <c r="E260" t="inlineStr">
        <is>
          <t>Township of Mantua</t>
        </is>
      </c>
      <c r="F260" t="inlineStr">
        <is>
          <t>New Jersey</t>
        </is>
      </c>
      <c r="G260" t="inlineStr">
        <is>
          <t>Submitted</t>
        </is>
      </c>
      <c r="H260" t="inlineStr">
        <is>
          <t>No</t>
        </is>
      </c>
      <c r="J260" s="96" t="n">
        <v>45993</v>
      </c>
      <c r="K260" s="96" t="n">
        <v>45992</v>
      </c>
      <c r="M260" t="inlineStr">
        <is>
          <t>Support &amp; Maintenance</t>
        </is>
      </c>
      <c r="O260" t="inlineStr">
        <is>
          <t>Abhishek Zalani</t>
        </is>
      </c>
      <c r="Y260" t="inlineStr">
        <is>
          <t>2025-11-24</t>
        </is>
      </c>
      <c r="Z260" t="inlineStr">
        <is>
          <t>https://app.hubspot.com/contacts/243046792/record/0-3/224457121527</t>
        </is>
      </c>
    </row>
    <row r="261">
      <c r="A261" t="n">
        <v>260</v>
      </c>
      <c r="B261" t="inlineStr">
        <is>
          <t>201731879633</t>
        </is>
      </c>
      <c r="C261" t="inlineStr">
        <is>
          <t xml:space="preserve">RFP 1001-26 </t>
        </is>
      </c>
      <c r="D261" t="inlineStr">
        <is>
          <t xml:space="preserve">Artificial Intelligence </t>
        </is>
      </c>
      <c r="E261" t="inlineStr">
        <is>
          <t xml:space="preserve">COMMUNITY HEALTHCORE </t>
        </is>
      </c>
      <c r="F261" t="inlineStr">
        <is>
          <t>Texas</t>
        </is>
      </c>
      <c r="G261" t="inlineStr">
        <is>
          <t>Interview</t>
        </is>
      </c>
      <c r="H261" t="inlineStr">
        <is>
          <t>Yes</t>
        </is>
      </c>
      <c r="I261" t="inlineStr">
        <is>
          <t>Interview</t>
        </is>
      </c>
      <c r="J261" s="96" t="n">
        <v>45993</v>
      </c>
      <c r="K261" s="96" t="n">
        <v>45993</v>
      </c>
      <c r="L261" s="65" t="n">
        <v>102900</v>
      </c>
      <c r="M261" t="inlineStr">
        <is>
          <t>Modernization / Migration</t>
        </is>
      </c>
      <c r="N261" t="inlineStr">
        <is>
          <t>Email</t>
        </is>
      </c>
      <c r="O261" t="inlineStr">
        <is>
          <t>Ashutosh Chauhan</t>
        </is>
      </c>
      <c r="P261" t="inlineStr">
        <is>
          <t>Interview Scheduled</t>
        </is>
      </c>
      <c r="Q261" t="inlineStr">
        <is>
          <t>2026-06-25</t>
        </is>
      </c>
      <c r="Y261" t="inlineStr">
        <is>
          <t>2025-10-28</t>
        </is>
      </c>
      <c r="Z261" t="inlineStr">
        <is>
          <t>https://app.hubspot.com/contacts/243046792/record/0-3/201731879633</t>
        </is>
      </c>
    </row>
    <row r="262">
      <c r="A262" t="n">
        <v>261</v>
      </c>
      <c r="B262" t="inlineStr">
        <is>
          <t>253070244584</t>
        </is>
      </c>
      <c r="D262" t="inlineStr">
        <is>
          <t>Website Theme Upgrade and Compatibility Improvements</t>
        </is>
      </c>
      <c r="E262" t="inlineStr">
        <is>
          <t>Collier County</t>
        </is>
      </c>
      <c r="F262" t="inlineStr">
        <is>
          <t>Florida</t>
        </is>
      </c>
      <c r="G262" t="inlineStr">
        <is>
          <t>Submitted</t>
        </is>
      </c>
      <c r="H262" t="inlineStr">
        <is>
          <t>No</t>
        </is>
      </c>
      <c r="J262" s="96" t="n">
        <v>45994</v>
      </c>
      <c r="K262" s="96" t="n">
        <v>45994</v>
      </c>
      <c r="M262" t="inlineStr">
        <is>
          <t>Consulting</t>
        </is>
      </c>
      <c r="O262" t="inlineStr">
        <is>
          <t>Vinay Srinivasan</t>
        </is>
      </c>
      <c r="Y262" t="inlineStr">
        <is>
          <t>2026-01-06</t>
        </is>
      </c>
      <c r="Z262" t="inlineStr">
        <is>
          <t>https://app.hubspot.com/contacts/243046792/record/0-3/253070244584</t>
        </is>
      </c>
    </row>
    <row r="263">
      <c r="A263" t="n">
        <v>262</v>
      </c>
      <c r="B263" t="inlineStr">
        <is>
          <t>200525516480</t>
        </is>
      </c>
      <c r="D263" t="inlineStr">
        <is>
          <t>INFORMATION AND CYBERSECURITY SERVICES</t>
        </is>
      </c>
      <c r="E263" t="inlineStr">
        <is>
          <t xml:space="preserve">Washington State Department of Enterprise Services </t>
        </is>
      </c>
      <c r="F263" t="inlineStr">
        <is>
          <t>Washington</t>
        </is>
      </c>
      <c r="G263" t="inlineStr">
        <is>
          <t>Submitted</t>
        </is>
      </c>
      <c r="H263" t="inlineStr">
        <is>
          <t>No</t>
        </is>
      </c>
      <c r="J263" s="96" t="n">
        <v>45994</v>
      </c>
      <c r="K263" s="96" t="n">
        <v>45994</v>
      </c>
      <c r="M263" t="inlineStr">
        <is>
          <t>Managed Services (MSP);Staff Augmentation;Support &amp; Maintenance;Consulting</t>
        </is>
      </c>
      <c r="O263" t="inlineStr">
        <is>
          <t>Jyothsna Nanda kishore</t>
        </is>
      </c>
      <c r="Y263" t="inlineStr">
        <is>
          <t>2025-10-28</t>
        </is>
      </c>
      <c r="Z263" t="inlineStr">
        <is>
          <t>https://app.hubspot.com/contacts/243046792/record/0-3/200525516480</t>
        </is>
      </c>
    </row>
    <row r="264">
      <c r="A264" t="n">
        <v>263</v>
      </c>
      <c r="B264" t="inlineStr">
        <is>
          <t>195160456927</t>
        </is>
      </c>
      <c r="D264" t="inlineStr">
        <is>
          <t>Airport IT Staff Augmentation Services (Rebid)</t>
        </is>
      </c>
      <c r="E264" t="inlineStr">
        <is>
          <t>City of Colorado Springs</t>
        </is>
      </c>
      <c r="F264" t="inlineStr">
        <is>
          <t>Colorado</t>
        </is>
      </c>
      <c r="G264" t="inlineStr">
        <is>
          <t>Submitted</t>
        </is>
      </c>
      <c r="H264" t="inlineStr">
        <is>
          <t>No</t>
        </is>
      </c>
      <c r="J264" s="96" t="n">
        <v>45994</v>
      </c>
      <c r="K264" s="96" t="n">
        <v>45994</v>
      </c>
      <c r="M264" t="inlineStr">
        <is>
          <t>Staff Augmentation</t>
        </is>
      </c>
      <c r="O264" t="inlineStr">
        <is>
          <t>Ashutosh Chauhan</t>
        </is>
      </c>
      <c r="Y264" t="inlineStr">
        <is>
          <t>2025-10-23</t>
        </is>
      </c>
      <c r="Z264" t="inlineStr">
        <is>
          <t>https://app.hubspot.com/contacts/243046792/record/0-3/195160456927</t>
        </is>
      </c>
    </row>
    <row r="265">
      <c r="A265" t="n">
        <v>264</v>
      </c>
      <c r="B265" t="inlineStr">
        <is>
          <t>217562393327</t>
        </is>
      </c>
      <c r="D265" t="inlineStr">
        <is>
          <t>IT Staff Augmentation Services</t>
        </is>
      </c>
      <c r="E265" t="inlineStr">
        <is>
          <t>University of Maryland Global Campus (UMGC)</t>
        </is>
      </c>
      <c r="F265" t="inlineStr">
        <is>
          <t>Maryland</t>
        </is>
      </c>
      <c r="G265" t="inlineStr">
        <is>
          <t>Closed Lost</t>
        </is>
      </c>
      <c r="H265" t="inlineStr">
        <is>
          <t>No</t>
        </is>
      </c>
      <c r="J265" s="96" t="n">
        <v>46219</v>
      </c>
      <c r="K265" s="96" t="n">
        <v>45995</v>
      </c>
      <c r="M265" t="inlineStr">
        <is>
          <t>Staff Augmentation</t>
        </is>
      </c>
      <c r="N265" t="inlineStr">
        <is>
          <t>Portal</t>
        </is>
      </c>
      <c r="O265" t="inlineStr">
        <is>
          <t>Jyothsna Nanda kishore</t>
        </is>
      </c>
      <c r="Y265" t="inlineStr">
        <is>
          <t>2025-11-13</t>
        </is>
      </c>
      <c r="Z265" t="inlineStr">
        <is>
          <t>https://app.hubspot.com/contacts/243046792/record/0-3/217562393327</t>
        </is>
      </c>
    </row>
    <row r="266">
      <c r="A266" t="n">
        <v>265</v>
      </c>
      <c r="B266" t="inlineStr">
        <is>
          <t>211158518511</t>
        </is>
      </c>
      <c r="D266" t="inlineStr">
        <is>
          <t>OFF-Computer Systems, Software Applications &amp; General Maintenance/IT Services</t>
        </is>
      </c>
      <c r="E266" t="inlineStr">
        <is>
          <t>Township of West Caldwell</t>
        </is>
      </c>
      <c r="F266" t="inlineStr">
        <is>
          <t>New Jersey</t>
        </is>
      </c>
      <c r="G266" t="inlineStr">
        <is>
          <t>Submitted</t>
        </is>
      </c>
      <c r="H266" t="inlineStr">
        <is>
          <t>No</t>
        </is>
      </c>
      <c r="J266" s="96" t="n">
        <v>45996</v>
      </c>
      <c r="K266" s="96" t="n">
        <v>45995</v>
      </c>
      <c r="L266" s="65" t="n">
        <v>29940</v>
      </c>
      <c r="M266" t="inlineStr">
        <is>
          <t>Managed Services (MSP)</t>
        </is>
      </c>
      <c r="N266" t="inlineStr">
        <is>
          <t>Offline</t>
        </is>
      </c>
      <c r="O266" t="inlineStr">
        <is>
          <t>Ashutosh Chauhan</t>
        </is>
      </c>
      <c r="Y266" t="inlineStr">
        <is>
          <t>2025-11-05</t>
        </is>
      </c>
      <c r="Z266" t="inlineStr">
        <is>
          <t>https://app.hubspot.com/contacts/243046792/record/0-3/211158518511</t>
        </is>
      </c>
    </row>
    <row r="267">
      <c r="A267" t="n">
        <v>266</v>
      </c>
      <c r="B267" t="inlineStr">
        <is>
          <t>231112581865</t>
        </is>
      </c>
      <c r="D267" t="inlineStr">
        <is>
          <t xml:space="preserve">Integrated Data Management System </t>
        </is>
      </c>
      <c r="E267" t="inlineStr">
        <is>
          <t xml:space="preserve">County of York </t>
        </is>
      </c>
      <c r="F267" t="inlineStr">
        <is>
          <t>Pennsylvania</t>
        </is>
      </c>
      <c r="G267" t="inlineStr">
        <is>
          <t>Submitted</t>
        </is>
      </c>
      <c r="H267" t="inlineStr">
        <is>
          <t>No</t>
        </is>
      </c>
      <c r="J267" s="96" t="n">
        <v>45996</v>
      </c>
      <c r="K267" s="96" t="n">
        <v>45996</v>
      </c>
      <c r="M267" t="inlineStr">
        <is>
          <t>Consulting</t>
        </is>
      </c>
      <c r="N267" t="inlineStr">
        <is>
          <t>Portal</t>
        </is>
      </c>
      <c r="O267" t="inlineStr">
        <is>
          <t>Ashutosh Chauhan</t>
        </is>
      </c>
      <c r="Y267" s="96" t="n">
        <v>45992</v>
      </c>
      <c r="Z267" t="inlineStr">
        <is>
          <t>https://app.hubspot.com/contacts/243046792/record/0-3/231112581865</t>
        </is>
      </c>
    </row>
    <row r="268">
      <c r="A268" t="n">
        <v>267</v>
      </c>
      <c r="B268" t="inlineStr">
        <is>
          <t>227566173914</t>
        </is>
      </c>
      <c r="D268" t="inlineStr">
        <is>
          <t>Digital Platform Maintenance and Enhancement for H2Ohio Administration</t>
        </is>
      </c>
      <c r="E268" t="inlineStr">
        <is>
          <t xml:space="preserve">Ohio Department of Agriculture </t>
        </is>
      </c>
      <c r="F268" t="inlineStr">
        <is>
          <t>Ohio</t>
        </is>
      </c>
      <c r="G268" t="inlineStr">
        <is>
          <t>Submitted</t>
        </is>
      </c>
      <c r="H268" t="inlineStr">
        <is>
          <t>No</t>
        </is>
      </c>
      <c r="J268" s="96" t="n">
        <v>45996</v>
      </c>
      <c r="K268" s="96" t="n">
        <v>45996</v>
      </c>
      <c r="M268" t="inlineStr">
        <is>
          <t>Support &amp; Maintenance</t>
        </is>
      </c>
      <c r="O268" t="inlineStr">
        <is>
          <t>Abhishek Zalani</t>
        </is>
      </c>
      <c r="Y268" t="inlineStr">
        <is>
          <t>2025-11-25</t>
        </is>
      </c>
      <c r="Z268" t="inlineStr">
        <is>
          <t>https://app.hubspot.com/contacts/243046792/record/0-3/227566173914</t>
        </is>
      </c>
    </row>
    <row r="269">
      <c r="A269" t="n">
        <v>268</v>
      </c>
      <c r="B269" t="inlineStr">
        <is>
          <t>220701567684</t>
        </is>
      </c>
      <c r="D269" t="inlineStr">
        <is>
          <t xml:space="preserve">Microsoft Licensing 2025 </t>
        </is>
      </c>
      <c r="E269" t="inlineStr">
        <is>
          <t>Wentzville School District</t>
        </is>
      </c>
      <c r="F269" t="inlineStr">
        <is>
          <t>Missouri</t>
        </is>
      </c>
      <c r="G269" t="inlineStr">
        <is>
          <t>Closed Lost</t>
        </is>
      </c>
      <c r="H269" t="inlineStr">
        <is>
          <t>No</t>
        </is>
      </c>
      <c r="J269" s="96" t="n">
        <v>46289</v>
      </c>
      <c r="K269" s="96" t="n">
        <v>45996</v>
      </c>
      <c r="L269" s="65" t="n">
        <v>224355</v>
      </c>
      <c r="M269" t="inlineStr">
        <is>
          <t>Reseller</t>
        </is>
      </c>
      <c r="O269" t="inlineStr">
        <is>
          <t>Jyothsna Nanda kishore</t>
        </is>
      </c>
      <c r="Y269" t="inlineStr">
        <is>
          <t>2025-11-17</t>
        </is>
      </c>
      <c r="Z269" t="inlineStr">
        <is>
          <t>https://app.hubspot.com/contacts/243046792/record/0-3/220701567684</t>
        </is>
      </c>
    </row>
    <row r="270">
      <c r="A270" t="n">
        <v>269</v>
      </c>
      <c r="B270" t="inlineStr">
        <is>
          <t>225968263907</t>
        </is>
      </c>
      <c r="D270" t="inlineStr">
        <is>
          <t xml:space="preserve"> Information Technology Microsoft 365 Licensing for 2026</t>
        </is>
      </c>
      <c r="E270" t="inlineStr">
        <is>
          <t xml:space="preserve">Barton County </t>
        </is>
      </c>
      <c r="F270" t="inlineStr">
        <is>
          <t>Kansas</t>
        </is>
      </c>
      <c r="G270" t="inlineStr">
        <is>
          <t>Submitted</t>
        </is>
      </c>
      <c r="H270" t="inlineStr">
        <is>
          <t>No</t>
        </is>
      </c>
      <c r="J270" s="96" t="n">
        <v>45996</v>
      </c>
      <c r="K270" s="96" t="n">
        <v>45996</v>
      </c>
      <c r="M270" t="inlineStr">
        <is>
          <t>Reseller</t>
        </is>
      </c>
      <c r="N270" t="inlineStr">
        <is>
          <t>Portal</t>
        </is>
      </c>
      <c r="O270" t="inlineStr">
        <is>
          <t>Ashutosh Chauhan</t>
        </is>
      </c>
      <c r="Y270" t="inlineStr">
        <is>
          <t>2025-11-24</t>
        </is>
      </c>
      <c r="Z270" t="inlineStr">
        <is>
          <t>https://app.hubspot.com/contacts/243046792/record/0-3/225968263907</t>
        </is>
      </c>
    </row>
    <row r="271">
      <c r="A271" t="n">
        <v>270</v>
      </c>
      <c r="B271" t="inlineStr">
        <is>
          <t>197783925452</t>
        </is>
      </c>
      <c r="D271" t="inlineStr">
        <is>
          <t>IT Assessment &amp; Modernization at CU Boulder</t>
        </is>
      </c>
      <c r="E271" t="inlineStr">
        <is>
          <t>University of Colorado</t>
        </is>
      </c>
      <c r="F271" t="inlineStr">
        <is>
          <t>Colorado</t>
        </is>
      </c>
      <c r="G271" t="inlineStr">
        <is>
          <t>Closed Lost</t>
        </is>
      </c>
      <c r="H271" t="inlineStr">
        <is>
          <t>Yes</t>
        </is>
      </c>
      <c r="I271" t="inlineStr">
        <is>
          <t>Interview</t>
        </is>
      </c>
      <c r="J271" s="96" t="n">
        <v>46178</v>
      </c>
      <c r="K271" s="96" t="n">
        <v>45996</v>
      </c>
      <c r="L271" s="65" t="n">
        <v>184215</v>
      </c>
      <c r="M271" t="inlineStr">
        <is>
          <t>Consulting</t>
        </is>
      </c>
      <c r="N271" t="inlineStr">
        <is>
          <t>Portal</t>
        </is>
      </c>
      <c r="O271" t="inlineStr">
        <is>
          <t>Jyothsna Nanda kishore</t>
        </is>
      </c>
      <c r="P271" t="inlineStr">
        <is>
          <t>Interview Scheduled</t>
        </is>
      </c>
      <c r="Q271" t="inlineStr">
        <is>
          <t>2026-02-20</t>
        </is>
      </c>
      <c r="Y271" t="inlineStr">
        <is>
          <t>2025-10-28</t>
        </is>
      </c>
      <c r="Z271" t="inlineStr">
        <is>
          <t>https://app.hubspot.com/contacts/243046792/record/0-3/197783925452</t>
        </is>
      </c>
    </row>
    <row r="272">
      <c r="A272" t="n">
        <v>271</v>
      </c>
      <c r="B272" t="inlineStr">
        <is>
          <t>181354391289</t>
        </is>
      </c>
      <c r="D272" t="inlineStr">
        <is>
          <t>Salesforce Customer Relationship Management (CRM) Implementation Services</t>
        </is>
      </c>
      <c r="E272" t="inlineStr">
        <is>
          <t>San Mateo County Transit District</t>
        </is>
      </c>
      <c r="F272" t="inlineStr">
        <is>
          <t>California</t>
        </is>
      </c>
      <c r="G272" t="inlineStr">
        <is>
          <t>Closed Lost</t>
        </is>
      </c>
      <c r="H272" t="inlineStr">
        <is>
          <t>No</t>
        </is>
      </c>
      <c r="J272" s="96" t="n">
        <v>46136</v>
      </c>
      <c r="K272" s="96" t="n">
        <v>45996</v>
      </c>
      <c r="L272" s="65" t="n">
        <v>65784</v>
      </c>
      <c r="M272" t="inlineStr">
        <is>
          <t>Platform Implementation (ERP, CRMs)</t>
        </is>
      </c>
      <c r="N272" t="inlineStr">
        <is>
          <t>Portal</t>
        </is>
      </c>
      <c r="O272" t="inlineStr">
        <is>
          <t>Ashutosh Chauhan</t>
        </is>
      </c>
      <c r="Y272" t="inlineStr">
        <is>
          <t>2025-10-08</t>
        </is>
      </c>
      <c r="Z272" t="inlineStr">
        <is>
          <t>https://app.hubspot.com/contacts/243046792/record/0-3/181354391289</t>
        </is>
      </c>
    </row>
    <row r="273">
      <c r="A273" t="n">
        <v>272</v>
      </c>
      <c r="B273" t="inlineStr">
        <is>
          <t>202061536982</t>
        </is>
      </c>
      <c r="D273" t="inlineStr">
        <is>
          <t>New Mexico Finance Authority  (NMFA) - INFORMATION TECHNOLOGY (IT) MANAGED SERVICE PROVIDER AND NETWORK OPERATIONS CENTER (NOC)</t>
        </is>
      </c>
      <c r="E273" t="inlineStr">
        <is>
          <t xml:space="preserve">New Mexico Finance Authority (“NMFA”) </t>
        </is>
      </c>
      <c r="F273" t="inlineStr">
        <is>
          <t>New Mexico</t>
        </is>
      </c>
      <c r="G273" t="inlineStr">
        <is>
          <t>Closed Won</t>
        </is>
      </c>
      <c r="H273" t="inlineStr">
        <is>
          <t>Yes</t>
        </is>
      </c>
      <c r="I273" t="inlineStr">
        <is>
          <t>BAFO</t>
        </is>
      </c>
      <c r="J273" s="96" t="n">
        <v>46142</v>
      </c>
      <c r="K273" s="96" t="n">
        <v>45996</v>
      </c>
      <c r="L273" s="65" t="n">
        <v>351426</v>
      </c>
      <c r="M273" t="inlineStr">
        <is>
          <t>Managed Services (MSP)</t>
        </is>
      </c>
      <c r="N273" t="inlineStr">
        <is>
          <t>Email</t>
        </is>
      </c>
      <c r="O273" t="inlineStr">
        <is>
          <t>Ashutosh Chauhan</t>
        </is>
      </c>
      <c r="P273" t="inlineStr">
        <is>
          <t>Interview Scheduled</t>
        </is>
      </c>
      <c r="Q273" t="inlineStr">
        <is>
          <t>2026-02-13</t>
        </is>
      </c>
      <c r="R273" t="inlineStr">
        <is>
          <t>2026-01-20</t>
        </is>
      </c>
      <c r="S273" t="inlineStr">
        <is>
          <t>2026-02-19</t>
        </is>
      </c>
      <c r="U273" s="96" t="n">
        <v>46141</v>
      </c>
      <c r="Y273" t="inlineStr">
        <is>
          <t>2025-10-28</t>
        </is>
      </c>
      <c r="Z273" t="inlineStr">
        <is>
          <t>https://app.hubspot.com/contacts/243046792/record/0-3/202061536982</t>
        </is>
      </c>
      <c r="AA273" t="inlineStr">
        <is>
          <t>Yes</t>
        </is>
      </c>
    </row>
    <row r="274">
      <c r="A274" t="n">
        <v>273</v>
      </c>
      <c r="B274" t="inlineStr">
        <is>
          <t>213938568948</t>
        </is>
      </c>
      <c r="D274" t="inlineStr">
        <is>
          <t>Managed Detection and Response (MDR) Services</t>
        </is>
      </c>
      <c r="E274" t="inlineStr">
        <is>
          <t>City of Pasadena</t>
        </is>
      </c>
      <c r="F274" t="inlineStr">
        <is>
          <t>California</t>
        </is>
      </c>
      <c r="G274" t="inlineStr">
        <is>
          <t>Closed Lost</t>
        </is>
      </c>
      <c r="H274" t="inlineStr">
        <is>
          <t>No</t>
        </is>
      </c>
      <c r="J274" s="96" t="n">
        <v>46189</v>
      </c>
      <c r="K274" s="96" t="n">
        <v>45996</v>
      </c>
      <c r="M274" t="inlineStr">
        <is>
          <t>Managed Services (MSP)</t>
        </is>
      </c>
      <c r="N274" t="inlineStr">
        <is>
          <t>Portal</t>
        </is>
      </c>
      <c r="O274" t="inlineStr">
        <is>
          <t>Ashutosh Chauhan</t>
        </is>
      </c>
      <c r="Y274" t="inlineStr">
        <is>
          <t>2025-11-10</t>
        </is>
      </c>
      <c r="Z274" t="inlineStr">
        <is>
          <t>https://app.hubspot.com/contacts/243046792/record/0-3/213938568948</t>
        </is>
      </c>
    </row>
    <row r="275">
      <c r="A275" t="n">
        <v>274</v>
      </c>
      <c r="B275" t="inlineStr">
        <is>
          <t>225970422482</t>
        </is>
      </c>
      <c r="D275" t="inlineStr">
        <is>
          <t xml:space="preserve"> INFORMATION TECHNOLOGY MANAGED SERVICES</t>
        </is>
      </c>
      <c r="E275" t="inlineStr">
        <is>
          <t>Village of Romeo</t>
        </is>
      </c>
      <c r="F275" t="inlineStr">
        <is>
          <t>Michigan</t>
        </is>
      </c>
      <c r="G275" t="inlineStr">
        <is>
          <t>Submitted</t>
        </is>
      </c>
      <c r="H275" t="inlineStr">
        <is>
          <t>No</t>
        </is>
      </c>
      <c r="J275" s="96" t="n">
        <v>45999</v>
      </c>
      <c r="K275" s="96" t="n">
        <v>45999</v>
      </c>
      <c r="M275" t="inlineStr">
        <is>
          <t>Managed Services (MSP)</t>
        </is>
      </c>
      <c r="N275" t="inlineStr">
        <is>
          <t>Offline</t>
        </is>
      </c>
      <c r="O275" t="inlineStr">
        <is>
          <t>Ashutosh Chauhan</t>
        </is>
      </c>
      <c r="Y275" s="96" t="n">
        <v>45985</v>
      </c>
      <c r="Z275" t="inlineStr">
        <is>
          <t>https://app.hubspot.com/contacts/243046792/record/0-3/225970422482</t>
        </is>
      </c>
    </row>
    <row r="276">
      <c r="A276" t="n">
        <v>275</v>
      </c>
      <c r="B276" t="inlineStr">
        <is>
          <t>229810011872</t>
        </is>
      </c>
      <c r="D276" t="inlineStr">
        <is>
          <t>myAlaska Mobile Application Enhancement</t>
        </is>
      </c>
      <c r="E276" t="inlineStr">
        <is>
          <t>Alaska Department of Administration</t>
        </is>
      </c>
      <c r="F276" t="inlineStr">
        <is>
          <t>Alaska</t>
        </is>
      </c>
      <c r="G276" t="inlineStr">
        <is>
          <t>Submitted</t>
        </is>
      </c>
      <c r="H276" t="inlineStr">
        <is>
          <t>No</t>
        </is>
      </c>
      <c r="J276" s="96" t="n">
        <v>45999</v>
      </c>
      <c r="K276" s="96" t="n">
        <v>45999</v>
      </c>
      <c r="M276" t="inlineStr">
        <is>
          <t>Modernization / Migration</t>
        </is>
      </c>
      <c r="O276" t="inlineStr">
        <is>
          <t>Ashutosh Chauhan</t>
        </is>
      </c>
      <c r="Y276" t="inlineStr">
        <is>
          <t>2025-11-30</t>
        </is>
      </c>
      <c r="Z276" t="inlineStr">
        <is>
          <t>https://app.hubspot.com/contacts/243046792/record/0-3/229810011872</t>
        </is>
      </c>
    </row>
    <row r="277">
      <c r="A277" t="n">
        <v>276</v>
      </c>
      <c r="B277" t="inlineStr">
        <is>
          <t>222885192383</t>
        </is>
      </c>
      <c r="D277" t="inlineStr">
        <is>
          <t>INFORMATION TECHNOLOGYPROFESSIONAL CONSULTANT</t>
        </is>
      </c>
      <c r="E277" t="inlineStr">
        <is>
          <t>City of Garfield</t>
        </is>
      </c>
      <c r="F277" t="inlineStr">
        <is>
          <t>New Jersey</t>
        </is>
      </c>
      <c r="G277" t="inlineStr">
        <is>
          <t>Closed Lost</t>
        </is>
      </c>
      <c r="H277" t="inlineStr">
        <is>
          <t>No</t>
        </is>
      </c>
      <c r="J277" s="96" t="n">
        <v>46171</v>
      </c>
      <c r="K277" s="96" t="n">
        <v>45999</v>
      </c>
      <c r="L277" s="65" t="n">
        <v>49800</v>
      </c>
      <c r="M277" t="inlineStr">
        <is>
          <t>Managed Services (MSP)</t>
        </is>
      </c>
      <c r="N277" t="inlineStr">
        <is>
          <t>Offline</t>
        </is>
      </c>
      <c r="O277" t="inlineStr">
        <is>
          <t>Jyothsna Nanda kishore</t>
        </is>
      </c>
      <c r="Y277" t="inlineStr">
        <is>
          <t>2025-11-19</t>
        </is>
      </c>
      <c r="Z277" t="inlineStr">
        <is>
          <t>https://app.hubspot.com/contacts/243046792/record/0-3/222885192383</t>
        </is>
      </c>
    </row>
    <row r="278">
      <c r="A278" t="n">
        <v>277</v>
      </c>
      <c r="B278" t="inlineStr">
        <is>
          <t>231962415825</t>
        </is>
      </c>
      <c r="D278" t="inlineStr">
        <is>
          <t>INFORMATION TECHNOLOGY PROFESSIONAL CONSULTANT</t>
        </is>
      </c>
      <c r="E278" t="inlineStr">
        <is>
          <t>Borough of Elmwood Park</t>
        </is>
      </c>
      <c r="F278" t="inlineStr">
        <is>
          <t>New Jersey</t>
        </is>
      </c>
      <c r="G278" t="inlineStr">
        <is>
          <t>Closed Lost</t>
        </is>
      </c>
      <c r="H278" t="inlineStr">
        <is>
          <t>No</t>
        </is>
      </c>
      <c r="J278" s="96" t="n">
        <v>46216</v>
      </c>
      <c r="K278" s="96" t="n">
        <v>45999</v>
      </c>
      <c r="L278" s="65" t="n">
        <v>29560</v>
      </c>
      <c r="M278" t="inlineStr">
        <is>
          <t>Consulting</t>
        </is>
      </c>
      <c r="N278" t="inlineStr">
        <is>
          <t>Offline</t>
        </is>
      </c>
      <c r="O278" t="inlineStr">
        <is>
          <t>Ashutosh Chauhan</t>
        </is>
      </c>
      <c r="Y278" t="inlineStr">
        <is>
          <t>2025-12-02</t>
        </is>
      </c>
      <c r="Z278" t="inlineStr">
        <is>
          <t>https://app.hubspot.com/contacts/243046792/record/0-3/231962415825</t>
        </is>
      </c>
    </row>
    <row r="279">
      <c r="A279" t="n">
        <v>278</v>
      </c>
      <c r="B279" t="inlineStr">
        <is>
          <t>231581420260</t>
        </is>
      </c>
      <c r="D279" t="inlineStr">
        <is>
          <t>New Castle County - Information Technology Services</t>
        </is>
      </c>
      <c r="E279" t="inlineStr">
        <is>
          <t>New Castle County</t>
        </is>
      </c>
      <c r="F279" t="inlineStr">
        <is>
          <t>Delaware</t>
        </is>
      </c>
      <c r="G279" t="inlineStr">
        <is>
          <t>Closed Won</t>
        </is>
      </c>
      <c r="H279" t="inlineStr">
        <is>
          <t>No</t>
        </is>
      </c>
      <c r="J279" s="96" t="n">
        <v>46083</v>
      </c>
      <c r="K279" s="96" t="n">
        <v>45999</v>
      </c>
      <c r="M279" t="inlineStr">
        <is>
          <t>Staff Augmentation</t>
        </is>
      </c>
      <c r="N279" t="inlineStr">
        <is>
          <t>Offline</t>
        </is>
      </c>
      <c r="O279" t="inlineStr">
        <is>
          <t>Jyothsna Nanda kishore</t>
        </is>
      </c>
      <c r="S279" t="inlineStr">
        <is>
          <t>2026-02-13</t>
        </is>
      </c>
      <c r="U279" s="96" t="n">
        <v>46066</v>
      </c>
      <c r="Y279" t="inlineStr">
        <is>
          <t>2025-12-02</t>
        </is>
      </c>
      <c r="Z279" t="inlineStr">
        <is>
          <t>https://app.hubspot.com/contacts/243046792/record/0-3/231581420260</t>
        </is>
      </c>
      <c r="AA279" t="inlineStr">
        <is>
          <t>No</t>
        </is>
      </c>
    </row>
    <row r="280">
      <c r="A280" t="n">
        <v>279</v>
      </c>
      <c r="B280" t="inlineStr">
        <is>
          <t>222376720086</t>
        </is>
      </c>
      <c r="D280" t="inlineStr">
        <is>
          <t>Human Resources Information Systems Solution and Implementation Services</t>
        </is>
      </c>
      <c r="E280" t="inlineStr">
        <is>
          <t>Village of Schaumburg</t>
        </is>
      </c>
      <c r="F280" t="inlineStr">
        <is>
          <t>Illinois</t>
        </is>
      </c>
      <c r="G280" t="inlineStr">
        <is>
          <t>Submitted</t>
        </is>
      </c>
      <c r="H280" t="inlineStr">
        <is>
          <t>No</t>
        </is>
      </c>
      <c r="J280" s="96" t="n">
        <v>46000</v>
      </c>
      <c r="K280" s="96" t="n">
        <v>46000</v>
      </c>
      <c r="M280" t="inlineStr">
        <is>
          <t>Platform Implementation (ERP, CRMs)</t>
        </is>
      </c>
      <c r="O280" t="inlineStr">
        <is>
          <t>Jyothsna Nanda kishore</t>
        </is>
      </c>
      <c r="Y280" t="inlineStr">
        <is>
          <t>2025-11-18</t>
        </is>
      </c>
      <c r="Z280" t="inlineStr">
        <is>
          <t>https://app.hubspot.com/contacts/243046792/record/0-3/222376720086</t>
        </is>
      </c>
    </row>
    <row r="281">
      <c r="A281" t="n">
        <v>280</v>
      </c>
      <c r="B281" t="inlineStr">
        <is>
          <t>201946444510</t>
        </is>
      </c>
      <c r="D281" t="inlineStr">
        <is>
          <t>Information Technology System Services</t>
        </is>
      </c>
      <c r="E281" t="inlineStr">
        <is>
          <t>City of South Amboy</t>
        </is>
      </c>
      <c r="F281" t="inlineStr">
        <is>
          <t>New Jersey</t>
        </is>
      </c>
      <c r="G281" t="inlineStr">
        <is>
          <t>Closed Lost</t>
        </is>
      </c>
      <c r="H281" t="inlineStr">
        <is>
          <t>No</t>
        </is>
      </c>
      <c r="J281" s="96" t="n">
        <v>46030</v>
      </c>
      <c r="K281" s="96" t="n">
        <v>46000</v>
      </c>
      <c r="M281" t="inlineStr">
        <is>
          <t>Managed Services (MSP)</t>
        </is>
      </c>
      <c r="N281" t="inlineStr">
        <is>
          <t>Offline</t>
        </is>
      </c>
      <c r="O281" t="inlineStr">
        <is>
          <t>Jyothsna Nanda kishore</t>
        </is>
      </c>
      <c r="Y281" t="inlineStr">
        <is>
          <t>2025-10-28</t>
        </is>
      </c>
      <c r="Z281" t="inlineStr">
        <is>
          <t>https://app.hubspot.com/contacts/243046792/record/0-3/201946444510</t>
        </is>
      </c>
    </row>
    <row r="282">
      <c r="A282" t="n">
        <v>281</v>
      </c>
      <c r="B282" t="inlineStr">
        <is>
          <t>209641963219</t>
        </is>
      </c>
      <c r="D282" t="inlineStr">
        <is>
          <t>OGC Case Management Solution</t>
        </is>
      </c>
      <c r="E282" t="inlineStr">
        <is>
          <t>Commonwealth of Pennsylvania</t>
        </is>
      </c>
      <c r="F282" t="inlineStr">
        <is>
          <t>Pennsylvania</t>
        </is>
      </c>
      <c r="G282" t="inlineStr">
        <is>
          <t>RFx Cancelled</t>
        </is>
      </c>
      <c r="H282" t="inlineStr">
        <is>
          <t>No</t>
        </is>
      </c>
      <c r="J282" s="96" t="n">
        <v>46030</v>
      </c>
      <c r="K282" s="96" t="n">
        <v>46000</v>
      </c>
      <c r="M282" t="inlineStr">
        <is>
          <t>Platform Implementation (ERP, CRMs)</t>
        </is>
      </c>
      <c r="O282" t="inlineStr">
        <is>
          <t>Jyothsna Nanda kishore</t>
        </is>
      </c>
      <c r="Y282" t="inlineStr">
        <is>
          <t>2025-11-03</t>
        </is>
      </c>
      <c r="Z282" t="inlineStr">
        <is>
          <t>https://app.hubspot.com/contacts/243046792/record/0-3/209641963219</t>
        </is>
      </c>
    </row>
    <row r="283">
      <c r="A283" t="n">
        <v>282</v>
      </c>
      <c r="B283" t="inlineStr">
        <is>
          <t>221448607441</t>
        </is>
      </c>
      <c r="D283" t="inlineStr">
        <is>
          <t>UML Salesforce IT Consultant</t>
        </is>
      </c>
      <c r="E283" t="inlineStr">
        <is>
          <t>University of Massachusetts Lowell</t>
        </is>
      </c>
      <c r="F283" t="inlineStr">
        <is>
          <t>Massachusetts</t>
        </is>
      </c>
      <c r="G283" t="inlineStr">
        <is>
          <t>Closed Lost</t>
        </is>
      </c>
      <c r="H283" t="inlineStr">
        <is>
          <t>No</t>
        </is>
      </c>
      <c r="J283" s="96" t="n">
        <v>46087</v>
      </c>
      <c r="K283" s="96" t="n">
        <v>46000</v>
      </c>
      <c r="M283" t="inlineStr">
        <is>
          <t>Consulting</t>
        </is>
      </c>
      <c r="O283" t="inlineStr">
        <is>
          <t>Jyothsna Nanda kishore</t>
        </is>
      </c>
      <c r="Y283" t="inlineStr">
        <is>
          <t>2025-11-17</t>
        </is>
      </c>
      <c r="Z283" t="inlineStr">
        <is>
          <t>https://app.hubspot.com/contacts/243046792/record/0-3/221448607441</t>
        </is>
      </c>
    </row>
    <row r="284">
      <c r="A284" t="n">
        <v>283</v>
      </c>
      <c r="B284" t="inlineStr">
        <is>
          <t>218273109715</t>
        </is>
      </c>
      <c r="D284" t="inlineStr">
        <is>
          <t>RIDER INFORMATION &amp; TRIP PLANNING PLATFORM SOLUTION</t>
        </is>
      </c>
      <c r="E284" t="inlineStr">
        <is>
          <t>Ben Franklin Transit</t>
        </is>
      </c>
      <c r="F284" t="inlineStr">
        <is>
          <t>Washington</t>
        </is>
      </c>
      <c r="G284" t="inlineStr">
        <is>
          <t>Closed Lost</t>
        </is>
      </c>
      <c r="H284" t="inlineStr">
        <is>
          <t>Yes</t>
        </is>
      </c>
      <c r="I284" t="inlineStr">
        <is>
          <t>Interview</t>
        </is>
      </c>
      <c r="J284" s="96" t="n">
        <v>46146</v>
      </c>
      <c r="K284" s="96" t="n">
        <v>46000</v>
      </c>
      <c r="M284" t="inlineStr">
        <is>
          <t>Consulting</t>
        </is>
      </c>
      <c r="N284" t="inlineStr">
        <is>
          <t>Portal</t>
        </is>
      </c>
      <c r="O284" t="inlineStr">
        <is>
          <t>Ashutosh Chauhan</t>
        </is>
      </c>
      <c r="Q284" t="inlineStr">
        <is>
          <t>2026-02-09</t>
        </is>
      </c>
      <c r="Y284" t="inlineStr">
        <is>
          <t>2025-11-13</t>
        </is>
      </c>
      <c r="Z284" t="inlineStr">
        <is>
          <t>https://app.hubspot.com/contacts/243046792/record/0-3/218273109715</t>
        </is>
      </c>
    </row>
    <row r="285">
      <c r="A285" t="n">
        <v>284</v>
      </c>
      <c r="B285" t="inlineStr">
        <is>
          <t>215696708315</t>
        </is>
      </c>
      <c r="D285" t="inlineStr">
        <is>
          <t>Campus Housing &amp; Dining Web-Based Computerized Maintenance Management System</t>
        </is>
      </c>
      <c r="E285" t="inlineStr">
        <is>
          <t>University of Wyoming</t>
        </is>
      </c>
      <c r="F285" t="inlineStr">
        <is>
          <t>Wyoming</t>
        </is>
      </c>
      <c r="G285" t="inlineStr">
        <is>
          <t>Submitted</t>
        </is>
      </c>
      <c r="H285" t="inlineStr">
        <is>
          <t>No</t>
        </is>
      </c>
      <c r="J285" s="96" t="n">
        <v>46000</v>
      </c>
      <c r="K285" s="96" t="n">
        <v>46001</v>
      </c>
      <c r="L285" s="65" t="n">
        <v>115500</v>
      </c>
      <c r="M285" t="inlineStr">
        <is>
          <t>Platform Implementation (ERP, CRMs)</t>
        </is>
      </c>
      <c r="N285" t="inlineStr">
        <is>
          <t>Portal</t>
        </is>
      </c>
      <c r="O285" t="inlineStr">
        <is>
          <t>Abhishek Zalani</t>
        </is>
      </c>
      <c r="Y285" t="inlineStr">
        <is>
          <t>2025-11-10</t>
        </is>
      </c>
      <c r="Z285" t="inlineStr">
        <is>
          <t>https://app.hubspot.com/contacts/243046792/record/0-3/215696708315</t>
        </is>
      </c>
    </row>
    <row r="286">
      <c r="A286" t="n">
        <v>285</v>
      </c>
      <c r="B286" t="inlineStr">
        <is>
          <t>222284969679</t>
        </is>
      </c>
      <c r="D286" t="inlineStr">
        <is>
          <t>City of Irving - Application Programming Interfaces (API) Integration Services for Multiple City Systems</t>
        </is>
      </c>
      <c r="E286" t="inlineStr">
        <is>
          <t>City of Irving</t>
        </is>
      </c>
      <c r="F286" t="inlineStr">
        <is>
          <t>Texas</t>
        </is>
      </c>
      <c r="G286" t="inlineStr">
        <is>
          <t>RFx Cancelled</t>
        </is>
      </c>
      <c r="H286" t="inlineStr">
        <is>
          <t>Yes</t>
        </is>
      </c>
      <c r="I286" t="inlineStr">
        <is>
          <t>Interview Scheduled</t>
        </is>
      </c>
      <c r="J286" s="96" t="n">
        <v>46001</v>
      </c>
      <c r="K286" s="96" t="n">
        <v>46001</v>
      </c>
      <c r="L286" t="n">
        <v>354550</v>
      </c>
      <c r="M286" t="inlineStr">
        <is>
          <t>Modernization / Migration;Support &amp; Maintenance</t>
        </is>
      </c>
      <c r="O286" t="inlineStr">
        <is>
          <t>Jyothsna Nanda kishore</t>
        </is>
      </c>
      <c r="P286" t="inlineStr">
        <is>
          <t>Interview Scheduled</t>
        </is>
      </c>
      <c r="Q286" s="96" t="n">
        <v>46210</v>
      </c>
      <c r="S286" s="96" t="n"/>
      <c r="Y286" s="96" t="n">
        <v>45979</v>
      </c>
      <c r="Z286" t="inlineStr">
        <is>
          <t>https://app.hubspot.com/contacts/243046792/record/0-3/222284969679</t>
        </is>
      </c>
    </row>
    <row r="287">
      <c r="A287" t="n">
        <v>286</v>
      </c>
      <c r="B287" t="inlineStr">
        <is>
          <t>222284249838</t>
        </is>
      </c>
      <c r="D287" t="inlineStr">
        <is>
          <t xml:space="preserve">Information Technology Managed Services </t>
        </is>
      </c>
      <c r="E287" t="inlineStr">
        <is>
          <t>Cheyenne Housing Authority</t>
        </is>
      </c>
      <c r="F287" t="inlineStr">
        <is>
          <t>Wyoming</t>
        </is>
      </c>
      <c r="G287" t="inlineStr">
        <is>
          <t>Closed Lost</t>
        </is>
      </c>
      <c r="H287" t="inlineStr">
        <is>
          <t>No</t>
        </is>
      </c>
      <c r="J287" s="96" t="n">
        <v>46115</v>
      </c>
      <c r="K287" s="96" t="n">
        <v>46001</v>
      </c>
      <c r="M287" t="inlineStr">
        <is>
          <t>Managed Services (MSP)</t>
        </is>
      </c>
      <c r="O287" t="inlineStr">
        <is>
          <t>Jyothsna Nanda kishore</t>
        </is>
      </c>
      <c r="Y287" t="inlineStr">
        <is>
          <t>2025-11-18</t>
        </is>
      </c>
      <c r="Z287" t="inlineStr">
        <is>
          <t>https://app.hubspot.com/contacts/243046792/record/0-3/222284249838</t>
        </is>
      </c>
    </row>
    <row r="288">
      <c r="A288" t="n">
        <v>287</v>
      </c>
      <c r="B288" t="inlineStr">
        <is>
          <t>231822287599</t>
        </is>
      </c>
      <c r="D288" t="inlineStr">
        <is>
          <t>HRIS Consultant</t>
        </is>
      </c>
      <c r="E288" t="inlineStr">
        <is>
          <t>City of Portland</t>
        </is>
      </c>
      <c r="F288" t="inlineStr">
        <is>
          <t>Maine</t>
        </is>
      </c>
      <c r="G288" t="inlineStr">
        <is>
          <t>Submitted</t>
        </is>
      </c>
      <c r="H288" t="inlineStr">
        <is>
          <t>No</t>
        </is>
      </c>
      <c r="J288" s="96" t="n">
        <v>46002</v>
      </c>
      <c r="K288" s="96" t="n">
        <v>46002</v>
      </c>
      <c r="M288" t="inlineStr">
        <is>
          <t>Platform Implementation (ERP, CRMs)</t>
        </is>
      </c>
      <c r="O288" t="inlineStr">
        <is>
          <t>Ashutosh Chauhan</t>
        </is>
      </c>
      <c r="Y288" t="inlineStr">
        <is>
          <t>2025-12-02</t>
        </is>
      </c>
      <c r="Z288" t="inlineStr">
        <is>
          <t>https://app.hubspot.com/contacts/243046792/record/0-3/231822287599</t>
        </is>
      </c>
    </row>
    <row r="289">
      <c r="A289" t="n">
        <v>288</v>
      </c>
      <c r="B289" t="inlineStr">
        <is>
          <t>222282955460</t>
        </is>
      </c>
      <c r="D289" t="inlineStr">
        <is>
          <t>Offline - IT Services</t>
        </is>
      </c>
      <c r="E289" t="inlineStr">
        <is>
          <t>Borough of Lewistown</t>
        </is>
      </c>
      <c r="F289" t="inlineStr">
        <is>
          <t>Pennsylvania</t>
        </is>
      </c>
      <c r="G289" t="inlineStr">
        <is>
          <t>Submitted</t>
        </is>
      </c>
      <c r="H289" t="inlineStr">
        <is>
          <t>No</t>
        </is>
      </c>
      <c r="J289" s="96" t="n">
        <v>46003</v>
      </c>
      <c r="K289" s="96" t="n">
        <v>46002</v>
      </c>
      <c r="M289" t="inlineStr">
        <is>
          <t>Consulting</t>
        </is>
      </c>
      <c r="O289" t="inlineStr">
        <is>
          <t>Abhishek Zalani</t>
        </is>
      </c>
      <c r="Y289" t="inlineStr">
        <is>
          <t>2025-11-21</t>
        </is>
      </c>
      <c r="Z289" t="inlineStr">
        <is>
          <t>https://app.hubspot.com/contacts/243046792/record/0-3/222282955460</t>
        </is>
      </c>
    </row>
    <row r="290">
      <c r="A290" t="n">
        <v>289</v>
      </c>
      <c r="B290" t="inlineStr">
        <is>
          <t>189205825272</t>
        </is>
      </c>
      <c r="D290" t="inlineStr">
        <is>
          <t xml:space="preserve">Offline - INFORMATION TECHNOLGY SUPPORT SERVICES </t>
        </is>
      </c>
      <c r="E290" t="inlineStr">
        <is>
          <t>City of Inman</t>
        </is>
      </c>
      <c r="F290" t="inlineStr">
        <is>
          <t>South Carolina</t>
        </is>
      </c>
      <c r="G290" t="inlineStr">
        <is>
          <t>Submitted</t>
        </is>
      </c>
      <c r="H290" t="inlineStr">
        <is>
          <t>No</t>
        </is>
      </c>
      <c r="J290" s="96" t="n">
        <v>46004</v>
      </c>
      <c r="K290" s="96" t="n">
        <v>46002</v>
      </c>
      <c r="M290" t="inlineStr">
        <is>
          <t>Consulting</t>
        </is>
      </c>
      <c r="O290" t="inlineStr">
        <is>
          <t>Abhishek Zalani</t>
        </is>
      </c>
      <c r="Y290" t="inlineStr">
        <is>
          <t>2025-10-15</t>
        </is>
      </c>
      <c r="Z290" t="inlineStr">
        <is>
          <t>https://app.hubspot.com/contacts/243046792/record/0-3/189205825272</t>
        </is>
      </c>
    </row>
    <row r="291">
      <c r="A291" t="n">
        <v>290</v>
      </c>
      <c r="B291" t="inlineStr">
        <is>
          <t>222842877677</t>
        </is>
      </c>
      <c r="D291" t="inlineStr">
        <is>
          <t>On-Call Geographic Information System (GIS) Professional Services</t>
        </is>
      </c>
      <c r="E291" t="inlineStr">
        <is>
          <t>City of Roseville</t>
        </is>
      </c>
      <c r="F291" t="inlineStr">
        <is>
          <t>Michigan</t>
        </is>
      </c>
      <c r="G291" t="inlineStr">
        <is>
          <t>Closed Lost</t>
        </is>
      </c>
      <c r="H291" t="inlineStr">
        <is>
          <t>No</t>
        </is>
      </c>
      <c r="J291" s="96" t="n">
        <v>46121</v>
      </c>
      <c r="K291" s="96" t="n">
        <v>46002</v>
      </c>
      <c r="M291" t="inlineStr">
        <is>
          <t>Consulting</t>
        </is>
      </c>
      <c r="N291" t="inlineStr">
        <is>
          <t>Email</t>
        </is>
      </c>
      <c r="O291" t="inlineStr">
        <is>
          <t>Ashutosh Chauhan</t>
        </is>
      </c>
      <c r="Y291" t="inlineStr">
        <is>
          <t>2025-11-18</t>
        </is>
      </c>
      <c r="Z291" t="inlineStr">
        <is>
          <t>https://app.hubspot.com/contacts/243046792/record/0-3/222842877677</t>
        </is>
      </c>
    </row>
    <row r="292">
      <c r="A292" t="n">
        <v>291</v>
      </c>
      <c r="B292" t="inlineStr">
        <is>
          <t>231556769499</t>
        </is>
      </c>
      <c r="D292" t="inlineStr">
        <is>
          <t>Advanced Power BI Consultant (Rebid)</t>
        </is>
      </c>
      <c r="E292" t="inlineStr">
        <is>
          <t>NM Health</t>
        </is>
      </c>
      <c r="F292" t="inlineStr">
        <is>
          <t>New Mexico</t>
        </is>
      </c>
      <c r="G292" t="inlineStr">
        <is>
          <t>Submitted</t>
        </is>
      </c>
      <c r="H292" t="inlineStr">
        <is>
          <t>No</t>
        </is>
      </c>
      <c r="J292" s="96" t="n">
        <v>46003</v>
      </c>
      <c r="K292" s="96" t="n">
        <v>46003</v>
      </c>
      <c r="M292" t="inlineStr">
        <is>
          <t>Consulting</t>
        </is>
      </c>
      <c r="N292" t="inlineStr">
        <is>
          <t>Portal</t>
        </is>
      </c>
      <c r="O292" t="inlineStr">
        <is>
          <t>Jyothsna Nanda kishore</t>
        </is>
      </c>
      <c r="Y292" t="inlineStr">
        <is>
          <t>2025-12-02</t>
        </is>
      </c>
      <c r="Z292" t="inlineStr">
        <is>
          <t>https://app.hubspot.com/contacts/243046792/record/0-3/231556769499</t>
        </is>
      </c>
    </row>
    <row r="293">
      <c r="A293" t="n">
        <v>292</v>
      </c>
      <c r="B293" t="inlineStr">
        <is>
          <t>217459208895</t>
        </is>
      </c>
      <c r="D293" t="inlineStr">
        <is>
          <t>Town-Wide Penetration Testing</t>
        </is>
      </c>
      <c r="E293" t="inlineStr">
        <is>
          <t>Town of Nantucket</t>
        </is>
      </c>
      <c r="F293" t="inlineStr">
        <is>
          <t>Massachusetts</t>
        </is>
      </c>
      <c r="G293" t="inlineStr">
        <is>
          <t>Submitted</t>
        </is>
      </c>
      <c r="H293" t="inlineStr">
        <is>
          <t>No</t>
        </is>
      </c>
      <c r="J293" s="96" t="n">
        <v>46003</v>
      </c>
      <c r="K293" s="96" t="n">
        <v>46003</v>
      </c>
      <c r="M293" t="inlineStr">
        <is>
          <t>Audits and Assessment</t>
        </is>
      </c>
      <c r="N293" t="inlineStr">
        <is>
          <t>Portal</t>
        </is>
      </c>
      <c r="O293" t="inlineStr">
        <is>
          <t>Ashutosh Chauhan</t>
        </is>
      </c>
      <c r="Y293" t="inlineStr">
        <is>
          <t>2025-11-12</t>
        </is>
      </c>
      <c r="Z293" t="inlineStr">
        <is>
          <t>https://app.hubspot.com/contacts/243046792/record/0-3/217459208895</t>
        </is>
      </c>
    </row>
    <row r="294">
      <c r="A294" t="n">
        <v>293</v>
      </c>
      <c r="B294" t="inlineStr">
        <is>
          <t>222884414179</t>
        </is>
      </c>
      <c r="D294" t="inlineStr">
        <is>
          <t>CISCO DUO MFA SUBSCRIPTION</t>
        </is>
      </c>
      <c r="E294" t="inlineStr">
        <is>
          <t>Greenville County</t>
        </is>
      </c>
      <c r="F294" t="inlineStr">
        <is>
          <t>South Carolina</t>
        </is>
      </c>
      <c r="G294" t="inlineStr">
        <is>
          <t>Submitted</t>
        </is>
      </c>
      <c r="H294" t="inlineStr">
        <is>
          <t>No</t>
        </is>
      </c>
      <c r="J294" s="96" t="n">
        <v>46003</v>
      </c>
      <c r="K294" s="96" t="n">
        <v>46003</v>
      </c>
      <c r="M294" t="inlineStr">
        <is>
          <t>Reseller</t>
        </is>
      </c>
      <c r="O294" t="inlineStr">
        <is>
          <t>Abhishek Zalani</t>
        </is>
      </c>
      <c r="Y294" t="inlineStr">
        <is>
          <t>2025-11-18</t>
        </is>
      </c>
      <c r="Z294" t="inlineStr">
        <is>
          <t>https://app.hubspot.com/contacts/243046792/record/0-3/222884414179</t>
        </is>
      </c>
    </row>
    <row r="295">
      <c r="A295" t="n">
        <v>294</v>
      </c>
      <c r="B295" t="inlineStr">
        <is>
          <t>199601320654</t>
        </is>
      </c>
      <c r="D295" t="inlineStr">
        <is>
          <t>Cloud Intranet</t>
        </is>
      </c>
      <c r="E295" t="inlineStr">
        <is>
          <t xml:space="preserve">Suffolk County Office of Central Procurement  </t>
        </is>
      </c>
      <c r="F295" t="inlineStr">
        <is>
          <t>New York</t>
        </is>
      </c>
      <c r="G295" t="inlineStr">
        <is>
          <t>RFx Cancelled</t>
        </is>
      </c>
      <c r="H295" t="inlineStr">
        <is>
          <t>No</t>
        </is>
      </c>
      <c r="J295" s="96" t="n">
        <v>46043</v>
      </c>
      <c r="K295" s="96" t="n">
        <v>46003</v>
      </c>
      <c r="L295" s="65" t="n">
        <v>198750</v>
      </c>
      <c r="M295" t="inlineStr">
        <is>
          <t>Consulting</t>
        </is>
      </c>
      <c r="N295" t="inlineStr">
        <is>
          <t>Portal</t>
        </is>
      </c>
      <c r="O295" t="inlineStr">
        <is>
          <t>Ashutosh Chauhan</t>
        </is>
      </c>
      <c r="Y295" t="inlineStr">
        <is>
          <t>2025-10-27</t>
        </is>
      </c>
      <c r="Z295" t="inlineStr">
        <is>
          <t>https://app.hubspot.com/contacts/243046792/record/0-3/199601320654</t>
        </is>
      </c>
    </row>
    <row r="296">
      <c r="A296" t="n">
        <v>295</v>
      </c>
      <c r="B296" t="inlineStr">
        <is>
          <t>222376001220</t>
        </is>
      </c>
      <c r="D296" t="inlineStr">
        <is>
          <t>MANAGEENGINE ENDPOINT CENTRAL SECURITY EDITION</t>
        </is>
      </c>
      <c r="E296" t="inlineStr">
        <is>
          <t>Greenville County</t>
        </is>
      </c>
      <c r="F296" t="inlineStr">
        <is>
          <t>South Carolina</t>
        </is>
      </c>
      <c r="G296" t="inlineStr">
        <is>
          <t>Closed Lost</t>
        </is>
      </c>
      <c r="H296" t="inlineStr">
        <is>
          <t>No</t>
        </is>
      </c>
      <c r="J296" s="96" t="n">
        <v>46070</v>
      </c>
      <c r="K296" s="96" t="n">
        <v>46003</v>
      </c>
      <c r="M296" t="inlineStr">
        <is>
          <t>Reseller</t>
        </is>
      </c>
      <c r="O296" t="inlineStr">
        <is>
          <t>Ashutosh Chauhan</t>
        </is>
      </c>
      <c r="Y296" t="inlineStr">
        <is>
          <t>2025-11-18</t>
        </is>
      </c>
      <c r="Z296" t="inlineStr">
        <is>
          <t>https://app.hubspot.com/contacts/243046792/record/0-3/222376001220</t>
        </is>
      </c>
    </row>
    <row r="297">
      <c r="A297" t="n">
        <v>296</v>
      </c>
      <c r="B297" t="inlineStr">
        <is>
          <t>222376728277</t>
        </is>
      </c>
      <c r="D297" t="inlineStr">
        <is>
          <t>Vulnerability Assessment, Cybersecurity Audit, &amp; Penetration Testing Services</t>
        </is>
      </c>
      <c r="E297" t="inlineStr">
        <is>
          <t>Marina Coast Water District</t>
        </is>
      </c>
      <c r="F297" t="inlineStr">
        <is>
          <t>California</t>
        </is>
      </c>
      <c r="G297" t="inlineStr">
        <is>
          <t>Submitted</t>
        </is>
      </c>
      <c r="H297" t="inlineStr">
        <is>
          <t>No</t>
        </is>
      </c>
      <c r="J297" s="96" t="n">
        <v>46006</v>
      </c>
      <c r="K297" s="96" t="n">
        <v>46006</v>
      </c>
      <c r="M297" t="inlineStr">
        <is>
          <t>Consulting</t>
        </is>
      </c>
      <c r="O297" t="inlineStr">
        <is>
          <t>Abhishek Zalani</t>
        </is>
      </c>
      <c r="Y297" t="inlineStr">
        <is>
          <t>2025-11-18</t>
        </is>
      </c>
      <c r="Z297" t="inlineStr">
        <is>
          <t>https://app.hubspot.com/contacts/243046792/record/0-3/222376728277</t>
        </is>
      </c>
    </row>
    <row r="298">
      <c r="A298" t="n">
        <v>297</v>
      </c>
      <c r="B298" t="inlineStr">
        <is>
          <t>222282811080</t>
        </is>
      </c>
      <c r="D298" t="inlineStr">
        <is>
          <t>Training &amp; Consultation for Ellucian Colleague</t>
        </is>
      </c>
      <c r="E298" t="inlineStr">
        <is>
          <t>Spartanburg Community College</t>
        </is>
      </c>
      <c r="F298" t="inlineStr">
        <is>
          <t>South Carolina</t>
        </is>
      </c>
      <c r="G298" t="inlineStr">
        <is>
          <t>Submitted</t>
        </is>
      </c>
      <c r="H298" t="inlineStr">
        <is>
          <t>No</t>
        </is>
      </c>
      <c r="J298" s="96" t="n">
        <v>46006</v>
      </c>
      <c r="K298" s="96" t="n">
        <v>46006</v>
      </c>
      <c r="M298" t="inlineStr">
        <is>
          <t>Training</t>
        </is>
      </c>
      <c r="O298" t="inlineStr">
        <is>
          <t>Jyothsna Nanda kishore</t>
        </is>
      </c>
      <c r="Y298" t="inlineStr">
        <is>
          <t>2025-11-18</t>
        </is>
      </c>
      <c r="Z298" t="inlineStr">
        <is>
          <t>https://app.hubspot.com/contacts/243046792/record/0-3/222282811080</t>
        </is>
      </c>
    </row>
    <row r="299">
      <c r="A299" t="n">
        <v>298</v>
      </c>
      <c r="B299" t="inlineStr">
        <is>
          <t>216534904517</t>
        </is>
      </c>
      <c r="D299" t="inlineStr">
        <is>
          <t>INFORMATION TECHNOLOGY CONSULTANT AND SERVICES</t>
        </is>
      </c>
      <c r="E299" t="inlineStr">
        <is>
          <t>Stillwater Township</t>
        </is>
      </c>
      <c r="F299" t="inlineStr">
        <is>
          <t>New Jersey</t>
        </is>
      </c>
      <c r="G299" t="inlineStr">
        <is>
          <t>Submitted</t>
        </is>
      </c>
      <c r="H299" t="inlineStr">
        <is>
          <t>No</t>
        </is>
      </c>
      <c r="J299" s="96" t="n">
        <v>46007</v>
      </c>
      <c r="K299" s="96" t="n">
        <v>46006</v>
      </c>
      <c r="L299" s="65" t="n">
        <v>37960</v>
      </c>
      <c r="M299" t="inlineStr">
        <is>
          <t>Managed Services (MSP)</t>
        </is>
      </c>
      <c r="N299" t="inlineStr">
        <is>
          <t>Offline</t>
        </is>
      </c>
      <c r="O299" t="inlineStr">
        <is>
          <t>Jyothsna Nanda kishore</t>
        </is>
      </c>
      <c r="Y299" t="inlineStr">
        <is>
          <t>2025-11-12</t>
        </is>
      </c>
      <c r="Z299" t="inlineStr">
        <is>
          <t>https://app.hubspot.com/contacts/243046792/record/0-3/216534904517</t>
        </is>
      </c>
    </row>
    <row r="300">
      <c r="A300" t="n">
        <v>299</v>
      </c>
      <c r="B300" t="inlineStr">
        <is>
          <t>217571748540</t>
        </is>
      </c>
      <c r="D300" t="inlineStr">
        <is>
          <t>Managed Services Provider for IT Services</t>
        </is>
      </c>
      <c r="E300" t="inlineStr">
        <is>
          <t>City of St. Joseph</t>
        </is>
      </c>
      <c r="F300" t="inlineStr">
        <is>
          <t>Michigan</t>
        </is>
      </c>
      <c r="G300" t="inlineStr">
        <is>
          <t>Closed Lost</t>
        </is>
      </c>
      <c r="H300" t="inlineStr">
        <is>
          <t>Yes</t>
        </is>
      </c>
      <c r="I300" t="inlineStr">
        <is>
          <t>Interview</t>
        </is>
      </c>
      <c r="J300" s="96" t="n">
        <v>46178</v>
      </c>
      <c r="K300" s="96" t="n">
        <v>46006</v>
      </c>
      <c r="L300" s="65" t="n">
        <v>321550</v>
      </c>
      <c r="M300" t="inlineStr">
        <is>
          <t>Managed Services (MSP)</t>
        </is>
      </c>
      <c r="N300" t="inlineStr">
        <is>
          <t>Offline</t>
        </is>
      </c>
      <c r="O300" t="inlineStr">
        <is>
          <t>Jyothsna Nanda kishore</t>
        </is>
      </c>
      <c r="P300" t="inlineStr">
        <is>
          <t>Interview Scheduled</t>
        </is>
      </c>
      <c r="Q300" t="inlineStr">
        <is>
          <t>2026-02-23</t>
        </is>
      </c>
      <c r="Y300" t="inlineStr">
        <is>
          <t>2025-11-13</t>
        </is>
      </c>
      <c r="Z300" t="inlineStr">
        <is>
          <t>https://app.hubspot.com/contacts/243046792/record/0-3/217571748540</t>
        </is>
      </c>
    </row>
    <row r="301">
      <c r="A301" t="n">
        <v>300</v>
      </c>
      <c r="B301" t="inlineStr">
        <is>
          <t>231574633162</t>
        </is>
      </c>
      <c r="D301" t="inlineStr">
        <is>
          <t>Information Technology Support Services</t>
        </is>
      </c>
      <c r="E301" t="inlineStr">
        <is>
          <t>Borough of Wanaque</t>
        </is>
      </c>
      <c r="F301" t="inlineStr">
        <is>
          <t>New Jersey</t>
        </is>
      </c>
      <c r="G301" t="inlineStr">
        <is>
          <t>Closed Lost</t>
        </is>
      </c>
      <c r="H301" t="inlineStr">
        <is>
          <t>No</t>
        </is>
      </c>
      <c r="J301" s="96" t="n">
        <v>46029</v>
      </c>
      <c r="K301" s="96" t="n">
        <v>46006</v>
      </c>
      <c r="M301" t="inlineStr">
        <is>
          <t>Support &amp; Maintenance</t>
        </is>
      </c>
      <c r="N301" t="inlineStr">
        <is>
          <t>Offline</t>
        </is>
      </c>
      <c r="O301" t="inlineStr">
        <is>
          <t>Jyothsna Nanda kishore</t>
        </is>
      </c>
      <c r="Y301" t="inlineStr">
        <is>
          <t>2025-12-02</t>
        </is>
      </c>
      <c r="Z301" t="inlineStr">
        <is>
          <t>https://app.hubspot.com/contacts/243046792/record/0-3/231574633162</t>
        </is>
      </c>
    </row>
    <row r="302">
      <c r="A302" t="n">
        <v>301</v>
      </c>
      <c r="B302" t="inlineStr">
        <is>
          <t>216534904514</t>
        </is>
      </c>
      <c r="D302" t="inlineStr">
        <is>
          <t>OFF-Regional Data Portal Consultant Services</t>
        </is>
      </c>
      <c r="E302" t="inlineStr">
        <is>
          <t>Pioneer Valley Planning Commission</t>
        </is>
      </c>
      <c r="F302" t="inlineStr">
        <is>
          <t>Massachusetts</t>
        </is>
      </c>
      <c r="G302" t="inlineStr">
        <is>
          <t>RFx Cancelled</t>
        </is>
      </c>
      <c r="H302" t="inlineStr">
        <is>
          <t>No</t>
        </is>
      </c>
      <c r="J302" s="96" t="n">
        <v>46007</v>
      </c>
      <c r="K302" s="96" t="n">
        <v>46007</v>
      </c>
      <c r="L302" s="65" t="n">
        <v>94350</v>
      </c>
      <c r="M302" t="inlineStr">
        <is>
          <t>Consulting</t>
        </is>
      </c>
      <c r="N302" t="inlineStr">
        <is>
          <t>Offline</t>
        </is>
      </c>
      <c r="O302" t="inlineStr">
        <is>
          <t>Ashutosh Chauhan</t>
        </is>
      </c>
      <c r="Y302" t="inlineStr">
        <is>
          <t>2025-11-12</t>
        </is>
      </c>
      <c r="Z302" t="inlineStr">
        <is>
          <t>https://app.hubspot.com/contacts/243046792/record/0-3/216534904514</t>
        </is>
      </c>
    </row>
    <row r="303">
      <c r="A303" t="n">
        <v>302</v>
      </c>
      <c r="B303" t="inlineStr">
        <is>
          <t>232534112960</t>
        </is>
      </c>
      <c r="D303" t="inlineStr">
        <is>
          <t xml:space="preserve">Information Technology Services </t>
        </is>
      </c>
      <c r="E303" t="inlineStr">
        <is>
          <t>Oklahoma City Urban RenewalAuthority (OCURA)</t>
        </is>
      </c>
      <c r="F303" t="inlineStr">
        <is>
          <t>Oklahoma</t>
        </is>
      </c>
      <c r="G303" t="inlineStr">
        <is>
          <t>Submitted</t>
        </is>
      </c>
      <c r="H303" t="inlineStr">
        <is>
          <t>No</t>
        </is>
      </c>
      <c r="J303" s="96" t="n">
        <v>46007</v>
      </c>
      <c r="K303" s="96" t="n">
        <v>46007</v>
      </c>
      <c r="M303" t="inlineStr">
        <is>
          <t>Managed Services (MSP)</t>
        </is>
      </c>
      <c r="O303" t="inlineStr">
        <is>
          <t>Jyothsna Nanda kishore</t>
        </is>
      </c>
      <c r="Y303" t="inlineStr">
        <is>
          <t>2025-12-04</t>
        </is>
      </c>
      <c r="Z303" t="inlineStr">
        <is>
          <t>https://app.hubspot.com/contacts/243046792/record/0-3/232534112960</t>
        </is>
      </c>
    </row>
    <row r="304">
      <c r="A304" t="n">
        <v>303</v>
      </c>
      <c r="B304" t="inlineStr">
        <is>
          <t>215711179494</t>
        </is>
      </c>
      <c r="D304" t="inlineStr">
        <is>
          <t>IT Security Audit</t>
        </is>
      </c>
      <c r="E304" t="inlineStr">
        <is>
          <t>City of Durango</t>
        </is>
      </c>
      <c r="F304" t="inlineStr">
        <is>
          <t>Colorado</t>
        </is>
      </c>
      <c r="G304" t="inlineStr">
        <is>
          <t>Closed Lost</t>
        </is>
      </c>
      <c r="H304" t="inlineStr">
        <is>
          <t>No</t>
        </is>
      </c>
      <c r="J304" s="96" t="n">
        <v>46133</v>
      </c>
      <c r="K304" s="96" t="n">
        <v>46007</v>
      </c>
      <c r="L304" s="65" t="n">
        <v>11970</v>
      </c>
      <c r="M304" t="inlineStr">
        <is>
          <t>Audits and Assessment</t>
        </is>
      </c>
      <c r="O304" t="inlineStr">
        <is>
          <t>Jyothsna Nanda kishore</t>
        </is>
      </c>
      <c r="Y304" t="inlineStr">
        <is>
          <t>2025-11-12</t>
        </is>
      </c>
      <c r="Z304" t="inlineStr">
        <is>
          <t>https://app.hubspot.com/contacts/243046792/record/0-3/215711179494</t>
        </is>
      </c>
    </row>
    <row r="305">
      <c r="A305" t="n">
        <v>304</v>
      </c>
      <c r="B305" t="inlineStr">
        <is>
          <t>252347523820</t>
        </is>
      </c>
      <c r="D305" t="inlineStr">
        <is>
          <t>BTS On-Call Services - PROJECT MANAGEMENT</t>
        </is>
      </c>
      <c r="E305" t="inlineStr">
        <is>
          <t>City of Portland, Bureau of Technology Services (BTS)</t>
        </is>
      </c>
      <c r="F305" t="inlineStr">
        <is>
          <t>Maine</t>
        </is>
      </c>
      <c r="G305" t="inlineStr">
        <is>
          <t>Submitted</t>
        </is>
      </c>
      <c r="H305" t="inlineStr">
        <is>
          <t>No</t>
        </is>
      </c>
      <c r="J305" s="96" t="n">
        <v>46008</v>
      </c>
      <c r="K305" s="96" t="n">
        <v>46008</v>
      </c>
      <c r="M305" t="inlineStr">
        <is>
          <t>Consulting</t>
        </is>
      </c>
      <c r="O305" t="inlineStr">
        <is>
          <t>Madhav Mitruka</t>
        </is>
      </c>
      <c r="Y305" t="inlineStr">
        <is>
          <t>2026-01-05</t>
        </is>
      </c>
      <c r="Z305" t="inlineStr">
        <is>
          <t>https://app.hubspot.com/contacts/243046792/record/0-3/252347523820</t>
        </is>
      </c>
    </row>
    <row r="306">
      <c r="A306" t="n">
        <v>305</v>
      </c>
      <c r="B306" t="inlineStr">
        <is>
          <t>254846547704</t>
        </is>
      </c>
      <c r="D306" t="inlineStr">
        <is>
          <t>City of Portland, Bureau of Technology Services (BTS) - BTS On-Call Services - PRODUCT MANAGEMENT SERVICES</t>
        </is>
      </c>
      <c r="E306" t="inlineStr">
        <is>
          <t>City of Portland, Bureau of Technology Services (BTS)</t>
        </is>
      </c>
      <c r="F306" t="inlineStr">
        <is>
          <t>Maine</t>
        </is>
      </c>
      <c r="G306" t="inlineStr">
        <is>
          <t>Closed Won</t>
        </is>
      </c>
      <c r="H306" t="inlineStr">
        <is>
          <t>No</t>
        </is>
      </c>
      <c r="J306" s="96" t="n">
        <v>46204</v>
      </c>
      <c r="K306" s="96" t="n">
        <v>46008</v>
      </c>
      <c r="M306" t="inlineStr">
        <is>
          <t>Consulting</t>
        </is>
      </c>
      <c r="O306" t="inlineStr">
        <is>
          <t>Madhav Mitruka</t>
        </is>
      </c>
      <c r="S306" s="96" t="n">
        <v>46176</v>
      </c>
      <c r="Y306" t="inlineStr">
        <is>
          <t>2026-01-05</t>
        </is>
      </c>
      <c r="Z306" t="inlineStr">
        <is>
          <t>https://app.hubspot.com/contacts/243046792/record/0-3/254846547704</t>
        </is>
      </c>
    </row>
    <row r="307">
      <c r="A307" t="n">
        <v>306</v>
      </c>
      <c r="B307" t="inlineStr">
        <is>
          <t>253056990937</t>
        </is>
      </c>
      <c r="D307" t="inlineStr">
        <is>
          <t>BTS On-Call Services - SAP BASIS AND SYSTEM SUPPORT AND ENGINEERING</t>
        </is>
      </c>
      <c r="E307" t="inlineStr">
        <is>
          <t>City of Portland, Bureau of Technology Services (BTS)</t>
        </is>
      </c>
      <c r="F307" t="inlineStr">
        <is>
          <t>Maine</t>
        </is>
      </c>
      <c r="G307" t="inlineStr">
        <is>
          <t>Submitted</t>
        </is>
      </c>
      <c r="H307" t="inlineStr">
        <is>
          <t>No</t>
        </is>
      </c>
      <c r="J307" s="96" t="n">
        <v>46008</v>
      </c>
      <c r="K307" s="96" t="n">
        <v>46008</v>
      </c>
      <c r="M307" t="inlineStr">
        <is>
          <t>Consulting</t>
        </is>
      </c>
      <c r="O307" t="inlineStr">
        <is>
          <t>Madhav Mitruka</t>
        </is>
      </c>
      <c r="Y307" t="inlineStr">
        <is>
          <t>2026-01-05</t>
        </is>
      </c>
      <c r="Z307" t="inlineStr">
        <is>
          <t>https://app.hubspot.com/contacts/243046792/record/0-3/253056990937</t>
        </is>
      </c>
    </row>
    <row r="308">
      <c r="A308" t="n">
        <v>307</v>
      </c>
      <c r="B308" t="inlineStr">
        <is>
          <t>251773184703</t>
        </is>
      </c>
      <c r="D308" t="inlineStr">
        <is>
          <t>BTS On-Call Services - WEB APPLICATION DEVELOPMENT</t>
        </is>
      </c>
      <c r="E308" t="inlineStr">
        <is>
          <t>City of Portland, Bureau of Technology Services (BTS)</t>
        </is>
      </c>
      <c r="F308" t="inlineStr">
        <is>
          <t>Maine</t>
        </is>
      </c>
      <c r="G308" t="inlineStr">
        <is>
          <t>Submitted</t>
        </is>
      </c>
      <c r="H308" t="inlineStr">
        <is>
          <t>No</t>
        </is>
      </c>
      <c r="J308" s="96" t="n">
        <v>46008</v>
      </c>
      <c r="K308" s="96" t="n">
        <v>46008</v>
      </c>
      <c r="M308" t="inlineStr">
        <is>
          <t>Consulting</t>
        </is>
      </c>
      <c r="O308" t="inlineStr">
        <is>
          <t>Madhav Mitruka</t>
        </is>
      </c>
      <c r="Y308" t="inlineStr">
        <is>
          <t>2026-01-05</t>
        </is>
      </c>
      <c r="Z308" t="inlineStr">
        <is>
          <t>https://app.hubspot.com/contacts/243046792/record/0-3/251773184703</t>
        </is>
      </c>
    </row>
    <row r="309">
      <c r="A309" t="n">
        <v>308</v>
      </c>
      <c r="B309" t="inlineStr">
        <is>
          <t>252347523776</t>
        </is>
      </c>
      <c r="D309" t="inlineStr">
        <is>
          <t>BTS On-Call Services - UI/UX &amp; SERVICE DESIGN</t>
        </is>
      </c>
      <c r="E309" t="inlineStr">
        <is>
          <t>City of Portland, Bureau of Technology Services (BTS)</t>
        </is>
      </c>
      <c r="F309" t="inlineStr">
        <is>
          <t>Maine</t>
        </is>
      </c>
      <c r="G309" t="inlineStr">
        <is>
          <t>Submitted</t>
        </is>
      </c>
      <c r="H309" t="inlineStr">
        <is>
          <t>No</t>
        </is>
      </c>
      <c r="J309" s="96" t="n">
        <v>46008</v>
      </c>
      <c r="K309" s="96" t="n">
        <v>46008</v>
      </c>
      <c r="M309" t="inlineStr">
        <is>
          <t>Consulting</t>
        </is>
      </c>
      <c r="O309" t="inlineStr">
        <is>
          <t>Madhav Mitruka</t>
        </is>
      </c>
      <c r="Y309" t="inlineStr">
        <is>
          <t>2026-01-05</t>
        </is>
      </c>
      <c r="Z309" t="inlineStr">
        <is>
          <t>https://app.hubspot.com/contacts/243046792/record/0-3/252347523776</t>
        </is>
      </c>
    </row>
    <row r="310">
      <c r="A310" t="n">
        <v>309</v>
      </c>
      <c r="B310" t="inlineStr">
        <is>
          <t>254848701168</t>
        </is>
      </c>
      <c r="D310" t="inlineStr">
        <is>
          <t>BTS On-Call Services - INFORMATION TECHNOLOGIES PLANNING, BUSINESS ANALYSIS, PROFESSIONAL DEVELOPMENT, AND PROCESS FACILITATION</t>
        </is>
      </c>
      <c r="E310" t="inlineStr">
        <is>
          <t>City of Portland, Bureau of Technology Services (BTS)</t>
        </is>
      </c>
      <c r="F310" t="inlineStr">
        <is>
          <t>Maine</t>
        </is>
      </c>
      <c r="G310" t="inlineStr">
        <is>
          <t>Submitted</t>
        </is>
      </c>
      <c r="H310" t="inlineStr">
        <is>
          <t>No</t>
        </is>
      </c>
      <c r="J310" s="96" t="n">
        <v>46008</v>
      </c>
      <c r="K310" s="96" t="n">
        <v>46008</v>
      </c>
      <c r="M310" t="inlineStr">
        <is>
          <t>Consulting</t>
        </is>
      </c>
      <c r="O310" t="inlineStr">
        <is>
          <t>Madhav Mitruka</t>
        </is>
      </c>
      <c r="Y310" t="inlineStr">
        <is>
          <t>2026-01-05</t>
        </is>
      </c>
      <c r="Z310" t="inlineStr">
        <is>
          <t>https://app.hubspot.com/contacts/243046792/record/0-3/254848701168</t>
        </is>
      </c>
    </row>
    <row r="311">
      <c r="A311" t="n">
        <v>310</v>
      </c>
      <c r="B311" t="inlineStr">
        <is>
          <t>254846547669</t>
        </is>
      </c>
      <c r="C311" t="inlineStr">
        <is>
          <t>00002665</t>
        </is>
      </c>
      <c r="D311" t="inlineStr">
        <is>
          <t>BTS On-Call Services - GENERAL APPLICATION DEVELOPMENT</t>
        </is>
      </c>
      <c r="E311" t="inlineStr">
        <is>
          <t>City of Portland, Bureau of Technology Services (BTS)</t>
        </is>
      </c>
      <c r="F311" t="inlineStr">
        <is>
          <t>Maine</t>
        </is>
      </c>
      <c r="G311" t="inlineStr">
        <is>
          <t>Submitted</t>
        </is>
      </c>
      <c r="H311" t="inlineStr">
        <is>
          <t>No</t>
        </is>
      </c>
      <c r="J311" s="96" t="n">
        <v>46008</v>
      </c>
      <c r="K311" s="96" t="n">
        <v>46008</v>
      </c>
      <c r="M311" t="inlineStr">
        <is>
          <t>Consulting</t>
        </is>
      </c>
      <c r="O311" t="inlineStr">
        <is>
          <t>Madhav Mitruka</t>
        </is>
      </c>
      <c r="Y311" t="inlineStr">
        <is>
          <t>2026-01-05</t>
        </is>
      </c>
      <c r="Z311" t="inlineStr">
        <is>
          <t>https://app.hubspot.com/contacts/243046792/record/0-3/254846547669</t>
        </is>
      </c>
    </row>
    <row r="312">
      <c r="A312" t="n">
        <v>311</v>
      </c>
      <c r="B312" t="inlineStr">
        <is>
          <t>254848701154</t>
        </is>
      </c>
      <c r="D312" t="inlineStr">
        <is>
          <t>BTS On-Call Services - SERVICENOW PLATFORM DEVELOPMENT</t>
        </is>
      </c>
      <c r="E312" t="inlineStr">
        <is>
          <t>City of Portland, Bureau of Technology Services (BTS)</t>
        </is>
      </c>
      <c r="F312" t="inlineStr">
        <is>
          <t>Maine</t>
        </is>
      </c>
      <c r="G312" t="inlineStr">
        <is>
          <t>Submitted</t>
        </is>
      </c>
      <c r="H312" t="inlineStr">
        <is>
          <t>No</t>
        </is>
      </c>
      <c r="J312" s="96" t="n">
        <v>46008</v>
      </c>
      <c r="K312" s="96" t="n">
        <v>46008</v>
      </c>
      <c r="M312" t="inlineStr">
        <is>
          <t>Consulting</t>
        </is>
      </c>
      <c r="O312" t="inlineStr">
        <is>
          <t>Madhav Mitruka</t>
        </is>
      </c>
      <c r="Y312" t="inlineStr">
        <is>
          <t>2026-01-05</t>
        </is>
      </c>
      <c r="Z312" t="inlineStr">
        <is>
          <t>https://app.hubspot.com/contacts/243046792/record/0-3/254848701154</t>
        </is>
      </c>
    </row>
    <row r="313">
      <c r="A313" t="n">
        <v>312</v>
      </c>
      <c r="B313" t="inlineStr">
        <is>
          <t>254848701166</t>
        </is>
      </c>
      <c r="D313" t="inlineStr">
        <is>
          <t>BTS On-Call Services - QUALITY ASSURANCE</t>
        </is>
      </c>
      <c r="E313" t="inlineStr">
        <is>
          <t>City of Portland, Bureau of Technology Services (BTS)</t>
        </is>
      </c>
      <c r="F313" t="inlineStr">
        <is>
          <t>Maine</t>
        </is>
      </c>
      <c r="G313" t="inlineStr">
        <is>
          <t>Submitted</t>
        </is>
      </c>
      <c r="H313" t="inlineStr">
        <is>
          <t>No</t>
        </is>
      </c>
      <c r="J313" s="96" t="n">
        <v>46008</v>
      </c>
      <c r="K313" s="96" t="n">
        <v>46008</v>
      </c>
      <c r="M313" t="inlineStr">
        <is>
          <t>Consulting</t>
        </is>
      </c>
      <c r="O313" t="inlineStr">
        <is>
          <t>Madhav Mitruka</t>
        </is>
      </c>
      <c r="Y313" t="inlineStr">
        <is>
          <t>2026-01-05</t>
        </is>
      </c>
      <c r="Z313" t="inlineStr">
        <is>
          <t>https://app.hubspot.com/contacts/243046792/record/0-3/254848701166</t>
        </is>
      </c>
    </row>
    <row r="314">
      <c r="A314" t="n">
        <v>313</v>
      </c>
      <c r="B314" t="inlineStr">
        <is>
          <t>254846547686</t>
        </is>
      </c>
      <c r="D314" t="inlineStr">
        <is>
          <t>BTS On-Call Services -SAP DEVELOPMENT</t>
        </is>
      </c>
      <c r="E314" t="inlineStr">
        <is>
          <t>City of Portland, Bureau of Technology Services (BTS)</t>
        </is>
      </c>
      <c r="F314" t="inlineStr">
        <is>
          <t>Maine</t>
        </is>
      </c>
      <c r="G314" t="inlineStr">
        <is>
          <t>Submitted</t>
        </is>
      </c>
      <c r="H314" t="inlineStr">
        <is>
          <t>No</t>
        </is>
      </c>
      <c r="J314" s="96" t="n">
        <v>46008</v>
      </c>
      <c r="K314" s="96" t="n">
        <v>46008</v>
      </c>
      <c r="M314" t="inlineStr">
        <is>
          <t>Consulting</t>
        </is>
      </c>
      <c r="O314" t="inlineStr">
        <is>
          <t>Madhav Mitruka</t>
        </is>
      </c>
      <c r="Y314" t="inlineStr">
        <is>
          <t>2026-01-05</t>
        </is>
      </c>
      <c r="Z314" t="inlineStr">
        <is>
          <t>https://app.hubspot.com/contacts/243046792/record/0-3/254846547686</t>
        </is>
      </c>
    </row>
    <row r="315">
      <c r="A315" t="n">
        <v>314</v>
      </c>
      <c r="B315" t="inlineStr">
        <is>
          <t>253056991937</t>
        </is>
      </c>
      <c r="D315" t="inlineStr">
        <is>
          <t>BTS On-Call Services - DATA PRODUCT &amp; PLATFORM DEVELOPMENT</t>
        </is>
      </c>
      <c r="E315" t="inlineStr">
        <is>
          <t>City of Portland, Bureau of Technology Services (BTS)</t>
        </is>
      </c>
      <c r="F315" t="inlineStr">
        <is>
          <t>Maine</t>
        </is>
      </c>
      <c r="G315" t="inlineStr">
        <is>
          <t>Submitted</t>
        </is>
      </c>
      <c r="H315" t="inlineStr">
        <is>
          <t>No</t>
        </is>
      </c>
      <c r="J315" s="96" t="n">
        <v>46008</v>
      </c>
      <c r="K315" s="96" t="n">
        <v>46008</v>
      </c>
      <c r="M315" t="inlineStr">
        <is>
          <t>Consulting</t>
        </is>
      </c>
      <c r="O315" t="inlineStr">
        <is>
          <t>Madhav Mitruka</t>
        </is>
      </c>
      <c r="Y315" t="inlineStr">
        <is>
          <t>2026-01-05</t>
        </is>
      </c>
      <c r="Z315" t="inlineStr">
        <is>
          <t>https://app.hubspot.com/contacts/243046792/record/0-3/253056991937</t>
        </is>
      </c>
    </row>
    <row r="316">
      <c r="A316" t="n">
        <v>315</v>
      </c>
      <c r="B316" t="inlineStr">
        <is>
          <t>213215916793</t>
        </is>
      </c>
      <c r="D316" t="inlineStr">
        <is>
          <t>CRM &amp; Engagement Platform Implementation</t>
        </is>
      </c>
      <c r="E316" t="inlineStr">
        <is>
          <t xml:space="preserve"> Arizona Commerce Authority</t>
        </is>
      </c>
      <c r="F316" t="inlineStr">
        <is>
          <t>Arizona</t>
        </is>
      </c>
      <c r="G316" t="inlineStr">
        <is>
          <t>Closed Lost</t>
        </is>
      </c>
      <c r="H316" t="inlineStr">
        <is>
          <t>No</t>
        </is>
      </c>
      <c r="J316" s="96" t="n">
        <v>46133</v>
      </c>
      <c r="K316" s="96" t="n">
        <v>46008</v>
      </c>
      <c r="M316" t="inlineStr">
        <is>
          <t>Platform Implementation (ERP, CRMs)</t>
        </is>
      </c>
      <c r="O316" t="inlineStr">
        <is>
          <t>Ashutosh Chauhan</t>
        </is>
      </c>
      <c r="Y316" t="inlineStr">
        <is>
          <t>2025-11-10</t>
        </is>
      </c>
      <c r="Z316" t="inlineStr">
        <is>
          <t>https://app.hubspot.com/contacts/243046792/record/0-3/213215916793</t>
        </is>
      </c>
    </row>
    <row r="317">
      <c r="A317" t="n">
        <v>316</v>
      </c>
      <c r="B317" t="inlineStr">
        <is>
          <t>232557392612</t>
        </is>
      </c>
      <c r="D317" t="inlineStr">
        <is>
          <t>Acquia/Drupal Software Administrator</t>
        </is>
      </c>
      <c r="E317" t="inlineStr">
        <is>
          <t>New York State Office of the State Comptroller</t>
        </is>
      </c>
      <c r="F317" t="inlineStr">
        <is>
          <t>New York</t>
        </is>
      </c>
      <c r="G317" t="inlineStr">
        <is>
          <t>Submitted</t>
        </is>
      </c>
      <c r="H317" t="inlineStr">
        <is>
          <t>No</t>
        </is>
      </c>
      <c r="J317" s="96" t="n">
        <v>46009</v>
      </c>
      <c r="K317" s="96" t="n">
        <v>46009</v>
      </c>
      <c r="M317" t="inlineStr">
        <is>
          <t>Platform Implementation (ERP, CRMs)</t>
        </is>
      </c>
      <c r="N317" t="inlineStr">
        <is>
          <t>Email</t>
        </is>
      </c>
      <c r="O317" t="inlineStr">
        <is>
          <t>Abhishek Zalani</t>
        </is>
      </c>
      <c r="Y317" t="inlineStr">
        <is>
          <t>2025-12-05</t>
        </is>
      </c>
      <c r="Z317" t="inlineStr">
        <is>
          <t>https://app.hubspot.com/contacts/243046792/record/0-3/232557392612</t>
        </is>
      </c>
    </row>
    <row r="318">
      <c r="A318" t="n">
        <v>317</v>
      </c>
      <c r="B318" t="inlineStr">
        <is>
          <t>235966047933</t>
        </is>
      </c>
      <c r="D318" t="inlineStr">
        <is>
          <t>Manage Engine Software</t>
        </is>
      </c>
      <c r="E318" t="inlineStr">
        <is>
          <t>LA County- Internal Services Department</t>
        </is>
      </c>
      <c r="F318" t="inlineStr">
        <is>
          <t>California</t>
        </is>
      </c>
      <c r="G318" t="inlineStr">
        <is>
          <t>Submitted</t>
        </is>
      </c>
      <c r="H318" t="inlineStr">
        <is>
          <t>No</t>
        </is>
      </c>
      <c r="J318" s="96" t="n">
        <v>46009</v>
      </c>
      <c r="K318" s="96" t="n">
        <v>46009</v>
      </c>
      <c r="M318" t="inlineStr">
        <is>
          <t>Reseller</t>
        </is>
      </c>
      <c r="N318" t="inlineStr">
        <is>
          <t>Portal</t>
        </is>
      </c>
      <c r="O318" t="inlineStr">
        <is>
          <t>Ashutosh Chauhan</t>
        </is>
      </c>
      <c r="Y318" t="inlineStr">
        <is>
          <t>2025-12-09</t>
        </is>
      </c>
      <c r="Z318" t="inlineStr">
        <is>
          <t>https://app.hubspot.com/contacts/243046792/record/0-3/235966047933</t>
        </is>
      </c>
    </row>
    <row r="319">
      <c r="A319" t="n">
        <v>318</v>
      </c>
      <c r="B319" t="inlineStr">
        <is>
          <t>235674951390</t>
        </is>
      </c>
      <c r="D319" t="inlineStr">
        <is>
          <t>Oversight Consultant for Implementation of SoftPak Customer Service, Billing and Routing Software for Culver City Sanitation Operations</t>
        </is>
      </c>
      <c r="E319" t="inlineStr">
        <is>
          <t xml:space="preserve">Culver City </t>
        </is>
      </c>
      <c r="F319" t="inlineStr">
        <is>
          <t>California</t>
        </is>
      </c>
      <c r="G319" t="inlineStr">
        <is>
          <t>Closed Lost</t>
        </is>
      </c>
      <c r="H319" t="inlineStr">
        <is>
          <t>No</t>
        </is>
      </c>
      <c r="J319" s="96" t="n">
        <v>46240</v>
      </c>
      <c r="K319" s="96" t="n">
        <v>46009</v>
      </c>
      <c r="M319" t="inlineStr">
        <is>
          <t>Consulting</t>
        </is>
      </c>
      <c r="N319" t="inlineStr">
        <is>
          <t>Portal</t>
        </is>
      </c>
      <c r="O319" t="inlineStr">
        <is>
          <t>Ashutosh Chauhan</t>
        </is>
      </c>
      <c r="Y319" t="inlineStr">
        <is>
          <t>2025-12-08</t>
        </is>
      </c>
      <c r="Z319" t="inlineStr">
        <is>
          <t>https://app.hubspot.com/contacts/243046792/record/0-3/235674951390</t>
        </is>
      </c>
    </row>
    <row r="320">
      <c r="A320" t="n">
        <v>319</v>
      </c>
      <c r="B320" t="inlineStr">
        <is>
          <t>225906283257</t>
        </is>
      </c>
      <c r="D320" t="inlineStr">
        <is>
          <t>Information Systems Consultant</t>
        </is>
      </c>
      <c r="E320" t="inlineStr">
        <is>
          <t>Community Action Partnership of Kern</t>
        </is>
      </c>
      <c r="F320" t="inlineStr">
        <is>
          <t>California</t>
        </is>
      </c>
      <c r="G320" t="inlineStr">
        <is>
          <t>Closed Won</t>
        </is>
      </c>
      <c r="H320" t="inlineStr">
        <is>
          <t>No</t>
        </is>
      </c>
      <c r="J320" t="inlineStr">
        <is>
          <t>2026-01-21</t>
        </is>
      </c>
      <c r="K320" t="inlineStr">
        <is>
          <t>2025-12-18</t>
        </is>
      </c>
      <c r="L320" s="65" t="n">
        <v>100</v>
      </c>
      <c r="M320" t="inlineStr">
        <is>
          <t>Consulting</t>
        </is>
      </c>
      <c r="N320" t="inlineStr">
        <is>
          <t>Email</t>
        </is>
      </c>
      <c r="O320" t="inlineStr">
        <is>
          <t>Ashutosh Chauhan</t>
        </is>
      </c>
      <c r="S320" t="inlineStr">
        <is>
          <t>2026-01-14</t>
        </is>
      </c>
      <c r="U320" t="inlineStr">
        <is>
          <t>2026-01-14</t>
        </is>
      </c>
      <c r="V320" t="inlineStr">
        <is>
          <t>Awarded</t>
        </is>
      </c>
      <c r="Y320" t="inlineStr">
        <is>
          <t>2025-11-24</t>
        </is>
      </c>
      <c r="Z320" t="inlineStr">
        <is>
          <t>https://app.hubspot.com/contacts/243046792/record/0-3/225906283257</t>
        </is>
      </c>
      <c r="AA320" t="inlineStr">
        <is>
          <t>Yes</t>
        </is>
      </c>
    </row>
    <row r="321">
      <c r="A321" t="n">
        <v>320</v>
      </c>
      <c r="B321" t="inlineStr">
        <is>
          <t>232557362897</t>
        </is>
      </c>
      <c r="D321" t="inlineStr">
        <is>
          <t>Incident Response Plan, Disaster Recovery Plan, and Business Continuity Plan</t>
        </is>
      </c>
      <c r="E321" t="inlineStr">
        <is>
          <t>North Texas Municipal Water District (NTMWD)</t>
        </is>
      </c>
      <c r="F321" t="inlineStr">
        <is>
          <t>Texas</t>
        </is>
      </c>
      <c r="G321" t="inlineStr">
        <is>
          <t>Closed Lost</t>
        </is>
      </c>
      <c r="H321" t="inlineStr">
        <is>
          <t>No</t>
        </is>
      </c>
      <c r="J321" s="96" t="n">
        <v>46106</v>
      </c>
      <c r="K321" s="96" t="n">
        <v>46009</v>
      </c>
      <c r="M321" t="inlineStr">
        <is>
          <t>Consulting;Audits and Assessment</t>
        </is>
      </c>
      <c r="N321" t="inlineStr">
        <is>
          <t>Portal;Offline</t>
        </is>
      </c>
      <c r="O321" t="inlineStr">
        <is>
          <t>Jyothsna Nanda kishore</t>
        </is>
      </c>
      <c r="Y321" t="inlineStr">
        <is>
          <t>2025-12-04</t>
        </is>
      </c>
      <c r="Z321" t="inlineStr">
        <is>
          <t>https://app.hubspot.com/contacts/243046792/record/0-3/232557362897</t>
        </is>
      </c>
    </row>
    <row r="322">
      <c r="A322" t="n">
        <v>321</v>
      </c>
      <c r="B322" t="inlineStr">
        <is>
          <t>212696339180</t>
        </is>
      </c>
      <c r="C322" t="inlineStr">
        <is>
          <t>AI02-26</t>
        </is>
      </c>
      <c r="D322" t="inlineStr">
        <is>
          <t>Houston-Galveston Area Council - AI Consulting Services</t>
        </is>
      </c>
      <c r="E322" t="inlineStr">
        <is>
          <t>Houston-Galveston Area Council</t>
        </is>
      </c>
      <c r="F322" t="inlineStr">
        <is>
          <t>Texas</t>
        </is>
      </c>
      <c r="G322" t="inlineStr">
        <is>
          <t>Closed Won</t>
        </is>
      </c>
      <c r="H322" t="inlineStr">
        <is>
          <t>No</t>
        </is>
      </c>
      <c r="J322" s="96" t="n">
        <v>46154</v>
      </c>
      <c r="K322" s="96" t="n">
        <v>46009</v>
      </c>
      <c r="M322" t="inlineStr">
        <is>
          <t>Consulting;Staff Augmentation</t>
        </is>
      </c>
      <c r="N322" t="inlineStr">
        <is>
          <t>Portal</t>
        </is>
      </c>
      <c r="O322" t="inlineStr">
        <is>
          <t>Ashutosh Chauhan</t>
        </is>
      </c>
      <c r="S322" t="inlineStr">
        <is>
          <t>2026-04-30</t>
        </is>
      </c>
      <c r="U322" s="96" t="n">
        <v>46119</v>
      </c>
      <c r="Y322" t="inlineStr">
        <is>
          <t>2025-11-10</t>
        </is>
      </c>
      <c r="Z322" t="inlineStr">
        <is>
          <t>https://app.hubspot.com/contacts/243046792/record/0-3/212696339180</t>
        </is>
      </c>
      <c r="AA322" t="inlineStr">
        <is>
          <t>No</t>
        </is>
      </c>
    </row>
    <row r="323">
      <c r="A323" t="n">
        <v>322</v>
      </c>
      <c r="B323" t="inlineStr">
        <is>
          <t>236125634266</t>
        </is>
      </c>
      <c r="D323" t="inlineStr">
        <is>
          <t>Web Developer</t>
        </is>
      </c>
      <c r="E323" t="inlineStr">
        <is>
          <t>Cold Climate Housing Research Center</t>
        </is>
      </c>
      <c r="F323" t="inlineStr">
        <is>
          <t>Alaska</t>
        </is>
      </c>
      <c r="G323" t="inlineStr">
        <is>
          <t>Submitted</t>
        </is>
      </c>
      <c r="H323" t="inlineStr">
        <is>
          <t>No</t>
        </is>
      </c>
      <c r="J323" s="96" t="n">
        <v>46010</v>
      </c>
      <c r="K323" s="96" t="n">
        <v>46010</v>
      </c>
      <c r="M323" t="inlineStr">
        <is>
          <t>Platform Implementation (ERP, CRMs)</t>
        </is>
      </c>
      <c r="O323" t="inlineStr">
        <is>
          <t>Savya Atrey</t>
        </is>
      </c>
      <c r="Y323" t="inlineStr">
        <is>
          <t>2025-12-09</t>
        </is>
      </c>
      <c r="Z323" t="inlineStr">
        <is>
          <t>https://app.hubspot.com/contacts/243046792/record/0-3/236125634266</t>
        </is>
      </c>
    </row>
    <row r="324">
      <c r="A324" t="n">
        <v>323</v>
      </c>
      <c r="B324" t="inlineStr">
        <is>
          <t>235322595062</t>
        </is>
      </c>
      <c r="C324" t="inlineStr">
        <is>
          <t>25-0196991</t>
        </is>
      </c>
      <c r="D324" t="inlineStr">
        <is>
          <t>IBM BAWE Software and Support Renewal</t>
        </is>
      </c>
      <c r="E324" t="inlineStr">
        <is>
          <t>California Department of Technology</t>
        </is>
      </c>
      <c r="F324" t="inlineStr">
        <is>
          <t>California</t>
        </is>
      </c>
      <c r="G324" t="inlineStr">
        <is>
          <t>Submitted</t>
        </is>
      </c>
      <c r="H324" t="inlineStr">
        <is>
          <t>No</t>
        </is>
      </c>
      <c r="J324" s="96" t="n">
        <v>46010</v>
      </c>
      <c r="K324" s="96" t="n">
        <v>46010</v>
      </c>
      <c r="M324" t="inlineStr">
        <is>
          <t>Reseller</t>
        </is>
      </c>
      <c r="O324" t="inlineStr">
        <is>
          <t>Savya Atrey</t>
        </is>
      </c>
      <c r="Y324" t="inlineStr">
        <is>
          <t>2025-12-09</t>
        </is>
      </c>
      <c r="Z324" t="inlineStr">
        <is>
          <t>https://app.hubspot.com/contacts/243046792/record/0-3/235322595062</t>
        </is>
      </c>
    </row>
    <row r="325">
      <c r="A325" t="n">
        <v>324</v>
      </c>
      <c r="B325" t="inlineStr">
        <is>
          <t>241574127318</t>
        </is>
      </c>
      <c r="D325" t="inlineStr">
        <is>
          <t>Offline - IT Administrative Services</t>
        </is>
      </c>
      <c r="E325" t="inlineStr">
        <is>
          <t>City of Moberly</t>
        </is>
      </c>
      <c r="F325" t="inlineStr">
        <is>
          <t>Missouri</t>
        </is>
      </c>
      <c r="G325" t="inlineStr">
        <is>
          <t>Submitted</t>
        </is>
      </c>
      <c r="H325" t="inlineStr">
        <is>
          <t>No</t>
        </is>
      </c>
      <c r="J325" s="96" t="n">
        <v>46021</v>
      </c>
      <c r="K325" s="96" t="n">
        <v>46013</v>
      </c>
      <c r="M325" t="inlineStr">
        <is>
          <t>Managed Services (MSP)</t>
        </is>
      </c>
      <c r="O325" t="inlineStr">
        <is>
          <t>Abhishek Zalani</t>
        </is>
      </c>
      <c r="Y325" t="inlineStr">
        <is>
          <t>2025-12-17</t>
        </is>
      </c>
      <c r="Z325" t="inlineStr">
        <is>
          <t>https://app.hubspot.com/contacts/243046792/record/0-3/241574127318</t>
        </is>
      </c>
    </row>
    <row r="326">
      <c r="A326" t="n">
        <v>325</v>
      </c>
      <c r="B326" t="inlineStr">
        <is>
          <t>232531954396</t>
        </is>
      </c>
      <c r="D326" t="inlineStr">
        <is>
          <t>Ryan White IT Consulting Services</t>
        </is>
      </c>
      <c r="E326" t="inlineStr">
        <is>
          <t>Maricopa County</t>
        </is>
      </c>
      <c r="F326" t="inlineStr">
        <is>
          <t>Arizona</t>
        </is>
      </c>
      <c r="G326" t="inlineStr">
        <is>
          <t>RFx Cancelled</t>
        </is>
      </c>
      <c r="H326" t="inlineStr">
        <is>
          <t>No</t>
        </is>
      </c>
      <c r="J326" s="96" t="n">
        <v>46027</v>
      </c>
      <c r="K326" s="96" t="n">
        <v>46013</v>
      </c>
      <c r="L326" s="65" t="n">
        <v>199200</v>
      </c>
      <c r="M326" t="inlineStr">
        <is>
          <t>Consulting</t>
        </is>
      </c>
      <c r="N326" t="inlineStr">
        <is>
          <t>Portal</t>
        </is>
      </c>
      <c r="O326" t="inlineStr">
        <is>
          <t>Jyothsna Nanda kishore</t>
        </is>
      </c>
      <c r="Y326" t="inlineStr">
        <is>
          <t>2025-12-04</t>
        </is>
      </c>
      <c r="Z326" t="inlineStr">
        <is>
          <t>https://app.hubspot.com/contacts/243046792/record/0-3/232531954396</t>
        </is>
      </c>
    </row>
    <row r="327">
      <c r="A327" t="n">
        <v>326</v>
      </c>
      <c r="B327" t="inlineStr">
        <is>
          <t>216640722662</t>
        </is>
      </c>
      <c r="D327" t="inlineStr">
        <is>
          <t>Digital Communications - Enterprise Email and SMS Marketing</t>
        </is>
      </c>
      <c r="E327" t="inlineStr">
        <is>
          <t>Oakland County</t>
        </is>
      </c>
      <c r="F327" t="inlineStr">
        <is>
          <t>Michigan</t>
        </is>
      </c>
      <c r="G327" t="inlineStr">
        <is>
          <t>Closed Lost</t>
        </is>
      </c>
      <c r="H327" t="inlineStr">
        <is>
          <t>No</t>
        </is>
      </c>
      <c r="J327" s="96" t="n">
        <v>46219</v>
      </c>
      <c r="K327" s="96" t="n">
        <v>46014</v>
      </c>
      <c r="M327" t="inlineStr">
        <is>
          <t>Reseller</t>
        </is>
      </c>
      <c r="N327" t="inlineStr">
        <is>
          <t>Portal</t>
        </is>
      </c>
      <c r="O327" t="inlineStr">
        <is>
          <t>Jyothsna Nanda kishore</t>
        </is>
      </c>
      <c r="Y327" t="inlineStr">
        <is>
          <t>2025-11-12</t>
        </is>
      </c>
      <c r="Z327" t="inlineStr">
        <is>
          <t>https://app.hubspot.com/contacts/243046792/record/0-3/216640722662</t>
        </is>
      </c>
    </row>
    <row r="328">
      <c r="A328" t="n">
        <v>327</v>
      </c>
      <c r="B328" t="inlineStr">
        <is>
          <t>235608146621</t>
        </is>
      </c>
      <c r="D328" t="inlineStr">
        <is>
          <t>OFF: Migration of Wahkiakum County fromMicrosoft Office 365 Commercial to Microsoft Office 365 Government CommunityCloud</t>
        </is>
      </c>
      <c r="E328" t="inlineStr">
        <is>
          <t>Wahkiakum County</t>
        </is>
      </c>
      <c r="F328" t="inlineStr">
        <is>
          <t>Washington</t>
        </is>
      </c>
      <c r="G328" t="inlineStr">
        <is>
          <t>Submitted</t>
        </is>
      </c>
      <c r="H328" t="inlineStr">
        <is>
          <t>No</t>
        </is>
      </c>
      <c r="J328" s="96" t="n">
        <v>46014</v>
      </c>
      <c r="K328" s="96" t="n">
        <v>46014</v>
      </c>
      <c r="M328" t="inlineStr">
        <is>
          <t>Modernization / Migration</t>
        </is>
      </c>
      <c r="N328" t="inlineStr">
        <is>
          <t>Offline</t>
        </is>
      </c>
      <c r="O328" t="inlineStr">
        <is>
          <t>Ashutosh Chauhan</t>
        </is>
      </c>
      <c r="Y328" t="inlineStr">
        <is>
          <t>2025-12-09</t>
        </is>
      </c>
      <c r="Z328" t="inlineStr">
        <is>
          <t>https://app.hubspot.com/contacts/243046792/record/0-3/235608146621</t>
        </is>
      </c>
    </row>
    <row r="329">
      <c r="A329" t="n">
        <v>328</v>
      </c>
      <c r="B329" t="inlineStr">
        <is>
          <t>231822297828</t>
        </is>
      </c>
      <c r="D329" t="inlineStr">
        <is>
          <t>Technology Managed Service Provider</t>
        </is>
      </c>
      <c r="E329" t="inlineStr">
        <is>
          <t xml:space="preserve">City of Two Rivers </t>
        </is>
      </c>
      <c r="F329" t="inlineStr">
        <is>
          <t>Wisconsin</t>
        </is>
      </c>
      <c r="G329" t="inlineStr">
        <is>
          <t>Submitted</t>
        </is>
      </c>
      <c r="H329" t="inlineStr">
        <is>
          <t>No</t>
        </is>
      </c>
      <c r="J329" s="96" t="n">
        <v>46014</v>
      </c>
      <c r="K329" s="96" t="n">
        <v>46014</v>
      </c>
      <c r="M329" t="inlineStr">
        <is>
          <t>Managed Services (MSP)</t>
        </is>
      </c>
      <c r="N329" t="inlineStr">
        <is>
          <t>Email</t>
        </is>
      </c>
      <c r="O329" t="inlineStr">
        <is>
          <t>Ashutosh Chauhan</t>
        </is>
      </c>
      <c r="Y329" s="96" t="n">
        <v>45993</v>
      </c>
      <c r="Z329" t="inlineStr">
        <is>
          <t>https://app.hubspot.com/contacts/243046792/record/0-3/231822297828</t>
        </is>
      </c>
    </row>
    <row r="330">
      <c r="A330" t="n">
        <v>329</v>
      </c>
      <c r="B330" t="inlineStr">
        <is>
          <t>232534113012</t>
        </is>
      </c>
      <c r="D330" t="inlineStr">
        <is>
          <t>Constituent Relationship Management (CRM) System for the North Dakota Office of the Governor</t>
        </is>
      </c>
      <c r="E330" t="inlineStr">
        <is>
          <t>Office of Management and Budget Facilities Division</t>
        </is>
      </c>
      <c r="F330" t="inlineStr">
        <is>
          <t>North Dakota</t>
        </is>
      </c>
      <c r="G330" t="inlineStr">
        <is>
          <t>Interview</t>
        </is>
      </c>
      <c r="H330" t="inlineStr">
        <is>
          <t>Yes</t>
        </is>
      </c>
      <c r="I330" t="inlineStr">
        <is>
          <t>BAFO</t>
        </is>
      </c>
      <c r="J330" s="96" t="n">
        <v>46014</v>
      </c>
      <c r="K330" s="96" t="n">
        <v>46014</v>
      </c>
      <c r="L330" s="65" t="n">
        <v>78460</v>
      </c>
      <c r="M330" t="inlineStr">
        <is>
          <t>Platform Implementation (ERP, CRMs)</t>
        </is>
      </c>
      <c r="N330" t="inlineStr">
        <is>
          <t>Portal</t>
        </is>
      </c>
      <c r="O330" t="inlineStr">
        <is>
          <t>Jyothsna Nanda kishore</t>
        </is>
      </c>
      <c r="P330" t="inlineStr">
        <is>
          <t>BAFO</t>
        </is>
      </c>
      <c r="R330" t="inlineStr">
        <is>
          <t>2026-01-22</t>
        </is>
      </c>
      <c r="Y330" t="inlineStr">
        <is>
          <t>2025-12-04</t>
        </is>
      </c>
      <c r="Z330" t="inlineStr">
        <is>
          <t>https://app.hubspot.com/contacts/243046792/record/0-3/232534113012</t>
        </is>
      </c>
    </row>
    <row r="331">
      <c r="A331" t="n">
        <v>330</v>
      </c>
      <c r="B331" t="inlineStr">
        <is>
          <t>235831772894</t>
        </is>
      </c>
      <c r="D331" t="inlineStr">
        <is>
          <t>Citywide Technology Master Plan</t>
        </is>
      </c>
      <c r="E331" t="inlineStr">
        <is>
          <t xml:space="preserve">City of Lake Forest </t>
        </is>
      </c>
      <c r="F331" t="inlineStr">
        <is>
          <t>California</t>
        </is>
      </c>
      <c r="G331" t="inlineStr">
        <is>
          <t>Submitted</t>
        </is>
      </c>
      <c r="H331" t="inlineStr">
        <is>
          <t>No</t>
        </is>
      </c>
      <c r="J331" s="96" t="n">
        <v>46015</v>
      </c>
      <c r="K331" s="96" t="n">
        <v>46015</v>
      </c>
      <c r="M331" t="inlineStr">
        <is>
          <t>Support &amp; Maintenance</t>
        </is>
      </c>
      <c r="N331" t="inlineStr">
        <is>
          <t>Portal</t>
        </is>
      </c>
      <c r="O331" t="inlineStr">
        <is>
          <t>Ashutosh Chauhan</t>
        </is>
      </c>
      <c r="Y331" t="inlineStr">
        <is>
          <t>2025-12-08</t>
        </is>
      </c>
      <c r="Z331" t="inlineStr">
        <is>
          <t>https://app.hubspot.com/contacts/243046792/record/0-3/235831772894</t>
        </is>
      </c>
    </row>
    <row r="332">
      <c r="A332" t="n">
        <v>331</v>
      </c>
      <c r="B332" t="inlineStr">
        <is>
          <t>246130760440</t>
        </is>
      </c>
      <c r="D332" t="inlineStr">
        <is>
          <t>Information Technology Service &amp; Support (Offline)</t>
        </is>
      </c>
      <c r="E332" t="inlineStr">
        <is>
          <t>Braxton County Commission</t>
        </is>
      </c>
      <c r="F332" t="inlineStr">
        <is>
          <t>West Virginia</t>
        </is>
      </c>
      <c r="G332" t="inlineStr">
        <is>
          <t>Submitted</t>
        </is>
      </c>
      <c r="H332" t="inlineStr">
        <is>
          <t>No</t>
        </is>
      </c>
      <c r="J332" s="96" t="n">
        <v>46024</v>
      </c>
      <c r="K332" s="96" t="n">
        <v>46015</v>
      </c>
      <c r="L332" s="65" t="n">
        <v>14400</v>
      </c>
      <c r="M332" t="inlineStr">
        <is>
          <t>Managed Services (MSP)</t>
        </is>
      </c>
      <c r="N332" t="inlineStr">
        <is>
          <t>Offline</t>
        </is>
      </c>
      <c r="O332" t="inlineStr">
        <is>
          <t>Abhishek Zalani</t>
        </is>
      </c>
      <c r="Y332" t="inlineStr">
        <is>
          <t>2025-12-22</t>
        </is>
      </c>
      <c r="Z332" t="inlineStr">
        <is>
          <t>https://app.hubspot.com/contacts/243046792/record/0-3/246130760440</t>
        </is>
      </c>
    </row>
    <row r="333">
      <c r="A333" t="n">
        <v>332</v>
      </c>
      <c r="B333" t="inlineStr">
        <is>
          <t>235966048969</t>
        </is>
      </c>
      <c r="C333" t="inlineStr">
        <is>
          <t xml:space="preserve"> SDBOR11242025</t>
        </is>
      </c>
      <c r="D333" t="inlineStr">
        <is>
          <t>Offline - COMPREHENSIVE IT REVIEW</t>
        </is>
      </c>
      <c r="E333" t="inlineStr">
        <is>
          <t>South Dakota Board of Regents</t>
        </is>
      </c>
      <c r="F333" t="inlineStr">
        <is>
          <t>South Dakota</t>
        </is>
      </c>
      <c r="G333" t="inlineStr">
        <is>
          <t>Closed Lost</t>
        </is>
      </c>
      <c r="H333" t="inlineStr">
        <is>
          <t>No</t>
        </is>
      </c>
      <c r="J333" s="96" t="n">
        <v>46154</v>
      </c>
      <c r="K333" s="96" t="n">
        <v>46017</v>
      </c>
      <c r="M333" t="inlineStr">
        <is>
          <t>Managed Services (MSP)</t>
        </is>
      </c>
      <c r="O333" t="inlineStr">
        <is>
          <t>Savya Atrey</t>
        </is>
      </c>
      <c r="Y333" t="inlineStr">
        <is>
          <t>2025-12-09</t>
        </is>
      </c>
      <c r="Z333" t="inlineStr">
        <is>
          <t>https://app.hubspot.com/contacts/243046792/record/0-3/235966048969</t>
        </is>
      </c>
    </row>
    <row r="334">
      <c r="A334" t="n">
        <v>333</v>
      </c>
      <c r="B334" t="inlineStr">
        <is>
          <t>222282809035</t>
        </is>
      </c>
      <c r="D334" t="inlineStr">
        <is>
          <t>Augmented Staff - Mobile App Developer</t>
        </is>
      </c>
      <c r="E334" t="inlineStr">
        <is>
          <t>Montana Department of Fish Wildlife and Parks</t>
        </is>
      </c>
      <c r="F334" t="inlineStr">
        <is>
          <t>Montana</t>
        </is>
      </c>
      <c r="G334" t="inlineStr">
        <is>
          <t>RFx Cancelled</t>
        </is>
      </c>
      <c r="H334" t="inlineStr">
        <is>
          <t>No</t>
        </is>
      </c>
      <c r="J334" s="96" t="n">
        <v>46020</v>
      </c>
      <c r="K334" s="96" t="n">
        <v>46020</v>
      </c>
      <c r="L334" s="65" t="n">
        <v>142500</v>
      </c>
      <c r="M334" t="inlineStr">
        <is>
          <t>Staff Augmentation</t>
        </is>
      </c>
      <c r="O334" t="inlineStr">
        <is>
          <t>Ashutosh Chauhan</t>
        </is>
      </c>
      <c r="Y334" t="inlineStr">
        <is>
          <t>2025-11-18</t>
        </is>
      </c>
      <c r="Z334" t="inlineStr">
        <is>
          <t>https://app.hubspot.com/contacts/243046792/record/0-3/222282809035</t>
        </is>
      </c>
    </row>
    <row r="335">
      <c r="A335" t="n">
        <v>334</v>
      </c>
      <c r="B335" t="inlineStr">
        <is>
          <t>239542728408</t>
        </is>
      </c>
      <c r="D335" t="inlineStr">
        <is>
          <t>Project Director for Oracle Fusion Implementation</t>
        </is>
      </c>
      <c r="E335" t="inlineStr">
        <is>
          <t>Marion County</t>
        </is>
      </c>
      <c r="F335" t="inlineStr">
        <is>
          <t>Oregon</t>
        </is>
      </c>
      <c r="G335" t="inlineStr">
        <is>
          <t>Closed Lost</t>
        </is>
      </c>
      <c r="H335" t="inlineStr">
        <is>
          <t>No</t>
        </is>
      </c>
      <c r="J335" s="96" t="n">
        <v>46080</v>
      </c>
      <c r="K335" s="96" t="n">
        <v>46020</v>
      </c>
      <c r="M335" t="inlineStr">
        <is>
          <t>Staff Augmentation</t>
        </is>
      </c>
      <c r="N335" t="inlineStr">
        <is>
          <t>Portal</t>
        </is>
      </c>
      <c r="O335" t="inlineStr">
        <is>
          <t>Jyothsna Nanda kishore</t>
        </is>
      </c>
      <c r="Y335" t="inlineStr">
        <is>
          <t>2025-12-17</t>
        </is>
      </c>
      <c r="Z335" t="inlineStr">
        <is>
          <t>https://app.hubspot.com/contacts/243046792/record/0-3/239542728408</t>
        </is>
      </c>
    </row>
    <row r="336">
      <c r="A336" t="n">
        <v>335</v>
      </c>
      <c r="B336" t="inlineStr">
        <is>
          <t>235608145596</t>
        </is>
      </c>
      <c r="C336" t="inlineStr">
        <is>
          <t>K26-0033-25</t>
        </is>
      </c>
      <c r="D336" t="inlineStr">
        <is>
          <t>People’s Law Library Website Hosting, Maintenance &amp; Support Services</t>
        </is>
      </c>
      <c r="E336" t="inlineStr">
        <is>
          <t>The Administrative Office of the Courts (AOC)</t>
        </is>
      </c>
      <c r="F336" t="inlineStr">
        <is>
          <t>Maryland</t>
        </is>
      </c>
      <c r="G336" t="inlineStr">
        <is>
          <t>Submitted</t>
        </is>
      </c>
      <c r="H336" t="inlineStr">
        <is>
          <t>No</t>
        </is>
      </c>
      <c r="J336" s="96" t="n">
        <v>46021</v>
      </c>
      <c r="K336" s="96" t="n">
        <v>46021</v>
      </c>
      <c r="M336" t="inlineStr">
        <is>
          <t>Consulting</t>
        </is>
      </c>
      <c r="O336" t="inlineStr">
        <is>
          <t>Savya Atrey</t>
        </is>
      </c>
      <c r="Y336" t="inlineStr">
        <is>
          <t>2025-12-09</t>
        </is>
      </c>
      <c r="Z336" t="inlineStr">
        <is>
          <t>https://app.hubspot.com/contacts/243046792/record/0-3/235608145596</t>
        </is>
      </c>
    </row>
    <row r="337">
      <c r="A337" t="n">
        <v>336</v>
      </c>
      <c r="B337" t="inlineStr">
        <is>
          <t>235322596041</t>
        </is>
      </c>
      <c r="D337" t="inlineStr">
        <is>
          <t>Information Technology Managed Services</t>
        </is>
      </c>
      <c r="E337" t="inlineStr">
        <is>
          <t>Otero County [NM]</t>
        </is>
      </c>
      <c r="F337" t="inlineStr">
        <is>
          <t>New Mexico</t>
        </is>
      </c>
      <c r="G337" t="inlineStr">
        <is>
          <t>Submitted</t>
        </is>
      </c>
      <c r="H337" t="inlineStr">
        <is>
          <t>No</t>
        </is>
      </c>
      <c r="J337" s="96" t="n">
        <v>46021</v>
      </c>
      <c r="K337" s="96" t="n">
        <v>46021</v>
      </c>
      <c r="M337" t="inlineStr">
        <is>
          <t>Managed Services (MSP)</t>
        </is>
      </c>
      <c r="O337" t="inlineStr">
        <is>
          <t>Abhishek Zalani</t>
        </is>
      </c>
      <c r="Y337" t="inlineStr">
        <is>
          <t>2025-12-09</t>
        </is>
      </c>
      <c r="Z337" t="inlineStr">
        <is>
          <t>https://app.hubspot.com/contacts/243046792/record/0-3/235322596041</t>
        </is>
      </c>
    </row>
    <row r="338">
      <c r="A338" t="n">
        <v>337</v>
      </c>
      <c r="B338" t="inlineStr">
        <is>
          <t>237430447853</t>
        </is>
      </c>
      <c r="D338" t="inlineStr">
        <is>
          <t>Procurement of Office 365 Licensing &amp; Migration Services</t>
        </is>
      </c>
      <c r="E338" t="inlineStr">
        <is>
          <t>Township of North Burnswick</t>
        </is>
      </c>
      <c r="F338" t="inlineStr">
        <is>
          <t>New Jersey</t>
        </is>
      </c>
      <c r="G338" t="inlineStr">
        <is>
          <t>Submitted</t>
        </is>
      </c>
      <c r="H338" t="inlineStr">
        <is>
          <t>No</t>
        </is>
      </c>
      <c r="J338" s="96" t="n">
        <v>46021</v>
      </c>
      <c r="K338" s="96" t="n">
        <v>46021</v>
      </c>
      <c r="M338" t="inlineStr">
        <is>
          <t>Modernization / Migration</t>
        </is>
      </c>
      <c r="N338" t="inlineStr">
        <is>
          <t>Portal</t>
        </is>
      </c>
      <c r="O338" t="inlineStr">
        <is>
          <t>Abhishek Zalani</t>
        </is>
      </c>
      <c r="Y338" t="inlineStr">
        <is>
          <t>2025-12-11</t>
        </is>
      </c>
      <c r="Z338" t="inlineStr">
        <is>
          <t>https://app.hubspot.com/contacts/243046792/record/0-3/237430447853</t>
        </is>
      </c>
    </row>
    <row r="339">
      <c r="A339" t="n">
        <v>338</v>
      </c>
      <c r="B339" t="inlineStr">
        <is>
          <t>235886616288</t>
        </is>
      </c>
      <c r="D339" t="inlineStr">
        <is>
          <t>LEAD CHARTER SCHOOL - Rebid- Information Technology Services</t>
        </is>
      </c>
      <c r="E339" t="inlineStr">
        <is>
          <t>LEAD CHARTER SCHOOL</t>
        </is>
      </c>
      <c r="F339" t="inlineStr">
        <is>
          <t>New Jersey</t>
        </is>
      </c>
      <c r="G339" t="inlineStr">
        <is>
          <t>Intent to Award</t>
        </is>
      </c>
      <c r="H339" t="inlineStr">
        <is>
          <t>No</t>
        </is>
      </c>
      <c r="J339" s="96" t="n">
        <v>46072</v>
      </c>
      <c r="K339" s="96" t="n">
        <v>46023</v>
      </c>
      <c r="L339" s="65" t="n">
        <v>24750</v>
      </c>
      <c r="M339" t="inlineStr">
        <is>
          <t>Managed Services (MSP)</t>
        </is>
      </c>
      <c r="N339" t="inlineStr">
        <is>
          <t>Offline</t>
        </is>
      </c>
      <c r="O339" t="inlineStr">
        <is>
          <t>Jyothsna Nanda kishore</t>
        </is>
      </c>
      <c r="S339" s="96" t="n">
        <v>46062</v>
      </c>
      <c r="U339" s="96" t="n">
        <v>46062</v>
      </c>
      <c r="Y339" t="inlineStr">
        <is>
          <t>2025-12-09</t>
        </is>
      </c>
      <c r="Z339" t="inlineStr">
        <is>
          <t>https://app.hubspot.com/contacts/243046792/record/0-3/235886616288</t>
        </is>
      </c>
      <c r="AA339" t="inlineStr">
        <is>
          <t>Yes</t>
        </is>
      </c>
    </row>
    <row r="340">
      <c r="A340" t="n">
        <v>339</v>
      </c>
      <c r="B340" t="inlineStr">
        <is>
          <t>246132198107</t>
        </is>
      </c>
      <c r="C340" t="inlineStr">
        <is>
          <t>BD-26-1133-1133C-1133L-123446</t>
        </is>
      </c>
      <c r="D340" t="inlineStr">
        <is>
          <t>Managed Information Technology (IT) Services</t>
        </is>
      </c>
      <c r="E340" t="inlineStr">
        <is>
          <t>Brookline Housing Authority</t>
        </is>
      </c>
      <c r="F340" t="inlineStr">
        <is>
          <t>Massachusetts</t>
        </is>
      </c>
      <c r="G340" t="inlineStr">
        <is>
          <t>Submitted</t>
        </is>
      </c>
      <c r="H340" t="inlineStr">
        <is>
          <t>No</t>
        </is>
      </c>
      <c r="J340" s="96" t="n">
        <v>46024</v>
      </c>
      <c r="K340" s="96" t="n">
        <v>46024</v>
      </c>
      <c r="M340" t="inlineStr">
        <is>
          <t>Managed Services (MSP)</t>
        </is>
      </c>
      <c r="O340" t="inlineStr">
        <is>
          <t>Savya Atrey</t>
        </is>
      </c>
      <c r="Y340" t="inlineStr">
        <is>
          <t>2025-12-22</t>
        </is>
      </c>
      <c r="Z340" t="inlineStr">
        <is>
          <t>https://app.hubspot.com/contacts/243046792/record/0-3/246132198107</t>
        </is>
      </c>
    </row>
    <row r="341">
      <c r="A341" t="n">
        <v>340</v>
      </c>
      <c r="B341" t="inlineStr">
        <is>
          <t>235966047977</t>
        </is>
      </c>
      <c r="D341" t="inlineStr">
        <is>
          <t>I.T. STAFF AUGMENTATION SERVICES</t>
        </is>
      </c>
      <c r="E341" t="inlineStr">
        <is>
          <t>Buffalo Public Schools</t>
        </is>
      </c>
      <c r="F341" t="inlineStr">
        <is>
          <t>New York</t>
        </is>
      </c>
      <c r="G341" t="inlineStr">
        <is>
          <t>Closed Lost</t>
        </is>
      </c>
      <c r="H341" t="inlineStr">
        <is>
          <t>Yes</t>
        </is>
      </c>
      <c r="I341" t="inlineStr">
        <is>
          <t>Interview</t>
        </is>
      </c>
      <c r="J341" s="96" t="n">
        <v>46141</v>
      </c>
      <c r="K341" s="96" t="n">
        <v>46027</v>
      </c>
      <c r="M341" t="inlineStr">
        <is>
          <t>Staff Augmentation</t>
        </is>
      </c>
      <c r="N341" t="inlineStr">
        <is>
          <t>Portal</t>
        </is>
      </c>
      <c r="O341" t="inlineStr">
        <is>
          <t>Ashutosh Chauhan</t>
        </is>
      </c>
      <c r="Q341" t="inlineStr">
        <is>
          <t>2026-01-26</t>
        </is>
      </c>
      <c r="Y341" t="inlineStr">
        <is>
          <t>2025-12-09</t>
        </is>
      </c>
      <c r="Z341" t="inlineStr">
        <is>
          <t>https://app.hubspot.com/contacts/243046792/record/0-3/235966047977</t>
        </is>
      </c>
    </row>
    <row r="342">
      <c r="A342" t="n">
        <v>341</v>
      </c>
      <c r="B342" t="inlineStr">
        <is>
          <t>204633036493</t>
        </is>
      </c>
      <c r="D342" t="inlineStr">
        <is>
          <t>IT Professional Services</t>
        </is>
      </c>
      <c r="E342" t="inlineStr">
        <is>
          <t>EdgeMarket NJ</t>
        </is>
      </c>
      <c r="F342" t="inlineStr">
        <is>
          <t>New Jersey</t>
        </is>
      </c>
      <c r="G342" t="inlineStr">
        <is>
          <t>RFx Cancelled</t>
        </is>
      </c>
      <c r="H342" t="inlineStr">
        <is>
          <t>No</t>
        </is>
      </c>
      <c r="J342" s="96" t="n">
        <v>46028</v>
      </c>
      <c r="K342" s="96" t="n">
        <v>46028</v>
      </c>
      <c r="M342" t="inlineStr">
        <is>
          <t>Managed Services (MSP);Staff Augmentation</t>
        </is>
      </c>
      <c r="N342" t="inlineStr">
        <is>
          <t>Portal</t>
        </is>
      </c>
      <c r="O342" t="inlineStr">
        <is>
          <t>Ashutosh Chauhan</t>
        </is>
      </c>
      <c r="Y342" t="inlineStr">
        <is>
          <t>2025-10-30</t>
        </is>
      </c>
      <c r="Z342" t="inlineStr">
        <is>
          <t>https://app.hubspot.com/contacts/243046792/record/0-3/204633036493</t>
        </is>
      </c>
    </row>
    <row r="343">
      <c r="A343" t="n">
        <v>342</v>
      </c>
      <c r="B343" t="inlineStr">
        <is>
          <t>236125634243</t>
        </is>
      </c>
      <c r="D343" t="inlineStr">
        <is>
          <t>Salesforce Implementation Partner</t>
        </is>
      </c>
      <c r="E343" t="inlineStr">
        <is>
          <t xml:space="preserve">St. Vrain Valley School District </t>
        </is>
      </c>
      <c r="F343" t="inlineStr">
        <is>
          <t>Colorado</t>
        </is>
      </c>
      <c r="G343" t="inlineStr">
        <is>
          <t>Closed Lost</t>
        </is>
      </c>
      <c r="H343" t="inlineStr">
        <is>
          <t>Yes</t>
        </is>
      </c>
      <c r="I343" t="inlineStr">
        <is>
          <t>Interview</t>
        </is>
      </c>
      <c r="J343" s="96" t="n">
        <v>46146</v>
      </c>
      <c r="K343" s="96" t="n">
        <v>46028</v>
      </c>
      <c r="M343" t="inlineStr">
        <is>
          <t>Consulting</t>
        </is>
      </c>
      <c r="N343" t="inlineStr">
        <is>
          <t>Portal</t>
        </is>
      </c>
      <c r="O343" t="inlineStr">
        <is>
          <t>Ashutosh Chauhan</t>
        </is>
      </c>
      <c r="Q343" t="inlineStr">
        <is>
          <t>2026-02-02</t>
        </is>
      </c>
      <c r="Y343" t="inlineStr">
        <is>
          <t>2025-12-09</t>
        </is>
      </c>
      <c r="Z343" t="inlineStr">
        <is>
          <t>https://app.hubspot.com/contacts/243046792/record/0-3/236125634243</t>
        </is>
      </c>
    </row>
    <row r="344">
      <c r="A344" t="n">
        <v>343</v>
      </c>
      <c r="B344" t="inlineStr">
        <is>
          <t>255418647276</t>
        </is>
      </c>
      <c r="D344" t="inlineStr">
        <is>
          <t>Data Dashboard Design, Implementation, and Infrastructure Support</t>
        </is>
      </c>
      <c r="E344" t="inlineStr">
        <is>
          <t>Colorado Charter School Institute</t>
        </is>
      </c>
      <c r="F344" t="inlineStr">
        <is>
          <t>Colorado</t>
        </is>
      </c>
      <c r="G344" t="inlineStr">
        <is>
          <t>Submitted</t>
        </is>
      </c>
      <c r="H344" t="inlineStr">
        <is>
          <t>No</t>
        </is>
      </c>
      <c r="J344" s="96" t="n">
        <v>46029</v>
      </c>
      <c r="K344" s="96" t="n">
        <v>46029</v>
      </c>
      <c r="L344" s="65" t="n">
        <v>20500</v>
      </c>
      <c r="M344" t="inlineStr">
        <is>
          <t>Managed Services (MSP)</t>
        </is>
      </c>
      <c r="N344" t="inlineStr">
        <is>
          <t>Email</t>
        </is>
      </c>
      <c r="O344" t="inlineStr">
        <is>
          <t>Savya Atrey</t>
        </is>
      </c>
      <c r="Y344" t="inlineStr">
        <is>
          <t>2026-01-06</t>
        </is>
      </c>
      <c r="Z344" t="inlineStr">
        <is>
          <t>https://app.hubspot.com/contacts/243046792/record/0-3/255418647276</t>
        </is>
      </c>
    </row>
    <row r="345">
      <c r="A345" t="n">
        <v>344</v>
      </c>
      <c r="B345" t="inlineStr">
        <is>
          <t>250428612338</t>
        </is>
      </c>
      <c r="D345" t="inlineStr">
        <is>
          <t>offline - INFORMATION TECHNOLOGY SERVICES</t>
        </is>
      </c>
      <c r="E345" t="inlineStr">
        <is>
          <t xml:space="preserve">CITY OF SUMMIT POLICE DEPARTMENT </t>
        </is>
      </c>
      <c r="F345" t="inlineStr">
        <is>
          <t>New Jersey</t>
        </is>
      </c>
      <c r="G345" t="inlineStr">
        <is>
          <t>Submitted</t>
        </is>
      </c>
      <c r="H345" t="inlineStr">
        <is>
          <t>No</t>
        </is>
      </c>
      <c r="J345" s="96" t="n">
        <v>46030</v>
      </c>
      <c r="K345" s="96" t="n">
        <v>46029</v>
      </c>
      <c r="M345" t="inlineStr">
        <is>
          <t>Managed Services (MSP)</t>
        </is>
      </c>
      <c r="N345" t="inlineStr">
        <is>
          <t>Offline</t>
        </is>
      </c>
      <c r="O345" t="inlineStr">
        <is>
          <t>Abhishek Zalani</t>
        </is>
      </c>
      <c r="Y345" t="inlineStr">
        <is>
          <t>2025-12-30</t>
        </is>
      </c>
      <c r="Z345" t="inlineStr">
        <is>
          <t>https://app.hubspot.com/contacts/243046792/record/0-3/250428612338</t>
        </is>
      </c>
    </row>
    <row r="346">
      <c r="A346" t="n">
        <v>345</v>
      </c>
      <c r="B346" t="inlineStr">
        <is>
          <t>237718554309</t>
        </is>
      </c>
      <c r="D346" t="inlineStr">
        <is>
          <t>Syxsense Cyber Security Services Renewal</t>
        </is>
      </c>
      <c r="E346" t="inlineStr">
        <is>
          <t>Port of Oakland</t>
        </is>
      </c>
      <c r="F346" t="inlineStr">
        <is>
          <t>California</t>
        </is>
      </c>
      <c r="G346" t="inlineStr">
        <is>
          <t>Closed Lost</t>
        </is>
      </c>
      <c r="H346" t="inlineStr">
        <is>
          <t>No</t>
        </is>
      </c>
      <c r="J346" s="96" t="n">
        <v>46070</v>
      </c>
      <c r="K346" s="96" t="n">
        <v>46029</v>
      </c>
      <c r="L346" s="65" t="n">
        <v>149518.04</v>
      </c>
      <c r="M346" t="inlineStr">
        <is>
          <t>Reseller</t>
        </is>
      </c>
      <c r="N346" t="inlineStr">
        <is>
          <t>Offline</t>
        </is>
      </c>
      <c r="O346" t="inlineStr">
        <is>
          <t>Ashutosh Chauhan</t>
        </is>
      </c>
      <c r="Y346" t="inlineStr">
        <is>
          <t>2025-12-10</t>
        </is>
      </c>
      <c r="Z346" t="inlineStr">
        <is>
          <t>https://app.hubspot.com/contacts/243046792/record/0-3/237718554309</t>
        </is>
      </c>
    </row>
    <row r="347">
      <c r="A347" t="n">
        <v>346</v>
      </c>
      <c r="B347" t="inlineStr">
        <is>
          <t>239542726388</t>
        </is>
      </c>
      <c r="C347" t="inlineStr">
        <is>
          <t>#010826</t>
        </is>
      </c>
      <c r="D347" t="inlineStr">
        <is>
          <t>IT Managed Workforce and Staff Augmentation Solutions</t>
        </is>
      </c>
      <c r="E347" t="inlineStr">
        <is>
          <t>Sourcewell</t>
        </is>
      </c>
      <c r="F347" t="inlineStr">
        <is>
          <t>Minnesota</t>
        </is>
      </c>
      <c r="G347" t="inlineStr">
        <is>
          <t>Closed Lost</t>
        </is>
      </c>
      <c r="H347" t="inlineStr">
        <is>
          <t>No</t>
        </is>
      </c>
      <c r="J347" s="96" t="n">
        <v>46310</v>
      </c>
      <c r="K347" s="96" t="n">
        <v>46030</v>
      </c>
      <c r="M347" t="inlineStr">
        <is>
          <t>Staff Augmentation</t>
        </is>
      </c>
      <c r="N347" t="inlineStr">
        <is>
          <t>Portal</t>
        </is>
      </c>
      <c r="O347" t="inlineStr">
        <is>
          <t>Jyothsna Nanda kishore</t>
        </is>
      </c>
      <c r="Y347" t="inlineStr">
        <is>
          <t>2025-12-17</t>
        </is>
      </c>
      <c r="Z347" t="inlineStr">
        <is>
          <t>https://app.hubspot.com/contacts/243046792/record/0-3/239542726388</t>
        </is>
      </c>
    </row>
    <row r="348">
      <c r="A348" t="n">
        <v>347</v>
      </c>
      <c r="B348" t="inlineStr">
        <is>
          <t>222282864324</t>
        </is>
      </c>
      <c r="C348" t="inlineStr">
        <is>
          <t>2025-043</t>
        </is>
      </c>
      <c r="D348" t="inlineStr">
        <is>
          <t>ERP Modernization</t>
        </is>
      </c>
      <c r="E348" t="inlineStr">
        <is>
          <t>Portland Public Schools School District</t>
        </is>
      </c>
      <c r="F348" t="inlineStr">
        <is>
          <t>Oregon</t>
        </is>
      </c>
      <c r="G348" t="inlineStr">
        <is>
          <t>Closed Lost</t>
        </is>
      </c>
      <c r="H348" t="inlineStr">
        <is>
          <t>No</t>
        </is>
      </c>
      <c r="J348" s="96" t="n">
        <v>46164</v>
      </c>
      <c r="K348" s="96" t="n">
        <v>46030</v>
      </c>
      <c r="M348" t="inlineStr">
        <is>
          <t>Platform Implementation (ERP, CRMs)</t>
        </is>
      </c>
      <c r="O348" t="inlineStr">
        <is>
          <t>Jyothsna Nanda kishore</t>
        </is>
      </c>
      <c r="Y348" t="inlineStr">
        <is>
          <t>2025-11-19</t>
        </is>
      </c>
      <c r="Z348" t="inlineStr">
        <is>
          <t>https://app.hubspot.com/contacts/243046792/record/0-3/222282864324</t>
        </is>
      </c>
    </row>
    <row r="349">
      <c r="A349" t="n">
        <v>348</v>
      </c>
      <c r="B349" t="inlineStr">
        <is>
          <t>256863942350</t>
        </is>
      </c>
      <c r="C349" t="inlineStr">
        <is>
          <t>RFQ No. R5-2023-77-0034</t>
        </is>
      </c>
      <c r="D349" t="inlineStr">
        <is>
          <t xml:space="preserve">Network Monitoring </t>
        </is>
      </c>
      <c r="E349" t="inlineStr">
        <is>
          <t>Coldwater City and Coldwater Board of Public Utilities (CBPU)</t>
        </is>
      </c>
      <c r="F349" t="inlineStr">
        <is>
          <t>Michigan</t>
        </is>
      </c>
      <c r="G349" t="inlineStr">
        <is>
          <t>Submitted</t>
        </is>
      </c>
      <c r="H349" t="inlineStr">
        <is>
          <t>No</t>
        </is>
      </c>
      <c r="J349" s="96" t="n">
        <v>46030</v>
      </c>
      <c r="K349" s="96" t="n">
        <v>46030</v>
      </c>
      <c r="L349" s="65" t="n">
        <v>170000</v>
      </c>
      <c r="M349" t="inlineStr">
        <is>
          <t>Consulting</t>
        </is>
      </c>
      <c r="N349" t="inlineStr">
        <is>
          <t>Email</t>
        </is>
      </c>
      <c r="O349" t="inlineStr">
        <is>
          <t>Savya Atrey</t>
        </is>
      </c>
      <c r="Y349" t="inlineStr">
        <is>
          <t>2026-01-08</t>
        </is>
      </c>
      <c r="Z349" t="inlineStr">
        <is>
          <t>https://app.hubspot.com/contacts/243046792/record/0-3/256863942350</t>
        </is>
      </c>
    </row>
    <row r="350">
      <c r="A350" t="n">
        <v>349</v>
      </c>
      <c r="B350" t="inlineStr">
        <is>
          <t>246132200170</t>
        </is>
      </c>
      <c r="D350" t="inlineStr">
        <is>
          <t>Cybersecurity Assessments (18-Month Engagement)</t>
        </is>
      </c>
      <c r="E350" t="inlineStr">
        <is>
          <t>Coldwater City and Coldwater Board of Public Utilities (CBPU)</t>
        </is>
      </c>
      <c r="F350" t="inlineStr">
        <is>
          <t>Michigan</t>
        </is>
      </c>
      <c r="G350" t="inlineStr">
        <is>
          <t>Submitted</t>
        </is>
      </c>
      <c r="H350" t="inlineStr">
        <is>
          <t>No</t>
        </is>
      </c>
      <c r="J350" s="96" t="n">
        <v>46030</v>
      </c>
      <c r="K350" s="96" t="n">
        <v>46030</v>
      </c>
      <c r="M350" t="inlineStr">
        <is>
          <t>Audits and Assessment</t>
        </is>
      </c>
      <c r="N350" t="inlineStr">
        <is>
          <t>Email</t>
        </is>
      </c>
      <c r="O350" t="inlineStr">
        <is>
          <t>Ashutosh Chauhan</t>
        </is>
      </c>
      <c r="Y350" t="inlineStr">
        <is>
          <t>2025-12-22</t>
        </is>
      </c>
      <c r="Z350" t="inlineStr">
        <is>
          <t>https://app.hubspot.com/contacts/243046792/record/0-3/246132200170</t>
        </is>
      </c>
    </row>
    <row r="351">
      <c r="A351" t="n">
        <v>350</v>
      </c>
      <c r="B351" t="inlineStr">
        <is>
          <t>238644854496</t>
        </is>
      </c>
      <c r="D351" t="inlineStr">
        <is>
          <t>Document Management System</t>
        </is>
      </c>
      <c r="E351" t="inlineStr">
        <is>
          <t>Mid-Continent Public Library</t>
        </is>
      </c>
      <c r="F351" t="inlineStr">
        <is>
          <t>Missouri</t>
        </is>
      </c>
      <c r="G351" t="inlineStr">
        <is>
          <t>Submitted</t>
        </is>
      </c>
      <c r="H351" t="inlineStr">
        <is>
          <t>No</t>
        </is>
      </c>
      <c r="J351" s="96" t="n">
        <v>46030</v>
      </c>
      <c r="K351" s="96" t="n">
        <v>46030</v>
      </c>
      <c r="M351" t="inlineStr">
        <is>
          <t>Platform Implementation (ERP, CRMs)</t>
        </is>
      </c>
      <c r="N351" t="inlineStr">
        <is>
          <t>Email</t>
        </is>
      </c>
      <c r="O351" t="inlineStr">
        <is>
          <t>Jyothsna Nanda kishore</t>
        </is>
      </c>
      <c r="Y351" t="inlineStr">
        <is>
          <t>2025-12-18</t>
        </is>
      </c>
      <c r="Z351" t="inlineStr">
        <is>
          <t>https://app.hubspot.com/contacts/243046792/record/0-3/238644854496</t>
        </is>
      </c>
    </row>
    <row r="352">
      <c r="A352" t="n">
        <v>351</v>
      </c>
      <c r="B352" t="inlineStr">
        <is>
          <t>245622153945</t>
        </is>
      </c>
      <c r="D352" t="inlineStr">
        <is>
          <t>I.T. SUPPORT AND CONSULTING SERVICES</t>
        </is>
      </c>
      <c r="E352" t="inlineStr">
        <is>
          <t>City of Ozark</t>
        </is>
      </c>
      <c r="F352" t="inlineStr">
        <is>
          <t>Missouri</t>
        </is>
      </c>
      <c r="G352" t="inlineStr">
        <is>
          <t>Submitted</t>
        </is>
      </c>
      <c r="H352" t="inlineStr">
        <is>
          <t>No</t>
        </is>
      </c>
      <c r="J352" s="96" t="n">
        <v>46031</v>
      </c>
      <c r="K352" s="96" t="n">
        <v>46030</v>
      </c>
      <c r="M352" t="inlineStr">
        <is>
          <t>Staff Augmentation</t>
        </is>
      </c>
      <c r="N352" t="inlineStr">
        <is>
          <t>Offline</t>
        </is>
      </c>
      <c r="O352" t="inlineStr">
        <is>
          <t>Abhishek Zalani</t>
        </is>
      </c>
      <c r="Y352" t="inlineStr">
        <is>
          <t>2025-12-22</t>
        </is>
      </c>
      <c r="Z352" t="inlineStr">
        <is>
          <t>https://app.hubspot.com/contacts/243046792/record/0-3/245622153945</t>
        </is>
      </c>
    </row>
    <row r="353">
      <c r="A353" t="n">
        <v>352</v>
      </c>
      <c r="B353" t="inlineStr">
        <is>
          <t>203233555183</t>
        </is>
      </c>
      <c r="D353" t="inlineStr">
        <is>
          <t>SCADA MASTER PLAN</t>
        </is>
      </c>
      <c r="E353" t="inlineStr">
        <is>
          <t>Elsinore Valley Municipal Water District</t>
        </is>
      </c>
      <c r="F353" t="inlineStr">
        <is>
          <t>California</t>
        </is>
      </c>
      <c r="G353" t="inlineStr">
        <is>
          <t>Closed Lost</t>
        </is>
      </c>
      <c r="H353" t="inlineStr">
        <is>
          <t>No</t>
        </is>
      </c>
      <c r="J353" s="96" t="n">
        <v>46066</v>
      </c>
      <c r="K353" s="96" t="n">
        <v>46030</v>
      </c>
      <c r="N353" t="inlineStr">
        <is>
          <t>Portal</t>
        </is>
      </c>
      <c r="O353" t="inlineStr">
        <is>
          <t>Jyothsna Nanda kishore</t>
        </is>
      </c>
      <c r="Y353" t="inlineStr">
        <is>
          <t>2025-10-30</t>
        </is>
      </c>
      <c r="Z353" t="inlineStr">
        <is>
          <t>https://app.hubspot.com/contacts/243046792/record/0-3/203233555183</t>
        </is>
      </c>
    </row>
    <row r="354">
      <c r="A354" t="n">
        <v>353</v>
      </c>
      <c r="B354" t="inlineStr">
        <is>
          <t>239542774489</t>
        </is>
      </c>
      <c r="C354" t="inlineStr">
        <is>
          <t>R5-2023-77-0035</t>
        </is>
      </c>
      <c r="D354" t="inlineStr">
        <is>
          <t>Multifactor Authentication (MFA) Implementation – Microsoft GCC Migration / Intune / WindowsHello for Business</t>
        </is>
      </c>
      <c r="E354" t="inlineStr">
        <is>
          <t>Coldwater City and Coldwater Board of Public Utilities (CBPU)</t>
        </is>
      </c>
      <c r="F354" t="inlineStr">
        <is>
          <t>Michigan</t>
        </is>
      </c>
      <c r="G354" t="inlineStr">
        <is>
          <t>Closed Lost</t>
        </is>
      </c>
      <c r="H354" t="inlineStr">
        <is>
          <t>Yes</t>
        </is>
      </c>
      <c r="I354" t="inlineStr">
        <is>
          <t>Interview</t>
        </is>
      </c>
      <c r="J354" s="96" t="n">
        <v>46070</v>
      </c>
      <c r="K354" s="96" t="n">
        <v>46030</v>
      </c>
      <c r="L354" s="65" t="n">
        <v>164660</v>
      </c>
      <c r="M354" t="inlineStr">
        <is>
          <t>Modernization / Migration</t>
        </is>
      </c>
      <c r="N354" t="inlineStr">
        <is>
          <t>Email</t>
        </is>
      </c>
      <c r="O354" t="inlineStr">
        <is>
          <t>Jyothsna Nanda kishore</t>
        </is>
      </c>
      <c r="P354" t="inlineStr">
        <is>
          <t>Interview Scheduled</t>
        </is>
      </c>
      <c r="Q354" t="inlineStr">
        <is>
          <t>2026-01-16</t>
        </is>
      </c>
      <c r="Y354" t="inlineStr">
        <is>
          <t>2025-12-18</t>
        </is>
      </c>
      <c r="Z354" t="inlineStr">
        <is>
          <t>https://app.hubspot.com/contacts/243046792/record/0-3/239542774489</t>
        </is>
      </c>
    </row>
    <row r="355">
      <c r="A355" t="n">
        <v>354</v>
      </c>
      <c r="B355" t="inlineStr">
        <is>
          <t>231825907405</t>
        </is>
      </c>
      <c r="D355" t="inlineStr">
        <is>
          <t>Information Technology Services</t>
        </is>
      </c>
      <c r="E355" t="inlineStr">
        <is>
          <t xml:space="preserve">Plainsboro Township </t>
        </is>
      </c>
      <c r="F355" t="inlineStr">
        <is>
          <t>New Jersey</t>
        </is>
      </c>
      <c r="G355" t="inlineStr">
        <is>
          <t>Closed Lost</t>
        </is>
      </c>
      <c r="H355" t="inlineStr">
        <is>
          <t>No</t>
        </is>
      </c>
      <c r="J355" s="96" t="n">
        <v>46072</v>
      </c>
      <c r="K355" s="96" t="n">
        <v>46030</v>
      </c>
      <c r="M355" t="inlineStr">
        <is>
          <t>Managed Services (MSP)</t>
        </is>
      </c>
      <c r="N355" t="inlineStr">
        <is>
          <t>Portal</t>
        </is>
      </c>
      <c r="O355" t="inlineStr">
        <is>
          <t>Ashutosh Chauhan</t>
        </is>
      </c>
      <c r="Y355" t="inlineStr">
        <is>
          <t>2025-12-03</t>
        </is>
      </c>
      <c r="Z355" t="inlineStr">
        <is>
          <t>https://app.hubspot.com/contacts/243046792/record/0-3/231825907405</t>
        </is>
      </c>
    </row>
    <row r="356">
      <c r="A356" t="n">
        <v>355</v>
      </c>
      <c r="B356" t="inlineStr">
        <is>
          <t>253070242519</t>
        </is>
      </c>
      <c r="C356" t="inlineStr">
        <is>
          <t>25-RFP-11</t>
        </is>
      </c>
      <c r="D356" t="inlineStr">
        <is>
          <t>CUSTOM APPLICATION DEVELOPMENT CONSULTING AND DATABASE SUPPORT CONSULTING</t>
        </is>
      </c>
      <c r="E356" t="inlineStr">
        <is>
          <t>Metropolitan Water Reclamation District of Greater Chicago</t>
        </is>
      </c>
      <c r="F356" t="inlineStr">
        <is>
          <t>Chicago</t>
        </is>
      </c>
      <c r="G356" t="inlineStr">
        <is>
          <t>Submitted</t>
        </is>
      </c>
      <c r="H356" t="inlineStr">
        <is>
          <t>No</t>
        </is>
      </c>
      <c r="J356" s="96" t="n">
        <v>46031</v>
      </c>
      <c r="K356" s="96" t="n">
        <v>46031</v>
      </c>
      <c r="M356" t="inlineStr">
        <is>
          <t>Consulting</t>
        </is>
      </c>
      <c r="O356" t="inlineStr">
        <is>
          <t>Ashutosh Chauhan</t>
        </is>
      </c>
      <c r="Y356" t="inlineStr">
        <is>
          <t>2026-01-06</t>
        </is>
      </c>
      <c r="Z356" t="inlineStr">
        <is>
          <t>https://app.hubspot.com/contacts/243046792/record/0-3/253070242519</t>
        </is>
      </c>
    </row>
    <row r="357">
      <c r="A357" t="n">
        <v>356</v>
      </c>
      <c r="B357" t="inlineStr">
        <is>
          <t>246130761424</t>
        </is>
      </c>
      <c r="D357" t="inlineStr">
        <is>
          <t>offline - Cybersecurity Professional Services</t>
        </is>
      </c>
      <c r="E357" t="inlineStr">
        <is>
          <t>Rogers Water Utilities</t>
        </is>
      </c>
      <c r="F357" t="inlineStr">
        <is>
          <t>Arkansas</t>
        </is>
      </c>
      <c r="G357" t="inlineStr">
        <is>
          <t>Submitted</t>
        </is>
      </c>
      <c r="H357" t="inlineStr">
        <is>
          <t>No</t>
        </is>
      </c>
      <c r="J357" s="96" t="n">
        <v>46031</v>
      </c>
      <c r="K357" s="96" t="n">
        <v>46031</v>
      </c>
      <c r="M357" t="inlineStr">
        <is>
          <t>Consulting</t>
        </is>
      </c>
      <c r="N357" t="inlineStr">
        <is>
          <t>Offline</t>
        </is>
      </c>
      <c r="O357" t="inlineStr">
        <is>
          <t>Abhishek Zalani</t>
        </is>
      </c>
      <c r="Y357" t="inlineStr">
        <is>
          <t>2025-12-22</t>
        </is>
      </c>
      <c r="Z357" t="inlineStr">
        <is>
          <t>https://app.hubspot.com/contacts/243046792/record/0-3/246130761424</t>
        </is>
      </c>
    </row>
    <row r="358">
      <c r="A358" t="n">
        <v>357</v>
      </c>
      <c r="B358" t="inlineStr">
        <is>
          <t>240440417993</t>
        </is>
      </c>
      <c r="D358" t="inlineStr">
        <is>
          <t>Qualtrics Support Services</t>
        </is>
      </c>
      <c r="E358" t="inlineStr">
        <is>
          <t xml:space="preserve">Western Municipal Water District </t>
        </is>
      </c>
      <c r="F358" t="inlineStr">
        <is>
          <t>California</t>
        </is>
      </c>
      <c r="G358" t="inlineStr">
        <is>
          <t>Closed Lost</t>
        </is>
      </c>
      <c r="H358" t="inlineStr">
        <is>
          <t>No</t>
        </is>
      </c>
      <c r="J358" s="96" t="n">
        <v>46077</v>
      </c>
      <c r="K358" s="96" t="n">
        <v>46031</v>
      </c>
      <c r="N358" t="inlineStr">
        <is>
          <t>Portal</t>
        </is>
      </c>
      <c r="O358" t="inlineStr">
        <is>
          <t>Jyothsna Nanda kishore</t>
        </is>
      </c>
      <c r="Y358" t="inlineStr">
        <is>
          <t>2025-12-18</t>
        </is>
      </c>
      <c r="Z358" t="inlineStr">
        <is>
          <t>https://app.hubspot.com/contacts/243046792/record/0-3/240440417993</t>
        </is>
      </c>
    </row>
    <row r="359">
      <c r="A359" t="n">
        <v>358</v>
      </c>
      <c r="B359" t="inlineStr">
        <is>
          <t>241574891197</t>
        </is>
      </c>
      <c r="D359" t="inlineStr">
        <is>
          <t>IT Infrastructure Assessment</t>
        </is>
      </c>
      <c r="E359" t="inlineStr">
        <is>
          <t>NorthWest Senior and Disability Services</t>
        </is>
      </c>
      <c r="F359" t="inlineStr">
        <is>
          <t>Oregon</t>
        </is>
      </c>
      <c r="G359" t="inlineStr">
        <is>
          <t>Closed Lost</t>
        </is>
      </c>
      <c r="H359" t="inlineStr">
        <is>
          <t>No</t>
        </is>
      </c>
      <c r="J359" s="96" t="n">
        <v>46135</v>
      </c>
      <c r="K359" s="96" t="n">
        <v>46031</v>
      </c>
      <c r="M359" t="inlineStr">
        <is>
          <t>Consulting;Modernization / Migration</t>
        </is>
      </c>
      <c r="N359" t="inlineStr">
        <is>
          <t>Email</t>
        </is>
      </c>
      <c r="O359" t="inlineStr">
        <is>
          <t>Jyothsna Nanda kishore</t>
        </is>
      </c>
      <c r="Y359" t="inlineStr">
        <is>
          <t>2025-12-18</t>
        </is>
      </c>
      <c r="Z359" t="inlineStr">
        <is>
          <t>https://app.hubspot.com/contacts/243046792/record/0-3/241574891197</t>
        </is>
      </c>
    </row>
    <row r="360">
      <c r="A360" t="n">
        <v>359</v>
      </c>
      <c r="B360" t="inlineStr">
        <is>
          <t>246132238017</t>
        </is>
      </c>
      <c r="C360" t="inlineStr">
        <is>
          <t>ITES-9373_2025_11_22_10_39_30</t>
        </is>
      </c>
      <c r="D360" t="inlineStr">
        <is>
          <t>Cyber Resilience in Airport Operations: Addressing Emerging Threats</t>
        </is>
      </c>
      <c r="E360" t="inlineStr">
        <is>
          <t>Airport Cooperative Research Programme</t>
        </is>
      </c>
      <c r="F360" t="inlineStr">
        <is>
          <t>Washington</t>
        </is>
      </c>
      <c r="G360" t="inlineStr">
        <is>
          <t>Submitted</t>
        </is>
      </c>
      <c r="H360" t="inlineStr">
        <is>
          <t>No</t>
        </is>
      </c>
      <c r="J360" s="96" t="n">
        <v>46034</v>
      </c>
      <c r="K360" s="96" t="n">
        <v>46034</v>
      </c>
      <c r="L360" s="65" t="n">
        <v>341000</v>
      </c>
      <c r="M360" t="inlineStr">
        <is>
          <t>Consulting</t>
        </is>
      </c>
      <c r="N360" t="inlineStr">
        <is>
          <t>Portal</t>
        </is>
      </c>
      <c r="O360" t="inlineStr">
        <is>
          <t>Abhishek Zalani</t>
        </is>
      </c>
      <c r="Y360" t="inlineStr">
        <is>
          <t>2025-12-23</t>
        </is>
      </c>
      <c r="Z360" t="inlineStr">
        <is>
          <t>https://app.hubspot.com/contacts/243046792/record/0-3/246132238017</t>
        </is>
      </c>
    </row>
    <row r="361">
      <c r="A361" t="n">
        <v>360</v>
      </c>
      <c r="B361" t="inlineStr">
        <is>
          <t>255699910348</t>
        </is>
      </c>
      <c r="D361" t="inlineStr">
        <is>
          <t>IT Managed Services Provider</t>
        </is>
      </c>
      <c r="E361" t="inlineStr">
        <is>
          <t xml:space="preserve">Washington State Department of Enterprise Services </t>
        </is>
      </c>
      <c r="F361" t="inlineStr">
        <is>
          <t>Washington</t>
        </is>
      </c>
      <c r="G361" t="inlineStr">
        <is>
          <t>Submitted</t>
        </is>
      </c>
      <c r="H361" t="inlineStr">
        <is>
          <t>No</t>
        </is>
      </c>
      <c r="J361" s="96" t="n">
        <v>46034</v>
      </c>
      <c r="K361" s="96" t="n">
        <v>46034</v>
      </c>
      <c r="L361" s="65" t="n">
        <v>8350</v>
      </c>
      <c r="M361" t="inlineStr">
        <is>
          <t>Managed Services (MSP)</t>
        </is>
      </c>
      <c r="N361" t="inlineStr">
        <is>
          <t>Email</t>
        </is>
      </c>
      <c r="O361" t="inlineStr">
        <is>
          <t>Savya Atrey</t>
        </is>
      </c>
      <c r="Y361" t="inlineStr">
        <is>
          <t>2026-01-06</t>
        </is>
      </c>
      <c r="Z361" t="inlineStr">
        <is>
          <t>https://app.hubspot.com/contacts/243046792/record/0-3/255699910348</t>
        </is>
      </c>
    </row>
    <row r="362">
      <c r="A362" t="n">
        <v>361</v>
      </c>
      <c r="B362" t="inlineStr">
        <is>
          <t>255700623039</t>
        </is>
      </c>
      <c r="D362" t="inlineStr">
        <is>
          <t>CITYWIDE INFORMATION TECHNOLOGY NEEDS ASSESSMENT&amp; OPERATIONAL ANALYSIS</t>
        </is>
      </c>
      <c r="E362" t="inlineStr">
        <is>
          <t>City of Perth Amboy</t>
        </is>
      </c>
      <c r="F362" t="inlineStr">
        <is>
          <t>New Jersey</t>
        </is>
      </c>
      <c r="G362" t="inlineStr">
        <is>
          <t>RFx Cancelled</t>
        </is>
      </c>
      <c r="H362" t="inlineStr">
        <is>
          <t>No</t>
        </is>
      </c>
      <c r="J362" s="96" t="n">
        <v>46036</v>
      </c>
      <c r="K362" s="96" t="n">
        <v>46034</v>
      </c>
      <c r="M362" t="inlineStr">
        <is>
          <t>Audits and Assessment</t>
        </is>
      </c>
      <c r="N362" t="inlineStr">
        <is>
          <t>Offline</t>
        </is>
      </c>
      <c r="O362" t="inlineStr">
        <is>
          <t>Jyothsna Nanda kishore</t>
        </is>
      </c>
      <c r="Y362" t="inlineStr">
        <is>
          <t>2026-01-06</t>
        </is>
      </c>
      <c r="Z362" t="inlineStr">
        <is>
          <t>https://app.hubspot.com/contacts/243046792/record/0-3/255700623039</t>
        </is>
      </c>
    </row>
    <row r="363">
      <c r="A363" t="n">
        <v>362</v>
      </c>
      <c r="B363" t="inlineStr">
        <is>
          <t>239542774464</t>
        </is>
      </c>
      <c r="D363" t="inlineStr">
        <is>
          <t>Data Analysis and Visualization System</t>
        </is>
      </c>
      <c r="E363" t="inlineStr">
        <is>
          <t>American College of Obstetricians and Gynecologists, Washington</t>
        </is>
      </c>
      <c r="F363" t="inlineStr">
        <is>
          <t>Washington, D.C.</t>
        </is>
      </c>
      <c r="G363" t="inlineStr">
        <is>
          <t>Closed Lost</t>
        </is>
      </c>
      <c r="H363" t="inlineStr">
        <is>
          <t>No</t>
        </is>
      </c>
      <c r="J363" s="96" t="n">
        <v>46100</v>
      </c>
      <c r="K363" s="96" t="n">
        <v>46034</v>
      </c>
      <c r="N363" t="inlineStr">
        <is>
          <t>Email</t>
        </is>
      </c>
      <c r="O363" t="inlineStr">
        <is>
          <t>Jyothsna Nanda kishore</t>
        </is>
      </c>
      <c r="Y363" t="inlineStr">
        <is>
          <t>2025-12-18</t>
        </is>
      </c>
      <c r="Z363" t="inlineStr">
        <is>
          <t>https://app.hubspot.com/contacts/243046792/record/0-3/239542774464</t>
        </is>
      </c>
    </row>
    <row r="364">
      <c r="A364" t="n">
        <v>363</v>
      </c>
      <c r="B364" t="inlineStr">
        <is>
          <t>246429108965</t>
        </is>
      </c>
      <c r="D364" t="inlineStr">
        <is>
          <t>AI Document Processing and Digitization</t>
        </is>
      </c>
      <c r="E364" t="inlineStr">
        <is>
          <t>Michigan Department of Technology Management and Budget</t>
        </is>
      </c>
      <c r="F364" t="inlineStr">
        <is>
          <t>Michigan</t>
        </is>
      </c>
      <c r="G364" t="inlineStr">
        <is>
          <t>Submitted</t>
        </is>
      </c>
      <c r="H364" t="inlineStr">
        <is>
          <t>No</t>
        </is>
      </c>
      <c r="J364" s="96" t="n">
        <v>46034</v>
      </c>
      <c r="K364" s="96" t="n">
        <v>46035</v>
      </c>
      <c r="M364" t="inlineStr">
        <is>
          <t>Platform Implementation (ERP, CRMs)</t>
        </is>
      </c>
      <c r="O364" t="inlineStr">
        <is>
          <t>Abhishek Zalani</t>
        </is>
      </c>
      <c r="Y364" t="inlineStr">
        <is>
          <t>2025-12-22</t>
        </is>
      </c>
      <c r="Z364" t="inlineStr">
        <is>
          <t>https://app.hubspot.com/contacts/243046792/record/0-3/246429108965</t>
        </is>
      </c>
    </row>
    <row r="365">
      <c r="A365" t="n">
        <v>364</v>
      </c>
      <c r="B365" t="inlineStr">
        <is>
          <t>259790264057</t>
        </is>
      </c>
      <c r="D365" t="inlineStr">
        <is>
          <t>2601 Veeam Backup Basic MaintenanceInbo</t>
        </is>
      </c>
      <c r="E365" t="inlineStr">
        <is>
          <t>Franklin County Municipal Court</t>
        </is>
      </c>
      <c r="F365" t="inlineStr">
        <is>
          <t>ohio</t>
        </is>
      </c>
      <c r="G365" t="inlineStr">
        <is>
          <t>Submitted</t>
        </is>
      </c>
      <c r="H365" t="inlineStr">
        <is>
          <t>No</t>
        </is>
      </c>
      <c r="J365" s="96" t="n">
        <v>46035</v>
      </c>
      <c r="K365" s="96" t="n">
        <v>46035</v>
      </c>
      <c r="L365" s="65" t="n">
        <v>12100</v>
      </c>
      <c r="M365" t="inlineStr">
        <is>
          <t>Reseller</t>
        </is>
      </c>
      <c r="O365" t="inlineStr">
        <is>
          <t>Ashutosh Chauhan</t>
        </is>
      </c>
      <c r="Y365" t="inlineStr">
        <is>
          <t>2026-01-13</t>
        </is>
      </c>
      <c r="Z365" t="inlineStr">
        <is>
          <t>https://app.hubspot.com/contacts/243046792/record/0-3/259790264057</t>
        </is>
      </c>
    </row>
    <row r="366">
      <c r="A366" t="n">
        <v>365</v>
      </c>
      <c r="B366" t="inlineStr">
        <is>
          <t>242650797784</t>
        </is>
      </c>
      <c r="D366" t="inlineStr">
        <is>
          <t>INFORMATION TECHNOLOGY STAFF AUGMENTATION SERVICES</t>
        </is>
      </c>
      <c r="E366" t="inlineStr">
        <is>
          <t>New York State Energy Research and Development Authority (NYSERDA)</t>
        </is>
      </c>
      <c r="F366" t="inlineStr">
        <is>
          <t>New York</t>
        </is>
      </c>
      <c r="G366" t="inlineStr">
        <is>
          <t>Closed Lost</t>
        </is>
      </c>
      <c r="H366" t="inlineStr">
        <is>
          <t>No</t>
        </is>
      </c>
      <c r="J366" s="96" t="n">
        <v>46308</v>
      </c>
      <c r="K366" s="96" t="n">
        <v>46035</v>
      </c>
      <c r="M366" t="inlineStr">
        <is>
          <t>Staff Augmentation</t>
        </is>
      </c>
      <c r="N366" t="inlineStr">
        <is>
          <t>Portal</t>
        </is>
      </c>
      <c r="O366" t="inlineStr">
        <is>
          <t>Jyothsna Nanda kishore</t>
        </is>
      </c>
      <c r="Y366" t="inlineStr">
        <is>
          <t>2025-12-18</t>
        </is>
      </c>
      <c r="Z366" t="inlineStr">
        <is>
          <t>https://app.hubspot.com/contacts/243046792/record/0-3/242650797784</t>
        </is>
      </c>
    </row>
    <row r="367">
      <c r="A367" t="n">
        <v>366</v>
      </c>
      <c r="B367" t="inlineStr">
        <is>
          <t>235700237016</t>
        </is>
      </c>
      <c r="D367" t="inlineStr">
        <is>
          <t>Copilot M365 Implementation</t>
        </is>
      </c>
      <c r="E367" t="inlineStr">
        <is>
          <t>City of Grand Rapids</t>
        </is>
      </c>
      <c r="F367" t="inlineStr">
        <is>
          <t>Michigan</t>
        </is>
      </c>
      <c r="G367" t="inlineStr">
        <is>
          <t>Closed Lost</t>
        </is>
      </c>
      <c r="H367" t="inlineStr">
        <is>
          <t>Yes</t>
        </is>
      </c>
      <c r="I367" t="inlineStr">
        <is>
          <t>Interview</t>
        </is>
      </c>
      <c r="J367" s="96" t="n">
        <v>46076</v>
      </c>
      <c r="K367" s="96" t="n">
        <v>46035</v>
      </c>
      <c r="M367" t="inlineStr">
        <is>
          <t>Platform Implementation (ERP, CRMs)</t>
        </is>
      </c>
      <c r="O367" t="inlineStr">
        <is>
          <t>Ashutosh Chauhan</t>
        </is>
      </c>
      <c r="P367" t="inlineStr">
        <is>
          <t>Interview Scheduled</t>
        </is>
      </c>
      <c r="Q367" t="inlineStr">
        <is>
          <t>2026-02-13</t>
        </is>
      </c>
      <c r="Y367" t="inlineStr">
        <is>
          <t>2025-12-08</t>
        </is>
      </c>
      <c r="Z367" t="inlineStr">
        <is>
          <t>https://app.hubspot.com/contacts/243046792/record/0-3/235700237016</t>
        </is>
      </c>
    </row>
    <row r="368">
      <c r="A368" t="n">
        <v>367</v>
      </c>
      <c r="B368" t="inlineStr">
        <is>
          <t>237752688357</t>
        </is>
      </c>
      <c r="C368" t="inlineStr">
        <is>
          <t>2025-16</t>
        </is>
      </c>
      <c r="D368" t="inlineStr">
        <is>
          <t>Logistics Supply ERP and Consulting Services</t>
        </is>
      </c>
      <c r="E368" t="inlineStr">
        <is>
          <t>Unified Fire Authority</t>
        </is>
      </c>
      <c r="F368" t="inlineStr">
        <is>
          <t>Utah</t>
        </is>
      </c>
      <c r="G368" t="inlineStr">
        <is>
          <t>Closed Lost</t>
        </is>
      </c>
      <c r="H368" t="inlineStr">
        <is>
          <t>Yes</t>
        </is>
      </c>
      <c r="I368" t="inlineStr">
        <is>
          <t>Interview</t>
        </is>
      </c>
      <c r="J368" s="96" t="n">
        <v>46078</v>
      </c>
      <c r="K368" s="96" t="n">
        <v>46035</v>
      </c>
      <c r="L368" s="65" t="n">
        <v>95250</v>
      </c>
      <c r="M368" t="inlineStr">
        <is>
          <t>Platform Implementation (ERP, CRMs)</t>
        </is>
      </c>
      <c r="N368" t="inlineStr">
        <is>
          <t>Portal</t>
        </is>
      </c>
      <c r="O368" t="inlineStr">
        <is>
          <t>Jyothsna Nanda kishore</t>
        </is>
      </c>
      <c r="Q368" t="inlineStr">
        <is>
          <t>2026-02-10</t>
        </is>
      </c>
      <c r="Y368" t="inlineStr">
        <is>
          <t>2025-12-11</t>
        </is>
      </c>
      <c r="Z368" t="inlineStr">
        <is>
          <t>https://app.hubspot.com/contacts/243046792/record/0-3/237752688357</t>
        </is>
      </c>
    </row>
    <row r="369">
      <c r="A369" t="n">
        <v>368</v>
      </c>
      <c r="B369" t="inlineStr">
        <is>
          <t>235964612323</t>
        </is>
      </c>
      <c r="C369" t="inlineStr">
        <is>
          <t>16100</t>
        </is>
      </c>
      <c r="D369" t="inlineStr">
        <is>
          <t xml:space="preserve"> IBM Netcool Support</t>
        </is>
      </c>
      <c r="E369" t="inlineStr">
        <is>
          <t>Electric Power Board of Chattanooga</t>
        </is>
      </c>
      <c r="F369" t="inlineStr">
        <is>
          <t>Tennessee</t>
        </is>
      </c>
      <c r="G369" t="inlineStr">
        <is>
          <t>Closed Lost</t>
        </is>
      </c>
      <c r="H369" t="inlineStr">
        <is>
          <t>No</t>
        </is>
      </c>
      <c r="J369" s="96" t="n">
        <v>46149</v>
      </c>
      <c r="K369" s="96" t="n">
        <v>46035</v>
      </c>
      <c r="L369" s="65" t="n">
        <v>120000</v>
      </c>
      <c r="M369" t="inlineStr">
        <is>
          <t>Consulting</t>
        </is>
      </c>
      <c r="N369" t="inlineStr">
        <is>
          <t>Email</t>
        </is>
      </c>
      <c r="O369" t="inlineStr">
        <is>
          <t>Abhishek Zalani</t>
        </is>
      </c>
      <c r="Y369" t="inlineStr">
        <is>
          <t>2025-12-09</t>
        </is>
      </c>
      <c r="Z369" t="inlineStr">
        <is>
          <t>https://app.hubspot.com/contacts/243046792/record/0-3/235964612323</t>
        </is>
      </c>
    </row>
    <row r="370">
      <c r="A370" t="n">
        <v>369</v>
      </c>
      <c r="B370" t="inlineStr">
        <is>
          <t>254846590682</t>
        </is>
      </c>
      <c r="C370" t="inlineStr">
        <is>
          <t>63345</t>
        </is>
      </c>
      <c r="D370" t="inlineStr">
        <is>
          <t>Temporary Staffing Services-Information Technology Department</t>
        </is>
      </c>
      <c r="E370" t="inlineStr">
        <is>
          <t>Metropolitan St. Louis Sewer District</t>
        </is>
      </c>
      <c r="F370" t="inlineStr">
        <is>
          <t>Missouri</t>
        </is>
      </c>
      <c r="G370" t="inlineStr">
        <is>
          <t>Submitted</t>
        </is>
      </c>
      <c r="H370" t="inlineStr">
        <is>
          <t>No</t>
        </is>
      </c>
      <c r="J370" s="96" t="n">
        <v>46036</v>
      </c>
      <c r="K370" s="96" t="n">
        <v>46036</v>
      </c>
      <c r="M370" t="inlineStr">
        <is>
          <t>Staff Augmentation</t>
        </is>
      </c>
      <c r="O370" t="inlineStr">
        <is>
          <t>Ashutosh Chauhan</t>
        </is>
      </c>
      <c r="Y370" t="inlineStr">
        <is>
          <t>2026-01-06</t>
        </is>
      </c>
      <c r="Z370" t="inlineStr">
        <is>
          <t>https://app.hubspot.com/contacts/243046792/record/0-3/254846590682</t>
        </is>
      </c>
    </row>
    <row r="371">
      <c r="A371" t="n">
        <v>370</v>
      </c>
      <c r="B371" t="inlineStr">
        <is>
          <t>255422638807</t>
        </is>
      </c>
      <c r="C371" t="inlineStr">
        <is>
          <t>NCHRP 10-153 [RFP]</t>
        </is>
      </c>
      <c r="D371" t="inlineStr">
        <is>
          <t>Emerging Artificial Intelligence-Induced Risks in Highway Construction Quality Assurance</t>
        </is>
      </c>
      <c r="E371" t="inlineStr">
        <is>
          <t>Transportation Research Board</t>
        </is>
      </c>
      <c r="F371" t="inlineStr">
        <is>
          <t>Washington, D.C.</t>
        </is>
      </c>
      <c r="G371" t="inlineStr">
        <is>
          <t>Submitted</t>
        </is>
      </c>
      <c r="H371" t="inlineStr">
        <is>
          <t>No</t>
        </is>
      </c>
      <c r="J371" s="96" t="n">
        <v>46036</v>
      </c>
      <c r="K371" s="96" t="n">
        <v>46036</v>
      </c>
      <c r="L371" s="65" t="n">
        <v>197424.38</v>
      </c>
      <c r="M371" t="inlineStr">
        <is>
          <t>Consulting</t>
        </is>
      </c>
      <c r="N371" t="inlineStr">
        <is>
          <t>Portal</t>
        </is>
      </c>
      <c r="O371" t="inlineStr">
        <is>
          <t>Vinay Srinivasan</t>
        </is>
      </c>
      <c r="Y371" t="inlineStr">
        <is>
          <t>2026-01-06</t>
        </is>
      </c>
      <c r="Z371" t="inlineStr">
        <is>
          <t>https://app.hubspot.com/contacts/243046792/record/0-3/255422638807</t>
        </is>
      </c>
    </row>
    <row r="372">
      <c r="A372" t="n">
        <v>371</v>
      </c>
      <c r="B372" t="inlineStr">
        <is>
          <t>224587017952</t>
        </is>
      </c>
      <c r="D372" t="inlineStr">
        <is>
          <t>OFF-Information Technology Policy and Procedures Development Services</t>
        </is>
      </c>
      <c r="E372" t="inlineStr">
        <is>
          <t>Hampton Roads Transit</t>
        </is>
      </c>
      <c r="F372" t="inlineStr">
        <is>
          <t>Virginia</t>
        </is>
      </c>
      <c r="G372" t="inlineStr">
        <is>
          <t>Submitted</t>
        </is>
      </c>
      <c r="H372" t="inlineStr">
        <is>
          <t>No</t>
        </is>
      </c>
      <c r="J372" s="96" t="n">
        <v>46037</v>
      </c>
      <c r="K372" s="96" t="n">
        <v>46036</v>
      </c>
      <c r="M372" t="inlineStr">
        <is>
          <t>Consulting</t>
        </is>
      </c>
      <c r="O372" t="inlineStr">
        <is>
          <t>Savya Atrey</t>
        </is>
      </c>
      <c r="Y372" t="inlineStr">
        <is>
          <t>2025-11-24</t>
        </is>
      </c>
      <c r="Z372" t="inlineStr">
        <is>
          <t>https://app.hubspot.com/contacts/243046792/record/0-3/224587017952</t>
        </is>
      </c>
    </row>
    <row r="373">
      <c r="A373" t="n">
        <v>372</v>
      </c>
      <c r="B373" t="inlineStr">
        <is>
          <t>254846611165</t>
        </is>
      </c>
      <c r="D373" t="inlineStr">
        <is>
          <t>BASIC INFORMATION TECHNOLOGY SUPPORT SERVICES</t>
        </is>
      </c>
      <c r="E373" t="inlineStr">
        <is>
          <t>City of Fairfield</t>
        </is>
      </c>
      <c r="F373" t="inlineStr">
        <is>
          <t>Alabama</t>
        </is>
      </c>
      <c r="G373" t="inlineStr">
        <is>
          <t>Closed Lost</t>
        </is>
      </c>
      <c r="H373" t="inlineStr">
        <is>
          <t>No</t>
        </is>
      </c>
      <c r="J373" s="96" t="n">
        <v>46164</v>
      </c>
      <c r="K373" s="96" t="n">
        <v>46036</v>
      </c>
      <c r="M373" t="inlineStr">
        <is>
          <t>Managed Services (MSP)</t>
        </is>
      </c>
      <c r="N373" t="inlineStr">
        <is>
          <t>Offline</t>
        </is>
      </c>
      <c r="O373" t="inlineStr">
        <is>
          <t>Jyothsna Nanda kishore</t>
        </is>
      </c>
      <c r="Y373" t="inlineStr">
        <is>
          <t>2026-01-06</t>
        </is>
      </c>
      <c r="Z373" t="inlineStr">
        <is>
          <t>https://app.hubspot.com/contacts/243046792/record/0-3/254846611165</t>
        </is>
      </c>
    </row>
    <row r="374">
      <c r="A374" t="n">
        <v>373</v>
      </c>
      <c r="B374" t="inlineStr">
        <is>
          <t>256648120032</t>
        </is>
      </c>
      <c r="D374" t="inlineStr">
        <is>
          <t>Enterprise Resource Planning System (ERP)</t>
        </is>
      </c>
      <c r="E374" t="inlineStr">
        <is>
          <t>Fern Creek Fire Protection District</t>
        </is>
      </c>
      <c r="F374" t="inlineStr">
        <is>
          <t>Kentucky</t>
        </is>
      </c>
      <c r="G374" t="inlineStr">
        <is>
          <t>Closed Lost</t>
        </is>
      </c>
      <c r="H374" t="inlineStr">
        <is>
          <t>Yes</t>
        </is>
      </c>
      <c r="I374" t="inlineStr">
        <is>
          <t>Interview Scheduled</t>
        </is>
      </c>
      <c r="J374" s="96" t="n">
        <v>46217</v>
      </c>
      <c r="K374" s="96" t="n">
        <v>46036</v>
      </c>
      <c r="L374" s="65" t="n">
        <v>167030</v>
      </c>
      <c r="M374" t="inlineStr">
        <is>
          <t>Platform Implementation (ERP, CRMs)</t>
        </is>
      </c>
      <c r="N374" t="inlineStr">
        <is>
          <t>Offline</t>
        </is>
      </c>
      <c r="O374" t="inlineStr">
        <is>
          <t>Jyothsna Nanda kishore</t>
        </is>
      </c>
      <c r="P374" t="inlineStr">
        <is>
          <t>Interview Scheduled</t>
        </is>
      </c>
      <c r="Q374" s="96" t="n">
        <v>46086</v>
      </c>
      <c r="Y374" s="96" t="n">
        <v>46029</v>
      </c>
      <c r="Z374" t="inlineStr">
        <is>
          <t>https://app.hubspot.com/contacts/243046792/record/0-3/256648120032</t>
        </is>
      </c>
    </row>
    <row r="375">
      <c r="A375" t="n">
        <v>374</v>
      </c>
      <c r="B375" t="inlineStr">
        <is>
          <t>255195602620</t>
        </is>
      </c>
      <c r="D375" t="inlineStr">
        <is>
          <t>FY26 Managed Service Provider</t>
        </is>
      </c>
      <c r="E375" t="inlineStr">
        <is>
          <t>Ohio State University Wexner Medical Center</t>
        </is>
      </c>
      <c r="F375" t="inlineStr">
        <is>
          <t>Ohio</t>
        </is>
      </c>
      <c r="G375" t="inlineStr">
        <is>
          <t>Submitted</t>
        </is>
      </c>
      <c r="H375" t="inlineStr">
        <is>
          <t>No</t>
        </is>
      </c>
      <c r="J375" s="96" t="n">
        <v>46037</v>
      </c>
      <c r="K375" s="96" t="n">
        <v>46037</v>
      </c>
      <c r="M375" t="inlineStr">
        <is>
          <t>Managed Services (MSP)</t>
        </is>
      </c>
      <c r="O375" t="inlineStr">
        <is>
          <t>Jyothsna Nanda kishore</t>
        </is>
      </c>
      <c r="Y375" t="inlineStr">
        <is>
          <t>2026-01-06</t>
        </is>
      </c>
      <c r="Z375" t="inlineStr">
        <is>
          <t>https://app.hubspot.com/contacts/243046792/record/0-3/255195602620</t>
        </is>
      </c>
    </row>
    <row r="376">
      <c r="A376" t="n">
        <v>375</v>
      </c>
      <c r="B376" t="inlineStr">
        <is>
          <t>231116902097</t>
        </is>
      </c>
      <c r="D376" t="inlineStr">
        <is>
          <t>Timekeeping System</t>
        </is>
      </c>
      <c r="E376" t="inlineStr">
        <is>
          <t>Temp Union High School District</t>
        </is>
      </c>
      <c r="F376" t="inlineStr">
        <is>
          <t>Arizona</t>
        </is>
      </c>
      <c r="G376" t="inlineStr">
        <is>
          <t>Closed Lost</t>
        </is>
      </c>
      <c r="H376" t="inlineStr">
        <is>
          <t>No</t>
        </is>
      </c>
      <c r="J376" s="96" t="n">
        <v>46227</v>
      </c>
      <c r="K376" s="96" t="n">
        <v>46037</v>
      </c>
      <c r="M376" t="inlineStr">
        <is>
          <t>Platform Implementation (ERP, CRMs)</t>
        </is>
      </c>
      <c r="N376" t="inlineStr">
        <is>
          <t>Portal</t>
        </is>
      </c>
      <c r="O376" t="inlineStr">
        <is>
          <t>Ashutosh Chauhan</t>
        </is>
      </c>
      <c r="Y376" t="inlineStr">
        <is>
          <t>2025-12-01</t>
        </is>
      </c>
      <c r="Z376" t="inlineStr">
        <is>
          <t>https://app.hubspot.com/contacts/243046792/record/0-3/231116902097</t>
        </is>
      </c>
    </row>
    <row r="377">
      <c r="A377" t="n">
        <v>376</v>
      </c>
      <c r="B377" t="inlineStr">
        <is>
          <t>238161229542</t>
        </is>
      </c>
      <c r="D377" t="inlineStr">
        <is>
          <t>NETWORK SECURITY PENETRATION TESTING SERVICES</t>
        </is>
      </c>
      <c r="E377" t="inlineStr">
        <is>
          <t>Greenville Utilities Commission</t>
        </is>
      </c>
      <c r="F377" t="inlineStr">
        <is>
          <t>North Carolina</t>
        </is>
      </c>
      <c r="G377" t="inlineStr">
        <is>
          <t>RFx Cancelled</t>
        </is>
      </c>
      <c r="H377" t="inlineStr">
        <is>
          <t>No</t>
        </is>
      </c>
      <c r="J377" s="96" t="n">
        <v>46037</v>
      </c>
      <c r="K377" s="96" t="n">
        <v>46037</v>
      </c>
      <c r="M377" t="inlineStr">
        <is>
          <t>Audits and Assessment</t>
        </is>
      </c>
      <c r="N377" t="inlineStr">
        <is>
          <t>Email</t>
        </is>
      </c>
      <c r="O377" t="inlineStr">
        <is>
          <t>Jyothsna Nanda kishore</t>
        </is>
      </c>
      <c r="Y377" s="96" t="n">
        <v>46002</v>
      </c>
      <c r="Z377" t="inlineStr">
        <is>
          <t>https://app.hubspot.com/contacts/243046792/record/0-3/238161229542</t>
        </is>
      </c>
    </row>
    <row r="378">
      <c r="A378" t="n">
        <v>377</v>
      </c>
      <c r="B378" t="inlineStr">
        <is>
          <t>245622150905</t>
        </is>
      </c>
      <c r="D378" t="inlineStr">
        <is>
          <t>Annual Contract for Staff Augmentation Services</t>
        </is>
      </c>
      <c r="E378" t="inlineStr">
        <is>
          <t>Tarrant County</t>
        </is>
      </c>
      <c r="F378" t="inlineStr">
        <is>
          <t>Texas</t>
        </is>
      </c>
      <c r="G378" t="inlineStr">
        <is>
          <t>Submitted</t>
        </is>
      </c>
      <c r="H378" t="inlineStr">
        <is>
          <t>No</t>
        </is>
      </c>
      <c r="J378" s="96" t="n">
        <v>46037</v>
      </c>
      <c r="K378" s="96" t="n">
        <v>46037</v>
      </c>
      <c r="M378" t="inlineStr">
        <is>
          <t>Staff Augmentation</t>
        </is>
      </c>
      <c r="O378" t="inlineStr">
        <is>
          <t>Ashutosh Chauhan</t>
        </is>
      </c>
      <c r="Y378" t="inlineStr">
        <is>
          <t>2025-12-22</t>
        </is>
      </c>
      <c r="Z378" t="inlineStr">
        <is>
          <t>https://app.hubspot.com/contacts/243046792/record/0-3/245622150905</t>
        </is>
      </c>
    </row>
    <row r="379">
      <c r="A379" t="n">
        <v>378</v>
      </c>
      <c r="B379" t="inlineStr">
        <is>
          <t>255422640874</t>
        </is>
      </c>
      <c r="C379" t="inlineStr">
        <is>
          <t>RTL260085LJ</t>
        </is>
      </c>
      <c r="D379" t="inlineStr">
        <is>
          <t>Microsoft 365 (M365) Enterprise Implementation Services</t>
        </is>
      </c>
      <c r="E379" t="inlineStr">
        <is>
          <t>Tri-County Metropolitan Transportation District of Oregon</t>
        </is>
      </c>
      <c r="F379" t="inlineStr">
        <is>
          <t>Oregon</t>
        </is>
      </c>
      <c r="G379" t="inlineStr">
        <is>
          <t>Closed Lost</t>
        </is>
      </c>
      <c r="H379" t="inlineStr">
        <is>
          <t>No</t>
        </is>
      </c>
      <c r="J379" s="96" t="n">
        <v>46057</v>
      </c>
      <c r="K379" s="96" t="n">
        <v>46037</v>
      </c>
      <c r="L379" s="65" t="n">
        <v>82460</v>
      </c>
      <c r="M379" t="inlineStr">
        <is>
          <t>Platform Implementation (ERP, CRMs)</t>
        </is>
      </c>
      <c r="N379" t="inlineStr">
        <is>
          <t>Portal</t>
        </is>
      </c>
      <c r="O379" t="inlineStr">
        <is>
          <t>Ashutosh Chauhan</t>
        </is>
      </c>
      <c r="Y379" t="inlineStr">
        <is>
          <t>2026-01-06</t>
        </is>
      </c>
      <c r="Z379" t="inlineStr">
        <is>
          <t>https://app.hubspot.com/contacts/243046792/record/0-3/255422640874</t>
        </is>
      </c>
    </row>
    <row r="380">
      <c r="A380" t="n">
        <v>379</v>
      </c>
      <c r="B380" t="inlineStr">
        <is>
          <t>202091021007</t>
        </is>
      </c>
      <c r="D380" t="inlineStr">
        <is>
          <t>Information Technology Service Management (ITSM) Platform</t>
        </is>
      </c>
      <c r="E380" t="inlineStr">
        <is>
          <t xml:space="preserve">Orlando Utilities Commission </t>
        </is>
      </c>
      <c r="F380" t="inlineStr">
        <is>
          <t>Florida</t>
        </is>
      </c>
      <c r="G380" t="inlineStr">
        <is>
          <t>Closed Lost</t>
        </is>
      </c>
      <c r="H380" t="inlineStr">
        <is>
          <t>No</t>
        </is>
      </c>
      <c r="J380" s="96" t="n">
        <v>46107</v>
      </c>
      <c r="K380" s="96" t="n">
        <v>46037</v>
      </c>
      <c r="M380" t="inlineStr">
        <is>
          <t>Platform Implementation (ERP, CRMs)</t>
        </is>
      </c>
      <c r="O380" t="inlineStr">
        <is>
          <t>Ashutosh Chauhan</t>
        </is>
      </c>
      <c r="Y380" t="inlineStr">
        <is>
          <t>2025-10-28</t>
        </is>
      </c>
      <c r="Z380" t="inlineStr">
        <is>
          <t>https://app.hubspot.com/contacts/243046792/record/0-3/202091021007</t>
        </is>
      </c>
    </row>
    <row r="381">
      <c r="A381" t="n">
        <v>380</v>
      </c>
      <c r="B381" t="inlineStr">
        <is>
          <t>207661977336</t>
        </is>
      </c>
      <c r="D381" t="inlineStr">
        <is>
          <t>Cybersecurity &amp; It Support Services</t>
        </is>
      </c>
      <c r="E381" t="inlineStr">
        <is>
          <t xml:space="preserve">Greater New Bedford Regional Refuse Management District </t>
        </is>
      </c>
      <c r="F381" t="inlineStr">
        <is>
          <t>Massachusetts</t>
        </is>
      </c>
      <c r="G381" t="inlineStr">
        <is>
          <t>Submitted</t>
        </is>
      </c>
      <c r="H381" t="inlineStr">
        <is>
          <t>No</t>
        </is>
      </c>
      <c r="J381" s="96" t="n">
        <v>46038</v>
      </c>
      <c r="K381" s="96" t="n">
        <v>46038</v>
      </c>
      <c r="M381" t="inlineStr">
        <is>
          <t>Support &amp; Maintenance</t>
        </is>
      </c>
      <c r="O381" t="inlineStr">
        <is>
          <t>Ashutosh Chauhan</t>
        </is>
      </c>
      <c r="Y381" t="inlineStr">
        <is>
          <t>2025-11-03</t>
        </is>
      </c>
      <c r="Z381" t="inlineStr">
        <is>
          <t>https://app.hubspot.com/contacts/243046792/record/0-3/207661977336</t>
        </is>
      </c>
    </row>
    <row r="382">
      <c r="A382" t="n">
        <v>381</v>
      </c>
      <c r="B382" t="inlineStr">
        <is>
          <t>231114022607</t>
        </is>
      </c>
      <c r="D382" t="inlineStr">
        <is>
          <t>Cloud Computing Strategy Services</t>
        </is>
      </c>
      <c r="E382" t="inlineStr">
        <is>
          <t>University of Central Missouri</t>
        </is>
      </c>
      <c r="F382" t="inlineStr">
        <is>
          <t>Missouri</t>
        </is>
      </c>
      <c r="G382" t="inlineStr">
        <is>
          <t>Submitted</t>
        </is>
      </c>
      <c r="H382" t="inlineStr">
        <is>
          <t>No</t>
        </is>
      </c>
      <c r="J382" s="96" t="n">
        <v>46038</v>
      </c>
      <c r="K382" s="96" t="n">
        <v>46038</v>
      </c>
      <c r="M382" t="inlineStr">
        <is>
          <t>Staff Augmentation</t>
        </is>
      </c>
      <c r="N382" t="inlineStr">
        <is>
          <t>Portal</t>
        </is>
      </c>
      <c r="O382" t="inlineStr">
        <is>
          <t>Ashutosh Chauhan</t>
        </is>
      </c>
      <c r="Y382" t="inlineStr">
        <is>
          <t>2025-12-01</t>
        </is>
      </c>
      <c r="Z382" t="inlineStr">
        <is>
          <t>https://app.hubspot.com/contacts/243046792/record/0-3/231114022607</t>
        </is>
      </c>
    </row>
    <row r="383">
      <c r="A383" t="n">
        <v>382</v>
      </c>
      <c r="B383" t="inlineStr">
        <is>
          <t>255640226498</t>
        </is>
      </c>
      <c r="D383" t="inlineStr">
        <is>
          <t>GRCC ERP Consultant Services (Time and Labor Services)</t>
        </is>
      </c>
      <c r="E383" t="inlineStr">
        <is>
          <t>Grand Rapids Community College</t>
        </is>
      </c>
      <c r="F383" t="inlineStr">
        <is>
          <t>Michigan</t>
        </is>
      </c>
      <c r="G383" t="inlineStr">
        <is>
          <t>Submitted</t>
        </is>
      </c>
      <c r="H383" t="inlineStr">
        <is>
          <t>No</t>
        </is>
      </c>
      <c r="J383" s="96" t="n">
        <v>46038</v>
      </c>
      <c r="K383" s="96" t="n">
        <v>46038</v>
      </c>
      <c r="L383" s="65" t="n">
        <v>82500</v>
      </c>
      <c r="M383" t="inlineStr">
        <is>
          <t>Platform Implementation (ERP, CRMs)</t>
        </is>
      </c>
      <c r="N383" t="inlineStr">
        <is>
          <t>Portal</t>
        </is>
      </c>
      <c r="O383" t="inlineStr">
        <is>
          <t>Vinay Srinivasan</t>
        </is>
      </c>
      <c r="Y383" t="inlineStr">
        <is>
          <t>2026-01-06</t>
        </is>
      </c>
      <c r="Z383" t="inlineStr">
        <is>
          <t>https://app.hubspot.com/contacts/243046792/record/0-3/255640226498</t>
        </is>
      </c>
    </row>
    <row r="384">
      <c r="A384" t="n">
        <v>383</v>
      </c>
      <c r="B384" t="inlineStr">
        <is>
          <t>263927241413</t>
        </is>
      </c>
      <c r="D384" t="inlineStr">
        <is>
          <t>AI Strategy &amp; Integration Consultant</t>
        </is>
      </c>
      <c r="E384" t="inlineStr">
        <is>
          <t>The 92nd Street Y, New York (92NY)</t>
        </is>
      </c>
      <c r="F384" t="inlineStr">
        <is>
          <t>New York</t>
        </is>
      </c>
      <c r="G384" t="inlineStr">
        <is>
          <t>Submitted</t>
        </is>
      </c>
      <c r="H384" t="inlineStr">
        <is>
          <t>No</t>
        </is>
      </c>
      <c r="J384" s="96" t="n">
        <v>46038</v>
      </c>
      <c r="K384" s="96" t="n">
        <v>46038</v>
      </c>
      <c r="M384" t="inlineStr">
        <is>
          <t>Consulting</t>
        </is>
      </c>
      <c r="O384" t="inlineStr">
        <is>
          <t>Abhishek Zalani</t>
        </is>
      </c>
      <c r="Y384" t="inlineStr">
        <is>
          <t>2026-01-16</t>
        </is>
      </c>
      <c r="Z384" t="inlineStr">
        <is>
          <t>https://app.hubspot.com/contacts/243046792/record/0-3/263927241413</t>
        </is>
      </c>
    </row>
    <row r="385">
      <c r="A385" t="n">
        <v>384</v>
      </c>
      <c r="B385" t="inlineStr">
        <is>
          <t>235964612297</t>
        </is>
      </c>
      <c r="D385" t="inlineStr">
        <is>
          <t>North Central Texas Council of Governments - AI Governance, Compliance, and Enablement Platform</t>
        </is>
      </c>
      <c r="E385" t="inlineStr">
        <is>
          <t>North Central Texas Council of Governments</t>
        </is>
      </c>
      <c r="F385" t="inlineStr">
        <is>
          <t>TEXAS</t>
        </is>
      </c>
      <c r="G385" t="inlineStr">
        <is>
          <t>Closed Won</t>
        </is>
      </c>
      <c r="H385" t="inlineStr">
        <is>
          <t>No</t>
        </is>
      </c>
      <c r="J385" s="96" t="n">
        <v>46141</v>
      </c>
      <c r="K385" s="96" t="n">
        <v>46038</v>
      </c>
      <c r="M385" t="inlineStr">
        <is>
          <t>Consulting</t>
        </is>
      </c>
      <c r="N385" t="inlineStr">
        <is>
          <t>Portal</t>
        </is>
      </c>
      <c r="O385" t="inlineStr">
        <is>
          <t>Ashutosh Chauhan</t>
        </is>
      </c>
      <c r="S385" t="inlineStr">
        <is>
          <t>2026-03-10</t>
        </is>
      </c>
      <c r="U385" s="96" t="n">
        <v>46148</v>
      </c>
      <c r="V385" t="inlineStr">
        <is>
          <t>Awarded</t>
        </is>
      </c>
      <c r="Y385" t="inlineStr">
        <is>
          <t>2025-12-09</t>
        </is>
      </c>
      <c r="Z385" t="inlineStr">
        <is>
          <t>https://app.hubspot.com/contacts/243046792/record/0-3/235964612297</t>
        </is>
      </c>
      <c r="AA385" t="inlineStr">
        <is>
          <t>No</t>
        </is>
      </c>
    </row>
    <row r="386">
      <c r="A386" t="n">
        <v>385</v>
      </c>
      <c r="B386" t="inlineStr">
        <is>
          <t>255422637807</t>
        </is>
      </c>
      <c r="C386" t="inlineStr">
        <is>
          <t>2026-RFP-00227</t>
        </is>
      </c>
      <c r="D386" t="inlineStr">
        <is>
          <t>Childcare Navigation Technology Platform</t>
        </is>
      </c>
      <c r="E386" t="inlineStr">
        <is>
          <t>County of San Mateo</t>
        </is>
      </c>
      <c r="F386" t="inlineStr">
        <is>
          <t>California</t>
        </is>
      </c>
      <c r="G386" t="inlineStr">
        <is>
          <t>Closed Lost</t>
        </is>
      </c>
      <c r="H386" t="inlineStr">
        <is>
          <t>No</t>
        </is>
      </c>
      <c r="J386" s="96" t="n">
        <v>46169</v>
      </c>
      <c r="K386" s="96" t="n">
        <v>46038</v>
      </c>
      <c r="M386" t="inlineStr">
        <is>
          <t>Platform Implementation (ERP, CRMs)</t>
        </is>
      </c>
      <c r="N386" t="inlineStr">
        <is>
          <t>Portal</t>
        </is>
      </c>
      <c r="O386" t="inlineStr">
        <is>
          <t>Ashutosh Chauhan</t>
        </is>
      </c>
      <c r="Y386" t="inlineStr">
        <is>
          <t>2026-01-06</t>
        </is>
      </c>
      <c r="Z386" t="inlineStr">
        <is>
          <t>https://app.hubspot.com/contacts/243046792/record/0-3/255422637807</t>
        </is>
      </c>
    </row>
    <row r="387">
      <c r="A387" t="n">
        <v>386</v>
      </c>
      <c r="B387" t="inlineStr">
        <is>
          <t>255640222437</t>
        </is>
      </c>
      <c r="C387" t="inlineStr">
        <is>
          <t>12198-2</t>
        </is>
      </c>
      <c r="D387" t="inlineStr">
        <is>
          <t>Salesforce Custom Development for Code &amp; Zoning Enforcement</t>
        </is>
      </c>
      <c r="E387" t="inlineStr">
        <is>
          <t>City of Greensboro</t>
        </is>
      </c>
      <c r="F387" t="inlineStr">
        <is>
          <t>North Carolina</t>
        </is>
      </c>
      <c r="G387" t="inlineStr">
        <is>
          <t>RFx Cancelled</t>
        </is>
      </c>
      <c r="H387" t="inlineStr">
        <is>
          <t>No</t>
        </is>
      </c>
      <c r="J387" s="96" t="n">
        <v>46042</v>
      </c>
      <c r="K387" s="96" t="n">
        <v>46042</v>
      </c>
      <c r="L387" s="65" t="n">
        <v>70430</v>
      </c>
      <c r="M387" t="inlineStr">
        <is>
          <t>Platform Implementation (ERP, CRMs)</t>
        </is>
      </c>
      <c r="N387" t="inlineStr">
        <is>
          <t>Portal</t>
        </is>
      </c>
      <c r="O387" t="inlineStr">
        <is>
          <t>Ashutosh Chauhan</t>
        </is>
      </c>
      <c r="Y387" t="inlineStr">
        <is>
          <t>2026-01-06</t>
        </is>
      </c>
      <c r="Z387" t="inlineStr">
        <is>
          <t>https://app.hubspot.com/contacts/243046792/record/0-3/255640222437</t>
        </is>
      </c>
    </row>
    <row r="388">
      <c r="A388" t="n">
        <v>387</v>
      </c>
      <c r="B388" t="inlineStr">
        <is>
          <t>255414899417</t>
        </is>
      </c>
      <c r="C388" t="inlineStr">
        <is>
          <t>RFP26-41</t>
        </is>
      </c>
      <c r="D388" t="inlineStr">
        <is>
          <t>Web and Mobile App ADA Compliance</t>
        </is>
      </c>
      <c r="E388" t="inlineStr">
        <is>
          <t>Los Alamos County</t>
        </is>
      </c>
      <c r="F388" t="inlineStr">
        <is>
          <t>New Mexico</t>
        </is>
      </c>
      <c r="G388" t="inlineStr">
        <is>
          <t>Submitted</t>
        </is>
      </c>
      <c r="H388" t="inlineStr">
        <is>
          <t>No</t>
        </is>
      </c>
      <c r="J388" s="96" t="n">
        <v>46042</v>
      </c>
      <c r="K388" s="96" t="n">
        <v>46042</v>
      </c>
      <c r="M388" t="inlineStr">
        <is>
          <t>Audits and Assessment</t>
        </is>
      </c>
      <c r="O388" t="inlineStr">
        <is>
          <t>Ashutosh Chauhan</t>
        </is>
      </c>
      <c r="Y388" t="inlineStr">
        <is>
          <t>2026-01-06</t>
        </is>
      </c>
      <c r="Z388" t="inlineStr">
        <is>
          <t>https://app.hubspot.com/contacts/243046792/record/0-3/255414899417</t>
        </is>
      </c>
    </row>
    <row r="389">
      <c r="A389" t="n">
        <v>388</v>
      </c>
      <c r="B389" t="inlineStr">
        <is>
          <t>161660191429</t>
        </is>
      </c>
      <c r="D389" t="inlineStr">
        <is>
          <t>Cloud Services Migration</t>
        </is>
      </c>
      <c r="E389" t="inlineStr">
        <is>
          <t>Orange County</t>
        </is>
      </c>
      <c r="F389" t="inlineStr">
        <is>
          <t>California</t>
        </is>
      </c>
      <c r="G389" t="inlineStr">
        <is>
          <t>Submitted</t>
        </is>
      </c>
      <c r="H389" t="inlineStr">
        <is>
          <t>No</t>
        </is>
      </c>
      <c r="J389" s="96" t="n">
        <v>46042</v>
      </c>
      <c r="K389" s="96" t="n">
        <v>46042</v>
      </c>
      <c r="M389" t="inlineStr">
        <is>
          <t>Consulting</t>
        </is>
      </c>
      <c r="O389" t="inlineStr">
        <is>
          <t>Ashutosh Chauhan</t>
        </is>
      </c>
      <c r="Y389" t="inlineStr">
        <is>
          <t>2025-09-16</t>
        </is>
      </c>
      <c r="Z389" t="inlineStr">
        <is>
          <t>https://app.hubspot.com/contacts/243046792/record/0-3/161660191429</t>
        </is>
      </c>
    </row>
    <row r="390">
      <c r="A390" t="n">
        <v>389</v>
      </c>
      <c r="B390" t="inlineStr">
        <is>
          <t>208322135778</t>
        </is>
      </c>
      <c r="D390" t="inlineStr">
        <is>
          <t>Cloud-Based Computerized Maintenance Management System and Enterprise Asset Management System</t>
        </is>
      </c>
      <c r="E390" t="inlineStr">
        <is>
          <t>City of Scottsdale</t>
        </is>
      </c>
      <c r="F390" t="inlineStr">
        <is>
          <t>Arizona</t>
        </is>
      </c>
      <c r="G390" t="inlineStr">
        <is>
          <t>Submitted</t>
        </is>
      </c>
      <c r="H390" t="inlineStr">
        <is>
          <t>No</t>
        </is>
      </c>
      <c r="J390" s="96" t="n">
        <v>46042</v>
      </c>
      <c r="K390" s="96" t="n">
        <v>46042</v>
      </c>
      <c r="M390" t="inlineStr">
        <is>
          <t>Platform Implementation (ERP, CRMs)</t>
        </is>
      </c>
      <c r="O390" t="inlineStr">
        <is>
          <t>Jyothsna Nanda kishore</t>
        </is>
      </c>
      <c r="Y390" t="inlineStr">
        <is>
          <t>2025-11-03</t>
        </is>
      </c>
      <c r="Z390" t="inlineStr">
        <is>
          <t>https://app.hubspot.com/contacts/243046792/record/0-3/208322135778</t>
        </is>
      </c>
    </row>
    <row r="391">
      <c r="A391" t="n">
        <v>390</v>
      </c>
      <c r="B391" t="inlineStr">
        <is>
          <t>267213774549</t>
        </is>
      </c>
      <c r="D391" t="inlineStr">
        <is>
          <t>FY25 Application, Infrastructure, Hosting and Cloud Computing Services</t>
        </is>
      </c>
      <c r="E391" t="inlineStr">
        <is>
          <t>State of Alabama – Plumbers and Gas Fitters Examining Board</t>
        </is>
      </c>
      <c r="F391" t="inlineStr">
        <is>
          <t>Alabama</t>
        </is>
      </c>
      <c r="G391" t="inlineStr">
        <is>
          <t>Submitted</t>
        </is>
      </c>
      <c r="H391" t="inlineStr">
        <is>
          <t>No</t>
        </is>
      </c>
      <c r="J391" s="96" t="n">
        <v>46042</v>
      </c>
      <c r="K391" s="96" t="n">
        <v>46042</v>
      </c>
      <c r="M391" t="inlineStr">
        <is>
          <t>Consulting</t>
        </is>
      </c>
      <c r="O391" t="inlineStr">
        <is>
          <t>Savya Atrey</t>
        </is>
      </c>
      <c r="Y391" t="inlineStr">
        <is>
          <t>2026-01-20</t>
        </is>
      </c>
      <c r="Z391" t="inlineStr">
        <is>
          <t>https://app.hubspot.com/contacts/243046792/record/0-3/267213774549</t>
        </is>
      </c>
    </row>
    <row r="392">
      <c r="A392" t="n">
        <v>391</v>
      </c>
      <c r="B392" t="inlineStr">
        <is>
          <t>245622151906</t>
        </is>
      </c>
      <c r="D392" t="inlineStr">
        <is>
          <t>Professional and Technical Services for ArcGIS Utility Network Migration</t>
        </is>
      </c>
      <c r="E392" t="inlineStr">
        <is>
          <t>City of Battle Creek</t>
        </is>
      </c>
      <c r="F392" t="inlineStr">
        <is>
          <t>Michigan</t>
        </is>
      </c>
      <c r="G392" t="inlineStr">
        <is>
          <t>Submitted</t>
        </is>
      </c>
      <c r="H392" t="inlineStr">
        <is>
          <t>No</t>
        </is>
      </c>
      <c r="J392" s="96" t="n">
        <v>46042</v>
      </c>
      <c r="K392" s="96" t="n">
        <v>46042</v>
      </c>
      <c r="L392" s="65" t="n">
        <v>120500</v>
      </c>
      <c r="M392" t="inlineStr">
        <is>
          <t>Consulting</t>
        </is>
      </c>
      <c r="N392" t="inlineStr">
        <is>
          <t>Portal</t>
        </is>
      </c>
      <c r="O392" t="inlineStr">
        <is>
          <t>Ashutosh Chauhan</t>
        </is>
      </c>
      <c r="Y392" t="inlineStr">
        <is>
          <t>2025-12-22</t>
        </is>
      </c>
      <c r="Z392" t="inlineStr">
        <is>
          <t>https://app.hubspot.com/contacts/243046792/record/0-3/245622151906</t>
        </is>
      </c>
    </row>
    <row r="393">
      <c r="A393" t="n">
        <v>392</v>
      </c>
      <c r="B393" t="inlineStr">
        <is>
          <t>256863960825</t>
        </is>
      </c>
      <c r="C393" t="inlineStr">
        <is>
          <t>RFP 25-71</t>
        </is>
      </c>
      <c r="D393" t="inlineStr">
        <is>
          <t>SEPA for Regional Cyber Incident Preparedness Project</t>
        </is>
      </c>
      <c r="E393" t="inlineStr">
        <is>
          <t>Montgomery County</t>
        </is>
      </c>
      <c r="F393" t="inlineStr">
        <is>
          <t>Pennsylvania</t>
        </is>
      </c>
      <c r="G393" t="inlineStr">
        <is>
          <t>Submitted</t>
        </is>
      </c>
      <c r="H393" t="inlineStr">
        <is>
          <t>No</t>
        </is>
      </c>
      <c r="J393" s="96" t="n">
        <v>46044</v>
      </c>
      <c r="K393" s="96" t="n">
        <v>46042</v>
      </c>
      <c r="L393" s="65" t="n">
        <v>37300</v>
      </c>
      <c r="M393" t="inlineStr">
        <is>
          <t>Consulting</t>
        </is>
      </c>
      <c r="N393" t="inlineStr">
        <is>
          <t>Portal</t>
        </is>
      </c>
      <c r="O393" t="inlineStr">
        <is>
          <t>Savya Atrey</t>
        </is>
      </c>
      <c r="Y393" t="inlineStr">
        <is>
          <t>2026-01-08</t>
        </is>
      </c>
      <c r="Z393" t="inlineStr">
        <is>
          <t>https://app.hubspot.com/contacts/243046792/record/0-3/256863960825</t>
        </is>
      </c>
    </row>
    <row r="394">
      <c r="A394" t="n">
        <v>393</v>
      </c>
      <c r="B394" t="inlineStr">
        <is>
          <t>255700624104</t>
        </is>
      </c>
      <c r="D394" t="inlineStr">
        <is>
          <t>IT Managed Service Provider Selection - Consultant Support</t>
        </is>
      </c>
      <c r="E394" t="inlineStr">
        <is>
          <t>Mesa Water District</t>
        </is>
      </c>
      <c r="F394" t="inlineStr">
        <is>
          <t>California</t>
        </is>
      </c>
      <c r="G394" t="inlineStr">
        <is>
          <t>Closed Lost</t>
        </is>
      </c>
      <c r="H394" t="inlineStr">
        <is>
          <t>No</t>
        </is>
      </c>
      <c r="J394" s="96" t="n">
        <v>46113</v>
      </c>
      <c r="K394" s="96" t="n">
        <v>46042</v>
      </c>
      <c r="M394" t="inlineStr">
        <is>
          <t>Consulting</t>
        </is>
      </c>
      <c r="O394" t="inlineStr">
        <is>
          <t>Savya Atrey</t>
        </is>
      </c>
      <c r="Y394" t="inlineStr">
        <is>
          <t>2026-01-06</t>
        </is>
      </c>
      <c r="Z394" t="inlineStr">
        <is>
          <t>https://app.hubspot.com/contacts/243046792/record/0-3/255700624104</t>
        </is>
      </c>
    </row>
    <row r="395">
      <c r="A395" t="n">
        <v>394</v>
      </c>
      <c r="B395" t="inlineStr">
        <is>
          <t>257228182254</t>
        </is>
      </c>
      <c r="D395" t="inlineStr">
        <is>
          <t>Microsoft Power Platform, Azure Data Services, and Azure Artificial Intelligence Services</t>
        </is>
      </c>
      <c r="E395" t="inlineStr">
        <is>
          <t xml:space="preserve">Bay Area Air Quality Management District </t>
        </is>
      </c>
      <c r="F395" t="inlineStr">
        <is>
          <t>California</t>
        </is>
      </c>
      <c r="G395" t="inlineStr">
        <is>
          <t>Submitted</t>
        </is>
      </c>
      <c r="H395" t="inlineStr">
        <is>
          <t>No</t>
        </is>
      </c>
      <c r="J395" s="96" t="n">
        <v>46043</v>
      </c>
      <c r="K395" s="96" t="n">
        <v>46043</v>
      </c>
      <c r="M395" t="inlineStr">
        <is>
          <t>Consulting</t>
        </is>
      </c>
      <c r="O395" t="inlineStr">
        <is>
          <t>Savya Atrey</t>
        </is>
      </c>
      <c r="Y395" t="inlineStr">
        <is>
          <t>2026-01-08</t>
        </is>
      </c>
      <c r="Z395" t="inlineStr">
        <is>
          <t>https://app.hubspot.com/contacts/243046792/record/0-3/257228182254</t>
        </is>
      </c>
    </row>
    <row r="396">
      <c r="A396" t="n">
        <v>395</v>
      </c>
      <c r="B396" t="inlineStr">
        <is>
          <t>255422636750</t>
        </is>
      </c>
      <c r="C396" t="inlineStr">
        <is>
          <t>RFP NO. 25-06 – IT</t>
        </is>
      </c>
      <c r="D396" t="inlineStr">
        <is>
          <t>Technology and Modernization Services</t>
        </is>
      </c>
      <c r="E396" t="inlineStr">
        <is>
          <t>Butler Metro Housing Authority</t>
        </is>
      </c>
      <c r="F396" t="inlineStr">
        <is>
          <t>Ohio</t>
        </is>
      </c>
      <c r="G396" t="inlineStr">
        <is>
          <t>Submitted</t>
        </is>
      </c>
      <c r="H396" t="inlineStr">
        <is>
          <t>No</t>
        </is>
      </c>
      <c r="J396" s="96" t="n">
        <v>46043</v>
      </c>
      <c r="K396" s="96" t="n">
        <v>46043</v>
      </c>
      <c r="M396" t="inlineStr">
        <is>
          <t>Modernization / Migration</t>
        </is>
      </c>
      <c r="O396" t="inlineStr">
        <is>
          <t>Savya Atrey</t>
        </is>
      </c>
      <c r="Y396" t="inlineStr">
        <is>
          <t>2026-01-06</t>
        </is>
      </c>
      <c r="Z396" t="inlineStr">
        <is>
          <t>https://app.hubspot.com/contacts/243046792/record/0-3/255422636750</t>
        </is>
      </c>
    </row>
    <row r="397">
      <c r="A397" t="n">
        <v>396</v>
      </c>
      <c r="B397" t="inlineStr">
        <is>
          <t>235966049983</t>
        </is>
      </c>
      <c r="D397" t="inlineStr">
        <is>
          <t>On-Call Services and Software for Building Performance Standards Implementation</t>
        </is>
      </c>
      <c r="E397" t="inlineStr">
        <is>
          <t>City of West Hollywood</t>
        </is>
      </c>
      <c r="F397" t="inlineStr">
        <is>
          <t>California</t>
        </is>
      </c>
      <c r="G397" t="inlineStr">
        <is>
          <t>Closed Lost</t>
        </is>
      </c>
      <c r="H397" t="inlineStr">
        <is>
          <t>No</t>
        </is>
      </c>
      <c r="J397" s="96" t="n">
        <v>46070</v>
      </c>
      <c r="K397" s="96" t="n">
        <v>46043</v>
      </c>
      <c r="M397" t="inlineStr">
        <is>
          <t>Support &amp; Maintenance</t>
        </is>
      </c>
      <c r="O397" t="inlineStr">
        <is>
          <t>Ashutosh Chauhan</t>
        </is>
      </c>
      <c r="Y397" t="inlineStr">
        <is>
          <t>2025-12-09</t>
        </is>
      </c>
      <c r="Z397" t="inlineStr">
        <is>
          <t>https://app.hubspot.com/contacts/243046792/record/0-3/235966049983</t>
        </is>
      </c>
    </row>
    <row r="398">
      <c r="A398" t="n">
        <v>397</v>
      </c>
      <c r="B398" t="inlineStr">
        <is>
          <t>236125634275</t>
        </is>
      </c>
      <c r="C398" t="inlineStr">
        <is>
          <t>2001-25</t>
        </is>
      </c>
      <c r="D398" t="inlineStr">
        <is>
          <t>Cloud Services</t>
        </is>
      </c>
      <c r="E398" t="inlineStr">
        <is>
          <t>Hartford Housing Authority</t>
        </is>
      </c>
      <c r="F398" t="inlineStr">
        <is>
          <t>Connecticut</t>
        </is>
      </c>
      <c r="G398" t="inlineStr">
        <is>
          <t>Submitted</t>
        </is>
      </c>
      <c r="H398" t="inlineStr">
        <is>
          <t>No</t>
        </is>
      </c>
      <c r="J398" s="96" t="n">
        <v>46044</v>
      </c>
      <c r="K398" s="96" t="n">
        <v>46044</v>
      </c>
      <c r="L398" s="65" t="n">
        <v>256880</v>
      </c>
      <c r="M398" t="inlineStr">
        <is>
          <t>Managed Services (MSP)</t>
        </is>
      </c>
      <c r="N398" t="inlineStr">
        <is>
          <t>Email</t>
        </is>
      </c>
      <c r="O398" t="inlineStr">
        <is>
          <t>Ashutosh Chauhan</t>
        </is>
      </c>
      <c r="Y398" t="inlineStr">
        <is>
          <t>2025-12-09</t>
        </is>
      </c>
      <c r="Z398" t="inlineStr">
        <is>
          <t>https://app.hubspot.com/contacts/243046792/record/0-3/236125634275</t>
        </is>
      </c>
    </row>
    <row r="399">
      <c r="A399" t="n">
        <v>398</v>
      </c>
      <c r="B399" t="inlineStr">
        <is>
          <t>257293099725</t>
        </is>
      </c>
      <c r="C399" t="inlineStr">
        <is>
          <t>RFP 1100 PAB3025</t>
        </is>
      </c>
      <c r="D399" t="inlineStr">
        <is>
          <t>ADMS Consultant Implementation/Upgrade Services</t>
        </is>
      </c>
      <c r="E399" t="inlineStr">
        <is>
          <t>City of Austin</t>
        </is>
      </c>
      <c r="F399" t="inlineStr">
        <is>
          <t>Texas</t>
        </is>
      </c>
      <c r="G399" t="inlineStr">
        <is>
          <t>Submitted</t>
        </is>
      </c>
      <c r="H399" t="inlineStr">
        <is>
          <t>No</t>
        </is>
      </c>
      <c r="J399" s="96" t="n">
        <v>46044</v>
      </c>
      <c r="K399" s="96" t="n">
        <v>46044</v>
      </c>
      <c r="L399" s="65" t="n">
        <v>1800000</v>
      </c>
      <c r="M399" t="inlineStr">
        <is>
          <t>Consulting</t>
        </is>
      </c>
      <c r="N399" t="inlineStr">
        <is>
          <t>Portal</t>
        </is>
      </c>
      <c r="O399" t="inlineStr">
        <is>
          <t>Savya Atrey</t>
        </is>
      </c>
      <c r="Y399" t="inlineStr">
        <is>
          <t>2026-01-08</t>
        </is>
      </c>
      <c r="Z399" t="inlineStr">
        <is>
          <t>https://app.hubspot.com/contacts/243046792/record/0-3/257293099725</t>
        </is>
      </c>
    </row>
    <row r="400">
      <c r="A400" t="n">
        <v>399</v>
      </c>
      <c r="B400" t="inlineStr">
        <is>
          <t>223308058320</t>
        </is>
      </c>
      <c r="D400" t="inlineStr">
        <is>
          <t>ENTERPRISE RESOURCE PLANNING (ERP) SOFTWAREAND IMPLEMENTATION SERVICES</t>
        </is>
      </c>
      <c r="E400" t="inlineStr">
        <is>
          <t>Vero beach</t>
        </is>
      </c>
      <c r="F400" t="inlineStr">
        <is>
          <t>Florida</t>
        </is>
      </c>
      <c r="G400" t="inlineStr">
        <is>
          <t>Closed Lost</t>
        </is>
      </c>
      <c r="H400" t="inlineStr">
        <is>
          <t>No</t>
        </is>
      </c>
      <c r="J400" s="96" t="n">
        <v>46288</v>
      </c>
      <c r="K400" s="96" t="n">
        <v>46044</v>
      </c>
      <c r="M400" t="inlineStr">
        <is>
          <t>Platform Implementation (ERP, CRMs)</t>
        </is>
      </c>
      <c r="N400" t="inlineStr">
        <is>
          <t>Offline</t>
        </is>
      </c>
      <c r="O400" t="inlineStr">
        <is>
          <t>Jyothsna Nanda kishore</t>
        </is>
      </c>
      <c r="Y400" t="inlineStr">
        <is>
          <t>2025-11-19</t>
        </is>
      </c>
      <c r="Z400" t="inlineStr">
        <is>
          <t>https://app.hubspot.com/contacts/243046792/record/0-3/223308058320</t>
        </is>
      </c>
    </row>
    <row r="401">
      <c r="A401" t="n">
        <v>400</v>
      </c>
      <c r="B401" t="inlineStr">
        <is>
          <t>255828500216</t>
        </is>
      </c>
      <c r="D401" t="inlineStr">
        <is>
          <t>Oracle Database Maintenance and Support Services</t>
        </is>
      </c>
      <c r="E401" t="inlineStr">
        <is>
          <t xml:space="preserve">Corrections and Rehabilitation </t>
        </is>
      </c>
      <c r="F401" t="inlineStr">
        <is>
          <t>Hawaii</t>
        </is>
      </c>
      <c r="G401" t="inlineStr">
        <is>
          <t>Submitted</t>
        </is>
      </c>
      <c r="H401" t="inlineStr">
        <is>
          <t>No</t>
        </is>
      </c>
      <c r="J401" s="96" t="n">
        <v>46045</v>
      </c>
      <c r="K401" s="96" t="n">
        <v>46044</v>
      </c>
      <c r="M401" t="inlineStr">
        <is>
          <t>Support &amp; Maintenance</t>
        </is>
      </c>
      <c r="N401" t="inlineStr">
        <is>
          <t>Portal</t>
        </is>
      </c>
      <c r="O401" t="inlineStr">
        <is>
          <t>Ashutosh Chauhan</t>
        </is>
      </c>
      <c r="Y401" t="inlineStr">
        <is>
          <t>2026-01-07</t>
        </is>
      </c>
      <c r="Z401" t="inlineStr">
        <is>
          <t>https://app.hubspot.com/contacts/243046792/record/0-3/255828500216</t>
        </is>
      </c>
    </row>
    <row r="402">
      <c r="A402" t="n">
        <v>401</v>
      </c>
      <c r="B402" t="inlineStr">
        <is>
          <t>238644854519</t>
        </is>
      </c>
      <c r="D402" t="inlineStr">
        <is>
          <t>Managed Information Technology and Cybersecurity Services</t>
        </is>
      </c>
      <c r="E402" t="inlineStr">
        <is>
          <t>Village of Scarsdale</t>
        </is>
      </c>
      <c r="F402" t="inlineStr">
        <is>
          <t>New York</t>
        </is>
      </c>
      <c r="G402" t="inlineStr">
        <is>
          <t>Closed Lost</t>
        </is>
      </c>
      <c r="H402" t="inlineStr">
        <is>
          <t>Yes</t>
        </is>
      </c>
      <c r="I402" t="inlineStr">
        <is>
          <t>Interview</t>
        </is>
      </c>
      <c r="J402" s="96" t="n">
        <v>46077</v>
      </c>
      <c r="K402" s="96" t="n">
        <v>46044</v>
      </c>
      <c r="L402" s="65" t="n">
        <v>244920</v>
      </c>
      <c r="M402" t="inlineStr">
        <is>
          <t>Managed Services (MSP)</t>
        </is>
      </c>
      <c r="N402" t="inlineStr">
        <is>
          <t>Offline</t>
        </is>
      </c>
      <c r="O402" t="inlineStr">
        <is>
          <t>Jyothsna Nanda kishore</t>
        </is>
      </c>
      <c r="P402" t="inlineStr">
        <is>
          <t>Interview Scheduled</t>
        </is>
      </c>
      <c r="Q402" t="inlineStr">
        <is>
          <t>2026-02-04</t>
        </is>
      </c>
      <c r="Y402" t="inlineStr">
        <is>
          <t>2025-12-18</t>
        </is>
      </c>
      <c r="Z402" t="inlineStr">
        <is>
          <t>https://app.hubspot.com/contacts/243046792/record/0-3/238644854519</t>
        </is>
      </c>
    </row>
    <row r="403">
      <c r="A403" t="n">
        <v>402</v>
      </c>
      <c r="B403" t="inlineStr">
        <is>
          <t>253057082092</t>
        </is>
      </c>
      <c r="D403" t="inlineStr">
        <is>
          <t>Security Information and Event Management Platform</t>
        </is>
      </c>
      <c r="E403" t="inlineStr">
        <is>
          <t>City of Lee's Summit</t>
        </is>
      </c>
      <c r="F403" t="inlineStr">
        <is>
          <t>Missouri</t>
        </is>
      </c>
      <c r="G403" t="inlineStr">
        <is>
          <t>Closed Lost</t>
        </is>
      </c>
      <c r="H403" t="inlineStr">
        <is>
          <t>No</t>
        </is>
      </c>
      <c r="J403" s="96" t="n">
        <v>46132</v>
      </c>
      <c r="K403" s="96" t="n">
        <v>46044</v>
      </c>
      <c r="M403" t="inlineStr">
        <is>
          <t>Modernization / Migration</t>
        </is>
      </c>
      <c r="O403" t="inlineStr">
        <is>
          <t>Jyothsna Nanda kishore</t>
        </is>
      </c>
      <c r="Y403" t="inlineStr">
        <is>
          <t>2026-01-07</t>
        </is>
      </c>
      <c r="Z403" t="inlineStr">
        <is>
          <t>https://app.hubspot.com/contacts/243046792/record/0-3/253057082092</t>
        </is>
      </c>
    </row>
    <row r="404">
      <c r="A404" t="n">
        <v>403</v>
      </c>
      <c r="B404" t="inlineStr">
        <is>
          <t>253057032914</t>
        </is>
      </c>
      <c r="D404" t="inlineStr">
        <is>
          <t>Board of Elections Foundations Google</t>
        </is>
      </c>
      <c r="E404" t="inlineStr">
        <is>
          <t>New York State Board of Elections (NYSBOE)</t>
        </is>
      </c>
      <c r="F404" t="inlineStr">
        <is>
          <t>New York</t>
        </is>
      </c>
      <c r="G404" t="inlineStr">
        <is>
          <t>Submitted</t>
        </is>
      </c>
      <c r="H404" t="inlineStr">
        <is>
          <t>No</t>
        </is>
      </c>
      <c r="J404" s="96" t="n">
        <v>46045</v>
      </c>
      <c r="K404" s="96" t="n">
        <v>46045</v>
      </c>
      <c r="M404" t="inlineStr">
        <is>
          <t>Platform Implementation (ERP, CRMs)</t>
        </is>
      </c>
      <c r="O404" t="inlineStr">
        <is>
          <t>Ashutosh Chauhan</t>
        </is>
      </c>
      <c r="Y404" t="inlineStr">
        <is>
          <t>2026-01-06</t>
        </is>
      </c>
      <c r="Z404" t="inlineStr">
        <is>
          <t>https://app.hubspot.com/contacts/243046792/record/0-3/253057032914</t>
        </is>
      </c>
    </row>
    <row r="405">
      <c r="A405" t="n">
        <v>404</v>
      </c>
      <c r="B405" t="inlineStr">
        <is>
          <t>255640222454</t>
        </is>
      </c>
      <c r="D405" t="inlineStr">
        <is>
          <t>Managed Information Technology Support Services</t>
        </is>
      </c>
      <c r="E405" t="inlineStr">
        <is>
          <t>City of Frontenac</t>
        </is>
      </c>
      <c r="F405" t="inlineStr">
        <is>
          <t>Missouri</t>
        </is>
      </c>
      <c r="G405" t="inlineStr">
        <is>
          <t>Submitted</t>
        </is>
      </c>
      <c r="H405" t="inlineStr">
        <is>
          <t>No</t>
        </is>
      </c>
      <c r="J405" s="96" t="n">
        <v>46045</v>
      </c>
      <c r="K405" s="96" t="n">
        <v>46045</v>
      </c>
      <c r="L405" s="65" t="n">
        <v>83400</v>
      </c>
      <c r="M405" t="inlineStr">
        <is>
          <t>Managed Services (MSP)</t>
        </is>
      </c>
      <c r="N405" t="inlineStr">
        <is>
          <t>Email</t>
        </is>
      </c>
      <c r="O405" t="inlineStr">
        <is>
          <t>Ashutosh Chauhan</t>
        </is>
      </c>
      <c r="Y405" t="inlineStr">
        <is>
          <t>2026-01-06</t>
        </is>
      </c>
      <c r="Z405" t="inlineStr">
        <is>
          <t>https://app.hubspot.com/contacts/243046792/record/0-3/255640222454</t>
        </is>
      </c>
    </row>
    <row r="406">
      <c r="A406" t="n">
        <v>405</v>
      </c>
      <c r="B406" t="inlineStr">
        <is>
          <t>255640222432</t>
        </is>
      </c>
      <c r="C406" t="inlineStr">
        <is>
          <t>2026-086</t>
        </is>
      </c>
      <c r="D406" t="inlineStr">
        <is>
          <t>Microsoft Authorized License Reseller</t>
        </is>
      </c>
      <c r="E406" t="inlineStr">
        <is>
          <t>Roanoke County</t>
        </is>
      </c>
      <c r="F406" t="inlineStr">
        <is>
          <t>Virginia</t>
        </is>
      </c>
      <c r="G406" t="inlineStr">
        <is>
          <t>Submitted</t>
        </is>
      </c>
      <c r="H406" t="inlineStr">
        <is>
          <t>No</t>
        </is>
      </c>
      <c r="J406" s="96" t="n">
        <v>46045</v>
      </c>
      <c r="K406" s="96" t="n">
        <v>46045</v>
      </c>
      <c r="M406" t="inlineStr">
        <is>
          <t>Reseller</t>
        </is>
      </c>
      <c r="N406" t="inlineStr">
        <is>
          <t>Portal</t>
        </is>
      </c>
      <c r="O406" t="inlineStr">
        <is>
          <t>Ashutosh Chauhan</t>
        </is>
      </c>
      <c r="Y406" t="inlineStr">
        <is>
          <t>2026-01-06</t>
        </is>
      </c>
      <c r="Z406" t="inlineStr">
        <is>
          <t>https://app.hubspot.com/contacts/243046792/record/0-3/255640222432</t>
        </is>
      </c>
    </row>
    <row r="407">
      <c r="A407" t="n">
        <v>406</v>
      </c>
      <c r="B407" t="inlineStr">
        <is>
          <t>235964613326</t>
        </is>
      </c>
      <c r="D407" t="inlineStr">
        <is>
          <t>Transformational AI Capabilities for DOE NNSA</t>
        </is>
      </c>
      <c r="E407" t="inlineStr">
        <is>
          <t>Department of Energy</t>
        </is>
      </c>
      <c r="F407" t="inlineStr">
        <is>
          <t>US</t>
        </is>
      </c>
      <c r="G407" t="inlineStr">
        <is>
          <t>Submitted</t>
        </is>
      </c>
      <c r="H407" t="inlineStr">
        <is>
          <t>No</t>
        </is>
      </c>
      <c r="J407" s="96" t="n">
        <v>46045</v>
      </c>
      <c r="K407" s="96" t="n">
        <v>46045</v>
      </c>
      <c r="M407" t="inlineStr">
        <is>
          <t>Consulting</t>
        </is>
      </c>
      <c r="N407" t="inlineStr">
        <is>
          <t>Email</t>
        </is>
      </c>
      <c r="O407" t="inlineStr">
        <is>
          <t>Ashutosh Chauhan</t>
        </is>
      </c>
      <c r="Y407" t="inlineStr">
        <is>
          <t>2025-12-09</t>
        </is>
      </c>
      <c r="Z407" t="inlineStr">
        <is>
          <t>https://app.hubspot.com/contacts/243046792/record/0-3/235964613326</t>
        </is>
      </c>
    </row>
    <row r="408">
      <c r="A408" t="n">
        <v>407</v>
      </c>
      <c r="B408" t="inlineStr">
        <is>
          <t>253070304989</t>
        </is>
      </c>
      <c r="D408" t="inlineStr">
        <is>
          <t xml:space="preserve">Computer &amp; Information Technology (IT) Services </t>
        </is>
      </c>
      <c r="E408" t="inlineStr">
        <is>
          <t>Town of Thompson</t>
        </is>
      </c>
      <c r="F408" t="inlineStr">
        <is>
          <t>New York</t>
        </is>
      </c>
      <c r="G408" t="inlineStr">
        <is>
          <t>Submitted</t>
        </is>
      </c>
      <c r="H408" t="inlineStr">
        <is>
          <t>No</t>
        </is>
      </c>
      <c r="J408" s="96" t="n">
        <v>46045</v>
      </c>
      <c r="K408" s="96" t="n">
        <v>46045</v>
      </c>
      <c r="M408" t="inlineStr">
        <is>
          <t>Managed Services (MSP)</t>
        </is>
      </c>
      <c r="O408" t="inlineStr">
        <is>
          <t>Ashutosh Chauhan</t>
        </is>
      </c>
      <c r="Y408" t="inlineStr">
        <is>
          <t>2026-01-07</t>
        </is>
      </c>
      <c r="Z408" t="inlineStr">
        <is>
          <t>https://app.hubspot.com/contacts/243046792/record/0-3/253070304989</t>
        </is>
      </c>
    </row>
    <row r="409">
      <c r="A409" t="n">
        <v>408</v>
      </c>
      <c r="B409" t="inlineStr">
        <is>
          <t>253057083080</t>
        </is>
      </c>
      <c r="D409" t="inlineStr">
        <is>
          <t>TL Consultant and Project Management for IT Projects</t>
        </is>
      </c>
      <c r="E409" t="inlineStr">
        <is>
          <t>Kane County</t>
        </is>
      </c>
      <c r="F409" t="inlineStr">
        <is>
          <t>Illinois</t>
        </is>
      </c>
      <c r="G409" t="inlineStr">
        <is>
          <t>RFx Cancelled</t>
        </is>
      </c>
      <c r="H409" t="inlineStr">
        <is>
          <t>No</t>
        </is>
      </c>
      <c r="J409" s="96" t="n">
        <v>46045</v>
      </c>
      <c r="K409" s="96" t="n">
        <v>46045</v>
      </c>
      <c r="M409" t="inlineStr">
        <is>
          <t>Consulting</t>
        </is>
      </c>
      <c r="N409" t="inlineStr">
        <is>
          <t>Portal</t>
        </is>
      </c>
      <c r="O409" t="inlineStr">
        <is>
          <t>Jyothsna Nanda kishore</t>
        </is>
      </c>
      <c r="Y409" t="inlineStr">
        <is>
          <t>2026-01-07</t>
        </is>
      </c>
      <c r="Z409" t="inlineStr">
        <is>
          <t>https://app.hubspot.com/contacts/243046792/record/0-3/253057083080</t>
        </is>
      </c>
    </row>
    <row r="410">
      <c r="A410" t="n">
        <v>409</v>
      </c>
      <c r="B410" t="inlineStr">
        <is>
          <t>245627910888</t>
        </is>
      </c>
      <c r="D410" t="inlineStr">
        <is>
          <t>Managed Services Support for Workforce Software</t>
        </is>
      </c>
      <c r="E410" t="inlineStr">
        <is>
          <t>Denver Public Schools</t>
        </is>
      </c>
      <c r="F410" t="inlineStr">
        <is>
          <t>Colorado</t>
        </is>
      </c>
      <c r="G410" t="inlineStr">
        <is>
          <t>Submitted</t>
        </is>
      </c>
      <c r="H410" t="inlineStr">
        <is>
          <t>No</t>
        </is>
      </c>
      <c r="J410" s="96" t="n">
        <v>46045</v>
      </c>
      <c r="K410" s="96" t="n">
        <v>46045</v>
      </c>
      <c r="M410" t="inlineStr">
        <is>
          <t>Managed Services (MSP)</t>
        </is>
      </c>
      <c r="N410" t="inlineStr">
        <is>
          <t>Email</t>
        </is>
      </c>
      <c r="O410" t="inlineStr">
        <is>
          <t>Ashutosh Chauhan</t>
        </is>
      </c>
      <c r="Y410" t="inlineStr">
        <is>
          <t>2025-12-22</t>
        </is>
      </c>
      <c r="Z410" t="inlineStr">
        <is>
          <t>https://app.hubspot.com/contacts/243046792/record/0-3/245627910888</t>
        </is>
      </c>
    </row>
    <row r="411">
      <c r="A411" t="n">
        <v>410</v>
      </c>
      <c r="B411" t="inlineStr">
        <is>
          <t>237725763303</t>
        </is>
      </c>
      <c r="C411" t="inlineStr">
        <is>
          <t>25114</t>
        </is>
      </c>
      <c r="D411" t="inlineStr">
        <is>
          <t>SAP SuccessFactors Onboarding, Offboarding, Crossboarding Implementation Services</t>
        </is>
      </c>
      <c r="E411" t="inlineStr">
        <is>
          <t>Nebraska Public Power District</t>
        </is>
      </c>
      <c r="F411" t="inlineStr">
        <is>
          <t>Nebraska</t>
        </is>
      </c>
      <c r="G411" t="inlineStr">
        <is>
          <t>RFx Cancelled</t>
        </is>
      </c>
      <c r="H411" t="inlineStr">
        <is>
          <t>No</t>
        </is>
      </c>
      <c r="J411" s="96" t="n">
        <v>46045</v>
      </c>
      <c r="K411" s="96" t="n">
        <v>46045</v>
      </c>
      <c r="L411" s="65" t="n">
        <v>52320</v>
      </c>
      <c r="M411" t="inlineStr">
        <is>
          <t>Platform Implementation (ERP, CRMs)</t>
        </is>
      </c>
      <c r="N411" t="inlineStr">
        <is>
          <t>Email</t>
        </is>
      </c>
      <c r="O411" t="inlineStr">
        <is>
          <t>Ashutosh Chauhan</t>
        </is>
      </c>
      <c r="Y411" t="inlineStr">
        <is>
          <t>2025-12-10</t>
        </is>
      </c>
      <c r="Z411" t="inlineStr">
        <is>
          <t>https://app.hubspot.com/contacts/243046792/record/0-3/237725763303</t>
        </is>
      </c>
    </row>
    <row r="412">
      <c r="A412" t="n">
        <v>411</v>
      </c>
      <c r="B412" t="inlineStr">
        <is>
          <t>256863180505</t>
        </is>
      </c>
      <c r="D412" t="inlineStr">
        <is>
          <t>Managed Service Provider</t>
        </is>
      </c>
      <c r="E412" t="inlineStr">
        <is>
          <t>Dupage County</t>
        </is>
      </c>
      <c r="F412" t="inlineStr">
        <is>
          <t>Illinois</t>
        </is>
      </c>
      <c r="G412" t="inlineStr">
        <is>
          <t>Closed Lost</t>
        </is>
      </c>
      <c r="H412" t="inlineStr">
        <is>
          <t>No</t>
        </is>
      </c>
      <c r="J412" s="96" t="n">
        <v>46076</v>
      </c>
      <c r="K412" s="96" t="n">
        <v>46045</v>
      </c>
      <c r="M412" t="inlineStr">
        <is>
          <t>Managed Services (MSP)</t>
        </is>
      </c>
      <c r="N412" t="inlineStr">
        <is>
          <t>Email</t>
        </is>
      </c>
      <c r="O412" t="inlineStr">
        <is>
          <t>Jyothsna Nanda kishore</t>
        </is>
      </c>
      <c r="Y412" t="inlineStr">
        <is>
          <t>2026-01-07</t>
        </is>
      </c>
      <c r="Z412" t="inlineStr">
        <is>
          <t>https://app.hubspot.com/contacts/243046792/record/0-3/256863180505</t>
        </is>
      </c>
    </row>
    <row r="413">
      <c r="A413" t="n">
        <v>412</v>
      </c>
      <c r="B413" t="inlineStr">
        <is>
          <t>225906287352</t>
        </is>
      </c>
      <c r="D413" t="inlineStr">
        <is>
          <t>Insurance Reserve Fund - Small Software Application Development</t>
        </is>
      </c>
      <c r="E413" t="inlineStr">
        <is>
          <t xml:space="preserve">Insurance Reserve Fund </t>
        </is>
      </c>
      <c r="F413" t="inlineStr">
        <is>
          <t>South Carolina</t>
        </is>
      </c>
      <c r="G413" t="inlineStr">
        <is>
          <t>Intent to Award</t>
        </is>
      </c>
      <c r="H413" t="inlineStr">
        <is>
          <t>No</t>
        </is>
      </c>
      <c r="J413" s="96" t="n">
        <v>46048</v>
      </c>
      <c r="K413" s="96" t="n">
        <v>46048</v>
      </c>
      <c r="M413" t="inlineStr">
        <is>
          <t>Staff Augmentation</t>
        </is>
      </c>
      <c r="N413" t="inlineStr">
        <is>
          <t>Portal</t>
        </is>
      </c>
      <c r="O413" t="inlineStr">
        <is>
          <t>Ashutosh Chauhan</t>
        </is>
      </c>
      <c r="S413" s="96" t="n">
        <v>46099</v>
      </c>
      <c r="U413" s="96" t="n">
        <v>46099</v>
      </c>
      <c r="Y413" t="inlineStr">
        <is>
          <t>2025-11-24</t>
        </is>
      </c>
      <c r="Z413" t="inlineStr">
        <is>
          <t>https://app.hubspot.com/contacts/243046792/record/0-3/225906287352</t>
        </is>
      </c>
    </row>
    <row r="414">
      <c r="A414" t="n">
        <v>413</v>
      </c>
      <c r="B414" t="inlineStr">
        <is>
          <t>270520036083</t>
        </is>
      </c>
      <c r="C414" t="inlineStr">
        <is>
          <t>SRC0000032729</t>
        </is>
      </c>
      <c r="D414" t="inlineStr">
        <is>
          <t>Data Integration System</t>
        </is>
      </c>
      <c r="E414" t="inlineStr">
        <is>
          <t>State of Alabama - Department of Communications</t>
        </is>
      </c>
      <c r="F414" t="inlineStr">
        <is>
          <t>Alabama</t>
        </is>
      </c>
      <c r="G414" t="inlineStr">
        <is>
          <t>Submitted</t>
        </is>
      </c>
      <c r="H414" t="inlineStr">
        <is>
          <t>No</t>
        </is>
      </c>
      <c r="J414" s="96" t="n">
        <v>46048</v>
      </c>
      <c r="K414" s="96" t="n">
        <v>46048</v>
      </c>
      <c r="L414" s="65" t="n">
        <v>31000</v>
      </c>
      <c r="M414" t="inlineStr">
        <is>
          <t>Support &amp; Maintenance</t>
        </is>
      </c>
      <c r="N414" t="inlineStr">
        <is>
          <t>Portal</t>
        </is>
      </c>
      <c r="O414" t="inlineStr">
        <is>
          <t>Abhishek Zalani</t>
        </is>
      </c>
      <c r="Y414" t="inlineStr">
        <is>
          <t>2026-01-23</t>
        </is>
      </c>
      <c r="Z414" t="inlineStr">
        <is>
          <t>https://app.hubspot.com/contacts/243046792/record/0-3/270520036083</t>
        </is>
      </c>
    </row>
    <row r="415">
      <c r="A415" t="n">
        <v>414</v>
      </c>
      <c r="B415" t="inlineStr">
        <is>
          <t>253057033953</t>
        </is>
      </c>
      <c r="C415" t="inlineStr">
        <is>
          <t>26-01</t>
        </is>
      </c>
      <c r="D415" t="inlineStr">
        <is>
          <t>IT Services</t>
        </is>
      </c>
      <c r="E415" t="inlineStr">
        <is>
          <t>Hampton Township</t>
        </is>
      </c>
      <c r="F415" t="inlineStr">
        <is>
          <t>New Jersey</t>
        </is>
      </c>
      <c r="G415" t="inlineStr">
        <is>
          <t>Closed Lost</t>
        </is>
      </c>
      <c r="H415" t="inlineStr">
        <is>
          <t>No</t>
        </is>
      </c>
      <c r="J415" s="96" t="n">
        <v>46070</v>
      </c>
      <c r="K415" s="96" t="n">
        <v>46049</v>
      </c>
      <c r="L415" s="65" t="n">
        <v>18400</v>
      </c>
      <c r="M415" t="inlineStr">
        <is>
          <t>Managed Services (MSP)</t>
        </is>
      </c>
      <c r="N415" t="inlineStr">
        <is>
          <t>Portal</t>
        </is>
      </c>
      <c r="O415" t="inlineStr">
        <is>
          <t>Ashutosh Chauhan</t>
        </is>
      </c>
      <c r="Y415" t="inlineStr">
        <is>
          <t>2026-01-06</t>
        </is>
      </c>
      <c r="Z415" t="inlineStr">
        <is>
          <t>https://app.hubspot.com/contacts/243046792/record/0-3/253057033953</t>
        </is>
      </c>
    </row>
    <row r="416">
      <c r="A416" t="n">
        <v>415</v>
      </c>
      <c r="B416" t="inlineStr">
        <is>
          <t>260429488875</t>
        </is>
      </c>
      <c r="D416" t="inlineStr">
        <is>
          <t>INFORMATION TECHNOLOGY MANAGEMENT AND COMPUTER CONSULTING SERVICES FOR COMPUTERS, PROGRAMS AND PERIPHERAL COMPUTER EQUIPMENT THROUGHOUT THE DEPARTMENTS OF THE BOROUGH OF MIDDLESEX</t>
        </is>
      </c>
      <c r="E416" t="inlineStr">
        <is>
          <t>Borough of Middlesex</t>
        </is>
      </c>
      <c r="F416" t="inlineStr">
        <is>
          <t>New Jersey</t>
        </is>
      </c>
      <c r="G416" t="inlineStr">
        <is>
          <t>RFx Cancelled</t>
        </is>
      </c>
      <c r="H416" t="inlineStr">
        <is>
          <t>No</t>
        </is>
      </c>
      <c r="J416" s="96" t="n">
        <v>46050</v>
      </c>
      <c r="K416" s="96" t="n">
        <v>46050</v>
      </c>
      <c r="M416" t="inlineStr">
        <is>
          <t>Consulting;Managed Services (MSP)</t>
        </is>
      </c>
      <c r="N416" t="inlineStr">
        <is>
          <t>Offline</t>
        </is>
      </c>
      <c r="O416" t="inlineStr">
        <is>
          <t>Jyothsna Nanda kishore</t>
        </is>
      </c>
      <c r="Y416" t="inlineStr">
        <is>
          <t>2026-01-14</t>
        </is>
      </c>
      <c r="Z416" t="inlineStr">
        <is>
          <t>https://app.hubspot.com/contacts/243046792/record/0-3/260429488875</t>
        </is>
      </c>
    </row>
    <row r="417">
      <c r="A417" t="n">
        <v>416</v>
      </c>
      <c r="B417" t="inlineStr">
        <is>
          <t>259549800169</t>
        </is>
      </c>
      <c r="C417" t="inlineStr">
        <is>
          <t>P2025WMS</t>
        </is>
      </c>
      <c r="D417" t="inlineStr">
        <is>
          <t>Web Management Services</t>
        </is>
      </c>
      <c r="E417" t="inlineStr">
        <is>
          <t>Housing Authority of the City of Daytona Beach</t>
        </is>
      </c>
      <c r="F417" t="inlineStr">
        <is>
          <t>Florida</t>
        </is>
      </c>
      <c r="G417" t="inlineStr">
        <is>
          <t>RFx Cancelled</t>
        </is>
      </c>
      <c r="H417" t="inlineStr">
        <is>
          <t>No</t>
        </is>
      </c>
      <c r="J417" s="96" t="n">
        <v>46050</v>
      </c>
      <c r="K417" s="96" t="n">
        <v>46050</v>
      </c>
      <c r="M417" t="inlineStr">
        <is>
          <t>Consulting</t>
        </is>
      </c>
      <c r="O417" t="inlineStr">
        <is>
          <t>Jyothsna Nanda kishore</t>
        </is>
      </c>
      <c r="Y417" t="inlineStr">
        <is>
          <t>2026-01-12</t>
        </is>
      </c>
      <c r="Z417" t="inlineStr">
        <is>
          <t>https://app.hubspot.com/contacts/243046792/record/0-3/259549800169</t>
        </is>
      </c>
    </row>
    <row r="418">
      <c r="A418" t="n">
        <v>417</v>
      </c>
      <c r="B418" t="inlineStr">
        <is>
          <t>267448777444</t>
        </is>
      </c>
      <c r="D418" t="inlineStr">
        <is>
          <t>OFF - Design, Hosting, and Implementation of the Town Website and Online Forms Platform</t>
        </is>
      </c>
      <c r="E418" t="inlineStr">
        <is>
          <t>THE TOWN OF IRONDEQUOIT</t>
        </is>
      </c>
      <c r="F418" t="inlineStr">
        <is>
          <t>New York</t>
        </is>
      </c>
      <c r="G418" t="inlineStr">
        <is>
          <t>Submitted</t>
        </is>
      </c>
      <c r="H418" t="inlineStr">
        <is>
          <t>No</t>
        </is>
      </c>
      <c r="J418" s="96" t="n">
        <v>46051</v>
      </c>
      <c r="K418" s="96" t="n">
        <v>46050</v>
      </c>
      <c r="M418" t="inlineStr">
        <is>
          <t>Consulting</t>
        </is>
      </c>
      <c r="N418" t="inlineStr">
        <is>
          <t>Offline;Email</t>
        </is>
      </c>
      <c r="O418" t="inlineStr">
        <is>
          <t>Abhishek Zalani</t>
        </is>
      </c>
      <c r="Y418" t="inlineStr">
        <is>
          <t>2026-01-21</t>
        </is>
      </c>
      <c r="Z418" t="inlineStr">
        <is>
          <t>https://app.hubspot.com/contacts/243046792/record/0-3/267448777444</t>
        </is>
      </c>
    </row>
    <row r="419">
      <c r="A419" t="n">
        <v>418</v>
      </c>
      <c r="B419" t="inlineStr">
        <is>
          <t>235608146653</t>
        </is>
      </c>
      <c r="D419" t="inlineStr">
        <is>
          <t>Salesforce Professional Services</t>
        </is>
      </c>
      <c r="E419" t="inlineStr">
        <is>
          <t>Department of Information Technology (DoIT)</t>
        </is>
      </c>
      <c r="F419" t="inlineStr">
        <is>
          <t>New Hampshire</t>
        </is>
      </c>
      <c r="G419" t="inlineStr">
        <is>
          <t>Submitted</t>
        </is>
      </c>
      <c r="H419" t="inlineStr">
        <is>
          <t>No</t>
        </is>
      </c>
      <c r="J419" s="96" t="n">
        <v>46051</v>
      </c>
      <c r="K419" s="96" t="n">
        <v>46051</v>
      </c>
      <c r="M419" t="inlineStr">
        <is>
          <t>Platform Implementation (ERP, CRMs)</t>
        </is>
      </c>
      <c r="N419" t="inlineStr">
        <is>
          <t>Email</t>
        </is>
      </c>
      <c r="O419" t="inlineStr">
        <is>
          <t>Ashutosh Chauhan</t>
        </is>
      </c>
      <c r="Y419" t="inlineStr">
        <is>
          <t>2025-12-09</t>
        </is>
      </c>
      <c r="Z419" t="inlineStr">
        <is>
          <t>https://app.hubspot.com/contacts/243046792/record/0-3/235608146653</t>
        </is>
      </c>
    </row>
    <row r="420">
      <c r="A420" t="n">
        <v>419</v>
      </c>
      <c r="B420" t="inlineStr">
        <is>
          <t>256648180416</t>
        </is>
      </c>
      <c r="D420" t="inlineStr">
        <is>
          <t>OFFLINE - Managed IT Services Provider</t>
        </is>
      </c>
      <c r="E420" t="inlineStr">
        <is>
          <t>Housing Authority of Henry County</t>
        </is>
      </c>
      <c r="F420" t="inlineStr">
        <is>
          <t>Illinois</t>
        </is>
      </c>
      <c r="G420" t="inlineStr">
        <is>
          <t>Submitted</t>
        </is>
      </c>
      <c r="H420" t="inlineStr">
        <is>
          <t>No</t>
        </is>
      </c>
      <c r="J420" s="96" t="n">
        <v>46053</v>
      </c>
      <c r="K420" s="96" t="n">
        <v>46051</v>
      </c>
      <c r="M420" t="inlineStr">
        <is>
          <t>Managed Services (MSP)</t>
        </is>
      </c>
      <c r="O420" t="inlineStr">
        <is>
          <t>Savya Atrey</t>
        </is>
      </c>
      <c r="Y420" t="inlineStr">
        <is>
          <t>2026-01-08</t>
        </is>
      </c>
      <c r="Z420" t="inlineStr">
        <is>
          <t>https://app.hubspot.com/contacts/243046792/record/0-3/256648180416</t>
        </is>
      </c>
    </row>
    <row r="421">
      <c r="A421" t="n">
        <v>420</v>
      </c>
      <c r="B421" t="inlineStr">
        <is>
          <t>254846650094</t>
        </is>
      </c>
      <c r="D421" t="inlineStr">
        <is>
          <t>IT Managed Services</t>
        </is>
      </c>
      <c r="E421" t="inlineStr">
        <is>
          <t>Kentuckiana Regional Planning &amp; Development Agency</t>
        </is>
      </c>
      <c r="F421" t="inlineStr">
        <is>
          <t>Kentucky</t>
        </is>
      </c>
      <c r="G421" t="inlineStr">
        <is>
          <t>Submitted</t>
        </is>
      </c>
      <c r="H421" t="inlineStr">
        <is>
          <t>No</t>
        </is>
      </c>
      <c r="J421" s="96" t="n">
        <v>46051</v>
      </c>
      <c r="K421" s="96" t="n">
        <v>46052</v>
      </c>
      <c r="M421" t="inlineStr">
        <is>
          <t>Managed Services (MSP)</t>
        </is>
      </c>
      <c r="N421" t="inlineStr">
        <is>
          <t>Email</t>
        </is>
      </c>
      <c r="O421" t="inlineStr">
        <is>
          <t>Ashutosh Chauhan</t>
        </is>
      </c>
      <c r="Y421" t="inlineStr">
        <is>
          <t>2026-01-07</t>
        </is>
      </c>
      <c r="Z421" t="inlineStr">
        <is>
          <t>https://app.hubspot.com/contacts/243046792/record/0-3/254846650094</t>
        </is>
      </c>
    </row>
    <row r="422">
      <c r="A422" t="n">
        <v>421</v>
      </c>
      <c r="B422" t="inlineStr">
        <is>
          <t>259507975872</t>
        </is>
      </c>
      <c r="D422" t="inlineStr">
        <is>
          <t>CYBERSECURITY INCIDENT RESPONSE PLAN &amp;TABLE-TOP EXERCISES</t>
        </is>
      </c>
      <c r="E422" t="inlineStr">
        <is>
          <t>City of Puyallup</t>
        </is>
      </c>
      <c r="F422" t="inlineStr">
        <is>
          <t>Washington</t>
        </is>
      </c>
      <c r="G422" t="inlineStr">
        <is>
          <t>Submitted</t>
        </is>
      </c>
      <c r="H422" t="inlineStr">
        <is>
          <t>No</t>
        </is>
      </c>
      <c r="J422" s="96" t="n">
        <v>46052</v>
      </c>
      <c r="K422" s="96" t="n">
        <v>46052</v>
      </c>
      <c r="M422" t="inlineStr">
        <is>
          <t>Consulting;Audits and Assessment</t>
        </is>
      </c>
      <c r="O422" t="inlineStr">
        <is>
          <t>Jyothsna Nanda kishore</t>
        </is>
      </c>
      <c r="Y422" t="inlineStr">
        <is>
          <t>2026-01-12</t>
        </is>
      </c>
      <c r="Z422" t="inlineStr">
        <is>
          <t>https://app.hubspot.com/contacts/243046792/record/0-3/259507975872</t>
        </is>
      </c>
    </row>
    <row r="423">
      <c r="A423" t="n">
        <v>422</v>
      </c>
      <c r="B423" t="inlineStr">
        <is>
          <t>257226027706</t>
        </is>
      </c>
      <c r="D423" t="inlineStr">
        <is>
          <t>Co-Managed I.T. Support Services</t>
        </is>
      </c>
      <c r="E423" t="inlineStr">
        <is>
          <t>Macatawa Area Express Transportation Authority</t>
        </is>
      </c>
      <c r="F423" t="inlineStr">
        <is>
          <t>Michigan</t>
        </is>
      </c>
      <c r="G423" t="inlineStr">
        <is>
          <t>Submitted</t>
        </is>
      </c>
      <c r="H423" t="inlineStr">
        <is>
          <t>No</t>
        </is>
      </c>
      <c r="J423" s="96" t="n">
        <v>46052</v>
      </c>
      <c r="K423" s="96" t="n">
        <v>46052</v>
      </c>
      <c r="M423" t="inlineStr">
        <is>
          <t>Managed Services (MSP)</t>
        </is>
      </c>
      <c r="O423" t="inlineStr">
        <is>
          <t>Savya Atrey</t>
        </is>
      </c>
      <c r="Y423" t="inlineStr">
        <is>
          <t>2026-01-08</t>
        </is>
      </c>
      <c r="Z423" t="inlineStr">
        <is>
          <t>https://app.hubspot.com/contacts/243046792/record/0-3/257226027706</t>
        </is>
      </c>
    </row>
    <row r="424">
      <c r="A424" t="n">
        <v>423</v>
      </c>
      <c r="B424" t="inlineStr">
        <is>
          <t>256648178398</t>
        </is>
      </c>
      <c r="D424" t="inlineStr">
        <is>
          <t>Data Management Plan Development</t>
        </is>
      </c>
      <c r="E424" t="inlineStr">
        <is>
          <t>Texas A&amp;M Transportation Institute</t>
        </is>
      </c>
      <c r="F424" t="inlineStr">
        <is>
          <t>Texas</t>
        </is>
      </c>
      <c r="G424" t="inlineStr">
        <is>
          <t>Submitted</t>
        </is>
      </c>
      <c r="H424" t="inlineStr">
        <is>
          <t>No</t>
        </is>
      </c>
      <c r="J424" s="96" t="n">
        <v>46052</v>
      </c>
      <c r="K424" s="96" t="n">
        <v>46052</v>
      </c>
      <c r="M424" t="inlineStr">
        <is>
          <t>Audits and Assessment</t>
        </is>
      </c>
      <c r="N424" t="inlineStr">
        <is>
          <t>Portal</t>
        </is>
      </c>
      <c r="O424" t="inlineStr">
        <is>
          <t>Savya Atrey</t>
        </is>
      </c>
      <c r="Y424" t="inlineStr">
        <is>
          <t>2026-01-08</t>
        </is>
      </c>
      <c r="Z424" t="inlineStr">
        <is>
          <t>https://app.hubspot.com/contacts/243046792/record/0-3/256648178398</t>
        </is>
      </c>
    </row>
    <row r="425">
      <c r="A425" t="n">
        <v>424</v>
      </c>
      <c r="B425" t="inlineStr">
        <is>
          <t>261923701472</t>
        </is>
      </c>
      <c r="D425" t="inlineStr">
        <is>
          <t>EXTERNAL AND INTERNAL NETWORK PENETRATION TESTING SERVICES</t>
        </is>
      </c>
      <c r="E425" t="inlineStr">
        <is>
          <t>Miami University</t>
        </is>
      </c>
      <c r="F425" t="inlineStr">
        <is>
          <t>Ohio</t>
        </is>
      </c>
      <c r="G425" t="inlineStr">
        <is>
          <t>Submitted</t>
        </is>
      </c>
      <c r="H425" t="inlineStr">
        <is>
          <t>No</t>
        </is>
      </c>
      <c r="J425" s="96" t="n">
        <v>46052</v>
      </c>
      <c r="K425" s="96" t="n">
        <v>46052</v>
      </c>
      <c r="M425" t="inlineStr">
        <is>
          <t>Consulting</t>
        </is>
      </c>
      <c r="O425" t="inlineStr">
        <is>
          <t>Jyothsna Nanda kishore</t>
        </is>
      </c>
      <c r="Y425" t="inlineStr">
        <is>
          <t>2026-01-14</t>
        </is>
      </c>
      <c r="Z425" t="inlineStr">
        <is>
          <t>https://app.hubspot.com/contacts/243046792/record/0-3/261923701472</t>
        </is>
      </c>
    </row>
    <row r="426">
      <c r="A426" t="n">
        <v>425</v>
      </c>
      <c r="B426" t="inlineStr">
        <is>
          <t>256863962865</t>
        </is>
      </c>
      <c r="D426" t="inlineStr">
        <is>
          <t>PMIS Implementation Project</t>
        </is>
      </c>
      <c r="E426" t="inlineStr">
        <is>
          <t>University of Maryland, Baltimore (University of UMB)</t>
        </is>
      </c>
      <c r="F426" t="inlineStr">
        <is>
          <t>Maryland</t>
        </is>
      </c>
      <c r="G426" t="inlineStr">
        <is>
          <t>Submitted</t>
        </is>
      </c>
      <c r="H426" t="inlineStr">
        <is>
          <t>No</t>
        </is>
      </c>
      <c r="J426" s="96" t="n">
        <v>46052</v>
      </c>
      <c r="K426" s="96" t="n">
        <v>46052</v>
      </c>
      <c r="M426" t="inlineStr">
        <is>
          <t>Platform Implementation (ERP, CRMs)</t>
        </is>
      </c>
      <c r="O426" t="inlineStr">
        <is>
          <t>Savya Atrey</t>
        </is>
      </c>
      <c r="Y426" t="inlineStr">
        <is>
          <t>2026-01-08</t>
        </is>
      </c>
      <c r="Z426" t="inlineStr">
        <is>
          <t>https://app.hubspot.com/contacts/243046792/record/0-3/256863962865</t>
        </is>
      </c>
    </row>
    <row r="427">
      <c r="A427" t="n">
        <v>426</v>
      </c>
      <c r="B427" t="inlineStr">
        <is>
          <t>259780884197</t>
        </is>
      </c>
      <c r="D427" t="inlineStr">
        <is>
          <t>Information Technology Support Services</t>
        </is>
      </c>
      <c r="E427" t="inlineStr">
        <is>
          <t>City of Warrenton</t>
        </is>
      </c>
      <c r="F427" t="inlineStr">
        <is>
          <t>Michigan</t>
        </is>
      </c>
      <c r="G427" t="inlineStr">
        <is>
          <t>Closed Lost</t>
        </is>
      </c>
      <c r="H427" t="inlineStr">
        <is>
          <t>No</t>
        </is>
      </c>
      <c r="J427" s="96" t="n">
        <v>46202</v>
      </c>
      <c r="K427" s="96" t="n">
        <v>46052</v>
      </c>
      <c r="L427" s="65" t="n">
        <v>358748</v>
      </c>
      <c r="M427" t="inlineStr">
        <is>
          <t>Managed Services (MSP)</t>
        </is>
      </c>
      <c r="O427" t="inlineStr">
        <is>
          <t>Ashutosh Chauhan</t>
        </is>
      </c>
      <c r="Y427" t="inlineStr">
        <is>
          <t>2026-01-13</t>
        </is>
      </c>
      <c r="Z427" t="inlineStr">
        <is>
          <t>https://app.hubspot.com/contacts/243046792/record/0-3/259780884197</t>
        </is>
      </c>
    </row>
    <row r="428">
      <c r="A428" t="n">
        <v>427</v>
      </c>
      <c r="B428" t="inlineStr">
        <is>
          <t>255828464358</t>
        </is>
      </c>
      <c r="D428" t="inlineStr">
        <is>
          <t>Internal Audit Co-Sourcing Services</t>
        </is>
      </c>
      <c r="E428" t="inlineStr">
        <is>
          <t>George Mason University</t>
        </is>
      </c>
      <c r="F428" t="inlineStr">
        <is>
          <t>Virginia</t>
        </is>
      </c>
      <c r="G428" t="inlineStr">
        <is>
          <t>Submitted</t>
        </is>
      </c>
      <c r="H428" t="inlineStr">
        <is>
          <t>No</t>
        </is>
      </c>
      <c r="J428" s="96" t="n">
        <v>46052</v>
      </c>
      <c r="K428" s="96" t="n">
        <v>46052</v>
      </c>
      <c r="M428" t="inlineStr">
        <is>
          <t>Audits and Assessment</t>
        </is>
      </c>
      <c r="O428" t="inlineStr">
        <is>
          <t>Savya Atrey</t>
        </is>
      </c>
      <c r="Y428" t="inlineStr">
        <is>
          <t>2026-01-06</t>
        </is>
      </c>
      <c r="Z428" t="inlineStr">
        <is>
          <t>https://app.hubspot.com/contacts/243046792/record/0-3/255828464358</t>
        </is>
      </c>
    </row>
    <row r="429">
      <c r="A429" t="n">
        <v>428</v>
      </c>
      <c r="B429" t="inlineStr">
        <is>
          <t>264548349664</t>
        </is>
      </c>
      <c r="D429" t="inlineStr">
        <is>
          <t xml:space="preserve">Software Development </t>
        </is>
      </c>
      <c r="E429" t="inlineStr">
        <is>
          <t>Lorain County Veterans Service Commission</t>
        </is>
      </c>
      <c r="F429" t="inlineStr">
        <is>
          <t>Ohio</t>
        </is>
      </c>
      <c r="G429" t="inlineStr">
        <is>
          <t>Submitted</t>
        </is>
      </c>
      <c r="H429" t="inlineStr">
        <is>
          <t>No</t>
        </is>
      </c>
      <c r="J429" s="96" t="n">
        <v>46055</v>
      </c>
      <c r="K429" s="96" t="n">
        <v>46052</v>
      </c>
      <c r="M429" t="inlineStr">
        <is>
          <t>Consulting</t>
        </is>
      </c>
      <c r="O429" t="inlineStr">
        <is>
          <t>Savya Atrey</t>
        </is>
      </c>
      <c r="Y429" t="inlineStr">
        <is>
          <t>2026-01-16</t>
        </is>
      </c>
      <c r="Z429" t="inlineStr">
        <is>
          <t>https://app.hubspot.com/contacts/243046792/record/0-3/264548349664</t>
        </is>
      </c>
    </row>
    <row r="430">
      <c r="A430" t="n">
        <v>429</v>
      </c>
      <c r="B430" t="inlineStr">
        <is>
          <t>263531727552</t>
        </is>
      </c>
      <c r="C430" t="inlineStr">
        <is>
          <t>#2026-RFP-022</t>
        </is>
      </c>
      <c r="D430" t="inlineStr">
        <is>
          <t>SAN PEDRO WEB-BASED HYDROLOGIC INFORMATION PORTAL(WHIP)</t>
        </is>
      </c>
      <c r="E430" t="inlineStr">
        <is>
          <t>City of Sierra Vista</t>
        </is>
      </c>
      <c r="F430" t="inlineStr">
        <is>
          <t>Arizona</t>
        </is>
      </c>
      <c r="G430" t="inlineStr">
        <is>
          <t>Submitted</t>
        </is>
      </c>
      <c r="H430" t="inlineStr">
        <is>
          <t>No</t>
        </is>
      </c>
      <c r="J430" s="96" t="n">
        <v>46056</v>
      </c>
      <c r="K430" s="96" t="n">
        <v>46052</v>
      </c>
      <c r="L430" s="65" t="n">
        <v>48000</v>
      </c>
      <c r="M430" t="inlineStr">
        <is>
          <t>Platform Implementation (ERP, CRMs)</t>
        </is>
      </c>
      <c r="N430" t="inlineStr">
        <is>
          <t>Portal</t>
        </is>
      </c>
      <c r="O430" t="inlineStr">
        <is>
          <t>Savya Atrey</t>
        </is>
      </c>
      <c r="Y430" t="inlineStr">
        <is>
          <t>2026-01-15</t>
        </is>
      </c>
      <c r="Z430" t="inlineStr">
        <is>
          <t>https://app.hubspot.com/contacts/243046792/record/0-3/263531727552</t>
        </is>
      </c>
    </row>
    <row r="431">
      <c r="A431" t="n">
        <v>430</v>
      </c>
      <c r="B431" t="inlineStr">
        <is>
          <t>269511940808</t>
        </is>
      </c>
      <c r="D431" t="inlineStr">
        <is>
          <t>Managed Services Provider for IT Services</t>
        </is>
      </c>
      <c r="E431" t="inlineStr">
        <is>
          <t>city of cedar springs</t>
        </is>
      </c>
      <c r="F431" t="inlineStr">
        <is>
          <t>Michigan</t>
        </is>
      </c>
      <c r="G431" t="inlineStr">
        <is>
          <t>Closed Lost</t>
        </is>
      </c>
      <c r="H431" t="inlineStr">
        <is>
          <t>No</t>
        </is>
      </c>
      <c r="J431" s="96" t="n">
        <v>46289</v>
      </c>
      <c r="K431" s="96" t="n">
        <v>46052</v>
      </c>
      <c r="M431" t="inlineStr">
        <is>
          <t>Managed Services (MSP)</t>
        </is>
      </c>
      <c r="N431" t="inlineStr">
        <is>
          <t>Offline</t>
        </is>
      </c>
      <c r="O431" t="inlineStr">
        <is>
          <t>Jyothsna Nanda kishore</t>
        </is>
      </c>
      <c r="Y431" t="inlineStr">
        <is>
          <t>2026-01-22</t>
        </is>
      </c>
      <c r="Z431" t="inlineStr">
        <is>
          <t>https://app.hubspot.com/contacts/243046792/record/0-3/269511940808</t>
        </is>
      </c>
    </row>
    <row r="432">
      <c r="A432" t="n">
        <v>431</v>
      </c>
      <c r="B432" t="inlineStr">
        <is>
          <t>258010914520</t>
        </is>
      </c>
      <c r="D432" t="inlineStr">
        <is>
          <t xml:space="preserve">Thrive Island County Resource Directory Development </t>
        </is>
      </c>
      <c r="E432" t="inlineStr">
        <is>
          <t>Island County Public Health</t>
        </is>
      </c>
      <c r="F432" t="inlineStr">
        <is>
          <t>Washington</t>
        </is>
      </c>
      <c r="G432" t="inlineStr">
        <is>
          <t>Closed Lost</t>
        </is>
      </c>
      <c r="H432" t="inlineStr">
        <is>
          <t>No</t>
        </is>
      </c>
      <c r="J432" s="96" t="n">
        <v>46066</v>
      </c>
      <c r="K432" s="96" t="n">
        <v>46052</v>
      </c>
      <c r="O432" t="inlineStr">
        <is>
          <t>Jyothsna Nanda kishore</t>
        </is>
      </c>
      <c r="Y432" t="inlineStr">
        <is>
          <t>2026-01-12</t>
        </is>
      </c>
      <c r="Z432" t="inlineStr">
        <is>
          <t>https://app.hubspot.com/contacts/243046792/record/0-3/258010914520</t>
        </is>
      </c>
    </row>
    <row r="433">
      <c r="A433" t="n">
        <v>432</v>
      </c>
      <c r="B433" t="inlineStr">
        <is>
          <t>246447205106</t>
        </is>
      </c>
      <c r="D433" t="inlineStr">
        <is>
          <t>ADA Digital Accessibility – WCAG 2.1 AA / 2.2 AA Compliance Services</t>
        </is>
      </c>
      <c r="E433" t="inlineStr">
        <is>
          <t>Alliance for Innovation</t>
        </is>
      </c>
      <c r="F433" t="inlineStr">
        <is>
          <t>Texas</t>
        </is>
      </c>
      <c r="G433" t="inlineStr">
        <is>
          <t>Closed Lost</t>
        </is>
      </c>
      <c r="H433" t="inlineStr">
        <is>
          <t>No</t>
        </is>
      </c>
      <c r="J433" s="96" t="n">
        <v>46086</v>
      </c>
      <c r="K433" s="96" t="n">
        <v>46052</v>
      </c>
      <c r="M433" t="inlineStr">
        <is>
          <t>Platform Implementation (ERP, CRMs);Support &amp; Maintenance</t>
        </is>
      </c>
      <c r="O433" t="inlineStr">
        <is>
          <t>Ashutosh Chauhan</t>
        </is>
      </c>
      <c r="Y433" t="inlineStr">
        <is>
          <t>2025-12-22</t>
        </is>
      </c>
      <c r="Z433" t="inlineStr">
        <is>
          <t>https://app.hubspot.com/contacts/243046792/record/0-3/246447205106</t>
        </is>
      </c>
    </row>
    <row r="434">
      <c r="A434" t="n">
        <v>433</v>
      </c>
      <c r="B434" t="inlineStr">
        <is>
          <t>256863961831</t>
        </is>
      </c>
      <c r="C434" t="inlineStr">
        <is>
          <t>RFP 2026-001</t>
        </is>
      </c>
      <c r="D434" t="inlineStr">
        <is>
          <t>IT Managed Services</t>
        </is>
      </c>
      <c r="E434" t="inlineStr">
        <is>
          <t>Regional Transit Authority of Southeast Michigan</t>
        </is>
      </c>
      <c r="F434" t="inlineStr">
        <is>
          <t>Michigan</t>
        </is>
      </c>
      <c r="G434" t="inlineStr">
        <is>
          <t>Closed Lost</t>
        </is>
      </c>
      <c r="H434" t="inlineStr">
        <is>
          <t>Yes</t>
        </is>
      </c>
      <c r="I434" t="inlineStr">
        <is>
          <t>Interview</t>
        </is>
      </c>
      <c r="J434" s="96" t="n">
        <v>46052</v>
      </c>
      <c r="K434" s="96" t="n">
        <v>46052</v>
      </c>
      <c r="L434" s="65" t="n">
        <v>75060</v>
      </c>
      <c r="M434" t="inlineStr">
        <is>
          <t>Managed Services (MSP)</t>
        </is>
      </c>
      <c r="N434" t="inlineStr">
        <is>
          <t>Email</t>
        </is>
      </c>
      <c r="O434" t="inlineStr">
        <is>
          <t>Savya Atrey</t>
        </is>
      </c>
      <c r="P434" t="inlineStr">
        <is>
          <t>Interview Scheduled</t>
        </is>
      </c>
      <c r="Q434" t="inlineStr">
        <is>
          <t>2025-11-14</t>
        </is>
      </c>
      <c r="Y434" t="inlineStr">
        <is>
          <t>2026-01-08</t>
        </is>
      </c>
      <c r="Z434" t="inlineStr">
        <is>
          <t>https://app.hubspot.com/contacts/243046792/record/0-3/256863961831</t>
        </is>
      </c>
    </row>
    <row r="435">
      <c r="A435" t="n">
        <v>434</v>
      </c>
      <c r="B435" t="inlineStr">
        <is>
          <t>255414924015</t>
        </is>
      </c>
      <c r="D435" t="inlineStr">
        <is>
          <t>Tyler Enterprise ERP (Munis) Optimization</t>
        </is>
      </c>
      <c r="E435" t="inlineStr">
        <is>
          <t>COUNTY OF ALBANY</t>
        </is>
      </c>
      <c r="F435" t="inlineStr">
        <is>
          <t>New York</t>
        </is>
      </c>
      <c r="G435" t="inlineStr">
        <is>
          <t>Closed Lost</t>
        </is>
      </c>
      <c r="H435" t="inlineStr">
        <is>
          <t>No</t>
        </is>
      </c>
      <c r="J435" s="96" t="n">
        <v>46141</v>
      </c>
      <c r="K435" s="96" t="n">
        <v>46052</v>
      </c>
      <c r="M435" t="inlineStr">
        <is>
          <t>Platform Implementation (ERP, CRMs)</t>
        </is>
      </c>
      <c r="N435" t="inlineStr">
        <is>
          <t>Portal</t>
        </is>
      </c>
      <c r="O435" t="inlineStr">
        <is>
          <t>Jyothsna Nanda kishore</t>
        </is>
      </c>
      <c r="Y435" t="inlineStr">
        <is>
          <t>2026-01-06</t>
        </is>
      </c>
      <c r="Z435" t="inlineStr">
        <is>
          <t>https://app.hubspot.com/contacts/243046792/record/0-3/255414924015</t>
        </is>
      </c>
    </row>
    <row r="436">
      <c r="A436" t="n">
        <v>435</v>
      </c>
      <c r="B436" t="inlineStr">
        <is>
          <t>259790270153</t>
        </is>
      </c>
      <c r="C436" t="inlineStr">
        <is>
          <t xml:space="preserve">Invitation to Negotiate (ITN), No. 2526-01 </t>
        </is>
      </c>
      <c r="D436" t="inlineStr">
        <is>
          <t>Claims System Modernization</t>
        </is>
      </c>
      <c r="E436" t="inlineStr">
        <is>
          <t xml:space="preserve">Florida Department of Financial Services </t>
        </is>
      </c>
      <c r="F436" t="inlineStr">
        <is>
          <t>Florida</t>
        </is>
      </c>
      <c r="G436" t="inlineStr">
        <is>
          <t>Submitted</t>
        </is>
      </c>
      <c r="H436" t="inlineStr">
        <is>
          <t>No</t>
        </is>
      </c>
      <c r="J436" s="96" t="n">
        <v>46050</v>
      </c>
      <c r="K436" s="96" t="n">
        <v>46053</v>
      </c>
      <c r="L436" s="65" t="n">
        <v>1989362</v>
      </c>
      <c r="M436" t="inlineStr">
        <is>
          <t>Platform Implementation (ERP, CRMs)</t>
        </is>
      </c>
      <c r="N436" t="inlineStr">
        <is>
          <t>Offline</t>
        </is>
      </c>
      <c r="O436" t="inlineStr">
        <is>
          <t>Abhishek Zalani</t>
        </is>
      </c>
      <c r="Y436" t="inlineStr">
        <is>
          <t>2026-01-13</t>
        </is>
      </c>
      <c r="Z436" t="inlineStr">
        <is>
          <t>https://app.hubspot.com/contacts/243046792/record/0-3/259790270153</t>
        </is>
      </c>
    </row>
    <row r="437">
      <c r="A437" t="n">
        <v>436</v>
      </c>
      <c r="B437" t="inlineStr">
        <is>
          <t>275400216303</t>
        </is>
      </c>
      <c r="C437" t="inlineStr">
        <is>
          <t>IP 26-016-CJ</t>
        </is>
      </c>
      <c r="D437" t="inlineStr">
        <is>
          <t>ERP Implementation Advisory Support Services</t>
        </is>
      </c>
      <c r="E437" t="inlineStr">
        <is>
          <t>Gloucester County</t>
        </is>
      </c>
      <c r="F437" t="inlineStr">
        <is>
          <t>New Jersey</t>
        </is>
      </c>
      <c r="G437" t="inlineStr">
        <is>
          <t>Submitted</t>
        </is>
      </c>
      <c r="H437" t="inlineStr">
        <is>
          <t>No</t>
        </is>
      </c>
      <c r="J437" s="96" t="n">
        <v>46052</v>
      </c>
      <c r="K437" s="96" t="n">
        <v>46053</v>
      </c>
      <c r="L437" s="65" t="n">
        <v>37500</v>
      </c>
      <c r="M437" t="inlineStr">
        <is>
          <t>Platform Implementation (ERP, CRMs)</t>
        </is>
      </c>
      <c r="N437" t="inlineStr">
        <is>
          <t>Email</t>
        </is>
      </c>
      <c r="O437" t="inlineStr">
        <is>
          <t>Savya Atrey</t>
        </is>
      </c>
      <c r="Y437" t="inlineStr">
        <is>
          <t>2026-01-26</t>
        </is>
      </c>
      <c r="Z437" t="inlineStr">
        <is>
          <t>https://app.hubspot.com/contacts/243046792/record/0-3/275400216303</t>
        </is>
      </c>
    </row>
    <row r="438">
      <c r="A438" t="n">
        <v>437</v>
      </c>
      <c r="B438" t="inlineStr">
        <is>
          <t>260450677478</t>
        </is>
      </c>
      <c r="D438" t="inlineStr">
        <is>
          <t>Comprehensive Cybersecurity Assessment Services</t>
        </is>
      </c>
      <c r="E438" t="inlineStr">
        <is>
          <t>Meramec Regional Planning Commission</t>
        </is>
      </c>
      <c r="F438" t="inlineStr">
        <is>
          <t>Missouri</t>
        </is>
      </c>
      <c r="G438" t="inlineStr">
        <is>
          <t>Submitted</t>
        </is>
      </c>
      <c r="H438" t="inlineStr">
        <is>
          <t>No</t>
        </is>
      </c>
      <c r="J438" s="96" t="n">
        <v>46055</v>
      </c>
      <c r="K438" s="96" t="n">
        <v>46053</v>
      </c>
      <c r="M438" t="inlineStr">
        <is>
          <t>Consulting</t>
        </is>
      </c>
      <c r="N438" t="inlineStr">
        <is>
          <t>Email</t>
        </is>
      </c>
      <c r="O438" t="inlineStr">
        <is>
          <t>Abhishek Zalani</t>
        </is>
      </c>
      <c r="Y438" t="inlineStr">
        <is>
          <t>2026-01-13</t>
        </is>
      </c>
      <c r="Z438" t="inlineStr">
        <is>
          <t>https://app.hubspot.com/contacts/243046792/record/0-3/260450677478</t>
        </is>
      </c>
    </row>
    <row r="439">
      <c r="A439" t="n">
        <v>438</v>
      </c>
      <c r="B439" t="inlineStr">
        <is>
          <t>254846611170</t>
        </is>
      </c>
      <c r="D439" t="inlineStr">
        <is>
          <t>Information Technology Service Management (ITSM) Software Purchase and Implementation</t>
        </is>
      </c>
      <c r="E439" t="inlineStr">
        <is>
          <t>Port of Long Beach</t>
        </is>
      </c>
      <c r="F439" t="inlineStr">
        <is>
          <t>California</t>
        </is>
      </c>
      <c r="G439" t="inlineStr">
        <is>
          <t>Submitted</t>
        </is>
      </c>
      <c r="H439" t="inlineStr">
        <is>
          <t>No</t>
        </is>
      </c>
      <c r="J439" s="96" t="n">
        <v>46055</v>
      </c>
      <c r="K439" s="96" t="n">
        <v>46055</v>
      </c>
      <c r="M439" t="inlineStr">
        <is>
          <t>Platform Implementation (ERP, CRMs)</t>
        </is>
      </c>
      <c r="O439" t="inlineStr">
        <is>
          <t>Savya Atrey</t>
        </is>
      </c>
      <c r="Y439" t="inlineStr">
        <is>
          <t>2026-01-06</t>
        </is>
      </c>
      <c r="Z439" t="inlineStr">
        <is>
          <t>https://app.hubspot.com/contacts/243046792/record/0-3/254846611170</t>
        </is>
      </c>
    </row>
    <row r="440">
      <c r="A440" t="n">
        <v>439</v>
      </c>
      <c r="B440" t="inlineStr">
        <is>
          <t>278975444717</t>
        </is>
      </c>
      <c r="D440" t="inlineStr">
        <is>
          <t>Cemetery Database Management and Support</t>
        </is>
      </c>
      <c r="E440" t="inlineStr">
        <is>
          <t>City of Fitchburg</t>
        </is>
      </c>
      <c r="F440" t="inlineStr">
        <is>
          <t>Massachusetts</t>
        </is>
      </c>
      <c r="G440" t="inlineStr">
        <is>
          <t>Submitted</t>
        </is>
      </c>
      <c r="H440" t="inlineStr">
        <is>
          <t>No</t>
        </is>
      </c>
      <c r="J440" s="96" t="n">
        <v>46055</v>
      </c>
      <c r="K440" s="96" t="n">
        <v>46056</v>
      </c>
      <c r="M440" t="inlineStr">
        <is>
          <t>Support &amp; Maintenance</t>
        </is>
      </c>
      <c r="O440" t="inlineStr">
        <is>
          <t>Ashutosh Chauhan</t>
        </is>
      </c>
      <c r="Y440" t="inlineStr">
        <is>
          <t>2026-01-30</t>
        </is>
      </c>
      <c r="Z440" t="inlineStr">
        <is>
          <t>https://app.hubspot.com/contacts/243046792/record/0-3/278975444717</t>
        </is>
      </c>
    </row>
    <row r="441">
      <c r="A441" t="n">
        <v>440</v>
      </c>
      <c r="B441" t="inlineStr">
        <is>
          <t>264042757860</t>
        </is>
      </c>
      <c r="C441" t="inlineStr">
        <is>
          <t>AMHIT-2026-0994</t>
        </is>
      </c>
      <c r="D441" t="inlineStr">
        <is>
          <t>UMass Amherst IT Services Assessment</t>
        </is>
      </c>
      <c r="E441" t="inlineStr">
        <is>
          <t>University of Massachusetts</t>
        </is>
      </c>
      <c r="F441" t="inlineStr">
        <is>
          <t>Massachusetts</t>
        </is>
      </c>
      <c r="G441" t="inlineStr">
        <is>
          <t>Closed Lost</t>
        </is>
      </c>
      <c r="H441" t="inlineStr">
        <is>
          <t>No</t>
        </is>
      </c>
      <c r="J441" s="96" t="n">
        <v>46203</v>
      </c>
      <c r="K441" s="96" t="n">
        <v>46056</v>
      </c>
      <c r="L441" s="65" t="n">
        <v>93150</v>
      </c>
      <c r="M441" t="inlineStr">
        <is>
          <t>Audits and Assessment</t>
        </is>
      </c>
      <c r="N441" t="inlineStr">
        <is>
          <t>Portal</t>
        </is>
      </c>
      <c r="O441" t="inlineStr">
        <is>
          <t>Ashutosh Chauhan</t>
        </is>
      </c>
      <c r="Y441" t="inlineStr">
        <is>
          <t>2026-01-16</t>
        </is>
      </c>
      <c r="Z441" t="inlineStr">
        <is>
          <t>https://app.hubspot.com/contacts/243046792/record/0-3/264042757860</t>
        </is>
      </c>
    </row>
    <row r="442">
      <c r="A442" t="n">
        <v>441</v>
      </c>
      <c r="B442" t="inlineStr">
        <is>
          <t>199601365719</t>
        </is>
      </c>
      <c r="D442" t="inlineStr">
        <is>
          <t>Cloud Managed Service Provider</t>
        </is>
      </c>
      <c r="E442" t="inlineStr">
        <is>
          <t>Illinois Department of Innovation and Technology [IL]</t>
        </is>
      </c>
      <c r="F442" t="inlineStr">
        <is>
          <t>Illinois</t>
        </is>
      </c>
      <c r="G442" t="inlineStr">
        <is>
          <t>Closed Lost</t>
        </is>
      </c>
      <c r="H442" t="inlineStr">
        <is>
          <t>No</t>
        </is>
      </c>
      <c r="J442" s="96" t="n">
        <v>46213</v>
      </c>
      <c r="K442" s="96" t="n">
        <v>46056</v>
      </c>
      <c r="M442" t="inlineStr">
        <is>
          <t>Managed Services (MSP)</t>
        </is>
      </c>
      <c r="N442" t="inlineStr">
        <is>
          <t>Portal</t>
        </is>
      </c>
      <c r="O442" t="inlineStr">
        <is>
          <t>Jyothsna Nanda kishore</t>
        </is>
      </c>
      <c r="Y442" s="96" t="n">
        <v>45958</v>
      </c>
      <c r="Z442" t="inlineStr">
        <is>
          <t>https://app.hubspot.com/contacts/243046792/record/0-3/199601365719</t>
        </is>
      </c>
    </row>
    <row r="443">
      <c r="A443" t="n">
        <v>442</v>
      </c>
      <c r="B443" t="inlineStr">
        <is>
          <t>285829969648</t>
        </is>
      </c>
      <c r="C443" t="inlineStr">
        <is>
          <t>RFP26-11</t>
        </is>
      </c>
      <c r="D443" t="inlineStr">
        <is>
          <t>Data Governance Assessment And Framework Development</t>
        </is>
      </c>
      <c r="E443" t="inlineStr">
        <is>
          <t>City of Rochester</t>
        </is>
      </c>
      <c r="F443" t="inlineStr">
        <is>
          <t>New York</t>
        </is>
      </c>
      <c r="G443" t="inlineStr">
        <is>
          <t>Submitted</t>
        </is>
      </c>
      <c r="H443" t="inlineStr">
        <is>
          <t>No</t>
        </is>
      </c>
      <c r="J443" s="96" t="n">
        <v>46057</v>
      </c>
      <c r="K443" s="96" t="n">
        <v>46057</v>
      </c>
      <c r="L443" s="65" t="n">
        <v>38750</v>
      </c>
      <c r="M443" t="inlineStr">
        <is>
          <t>Consulting;Audits and Assessment</t>
        </is>
      </c>
      <c r="N443" t="inlineStr">
        <is>
          <t>Email</t>
        </is>
      </c>
      <c r="O443" t="inlineStr">
        <is>
          <t>Savya Atrey</t>
        </is>
      </c>
      <c r="Y443" t="inlineStr">
        <is>
          <t>2026-02-04</t>
        </is>
      </c>
      <c r="Z443" t="inlineStr">
        <is>
          <t>https://app.hubspot.com/contacts/243046792/record/0-3/285829969648</t>
        </is>
      </c>
    </row>
    <row r="444">
      <c r="A444" t="n">
        <v>443</v>
      </c>
      <c r="B444" t="inlineStr">
        <is>
          <t>256655439599</t>
        </is>
      </c>
      <c r="C444" t="inlineStr">
        <is>
          <t>26-01</t>
        </is>
      </c>
      <c r="D444" t="inlineStr">
        <is>
          <t>Enterprise Service Management System (ESMS)</t>
        </is>
      </c>
      <c r="E444" t="inlineStr">
        <is>
          <t>Arapahoe County</t>
        </is>
      </c>
      <c r="F444" t="inlineStr">
        <is>
          <t>Colorado</t>
        </is>
      </c>
      <c r="G444" t="inlineStr">
        <is>
          <t>Closed Lost</t>
        </is>
      </c>
      <c r="H444" t="inlineStr">
        <is>
          <t>Yes</t>
        </is>
      </c>
      <c r="I444" t="inlineStr">
        <is>
          <t>Interview</t>
        </is>
      </c>
      <c r="J444" s="96" t="n">
        <v>46105</v>
      </c>
      <c r="K444" s="96" t="n">
        <v>46057</v>
      </c>
      <c r="L444" s="65" t="n">
        <v>249896</v>
      </c>
      <c r="M444" t="inlineStr">
        <is>
          <t>Platform Implementation (ERP, CRMs)</t>
        </is>
      </c>
      <c r="N444" t="inlineStr">
        <is>
          <t>Portal</t>
        </is>
      </c>
      <c r="O444" t="inlineStr">
        <is>
          <t>Jyothsna Nanda kishore</t>
        </is>
      </c>
      <c r="P444" t="inlineStr">
        <is>
          <t>Interview Scheduled</t>
        </is>
      </c>
      <c r="Q444" t="inlineStr">
        <is>
          <t>2026-03-05</t>
        </is>
      </c>
      <c r="Y444" t="inlineStr">
        <is>
          <t>2026-01-09</t>
        </is>
      </c>
      <c r="Z444" t="inlineStr">
        <is>
          <t>https://app.hubspot.com/contacts/243046792/record/0-3/256655439599</t>
        </is>
      </c>
    </row>
    <row r="445">
      <c r="A445" t="n">
        <v>444</v>
      </c>
      <c r="B445" t="inlineStr">
        <is>
          <t>238161230535</t>
        </is>
      </c>
      <c r="D445" t="inlineStr">
        <is>
          <t>Oracle Implementation Evaluation (Offline)</t>
        </is>
      </c>
      <c r="E445" t="inlineStr">
        <is>
          <t>Rochester City School District</t>
        </is>
      </c>
      <c r="F445" t="inlineStr">
        <is>
          <t>New York</t>
        </is>
      </c>
      <c r="G445" t="inlineStr">
        <is>
          <t>Interview</t>
        </is>
      </c>
      <c r="H445" t="inlineStr">
        <is>
          <t>Yes</t>
        </is>
      </c>
      <c r="I445" t="inlineStr">
        <is>
          <t>Interview</t>
        </is>
      </c>
      <c r="J445" s="96" t="n">
        <v>46058</v>
      </c>
      <c r="K445" s="96" t="n">
        <v>46058</v>
      </c>
      <c r="M445" t="inlineStr">
        <is>
          <t>Consulting;Audits and Assessment</t>
        </is>
      </c>
      <c r="N445" t="inlineStr">
        <is>
          <t>Offline</t>
        </is>
      </c>
      <c r="O445" t="inlineStr">
        <is>
          <t>Ashutosh Chauhan</t>
        </is>
      </c>
      <c r="P445" t="inlineStr">
        <is>
          <t>Interview Scheduled</t>
        </is>
      </c>
      <c r="Q445" t="inlineStr">
        <is>
          <t>2026-04-07</t>
        </is>
      </c>
      <c r="Y445" t="inlineStr">
        <is>
          <t>2025-12-11</t>
        </is>
      </c>
      <c r="Z445" t="inlineStr">
        <is>
          <t>https://app.hubspot.com/contacts/243046792/record/0-3/238161230535</t>
        </is>
      </c>
    </row>
    <row r="446">
      <c r="A446" t="n">
        <v>445</v>
      </c>
      <c r="B446" t="inlineStr">
        <is>
          <t>269387571901</t>
        </is>
      </c>
      <c r="C446" t="inlineStr">
        <is>
          <t>RTC 26-05</t>
        </is>
      </c>
      <c r="D446" t="inlineStr">
        <is>
          <t>RTC ERP Evaluator Services</t>
        </is>
      </c>
      <c r="E446" t="inlineStr">
        <is>
          <t>Regional Transportation Commission</t>
        </is>
      </c>
      <c r="F446" t="inlineStr">
        <is>
          <t>Nevada</t>
        </is>
      </c>
      <c r="G446" t="inlineStr">
        <is>
          <t>Submitted</t>
        </is>
      </c>
      <c r="H446" t="inlineStr">
        <is>
          <t>No</t>
        </is>
      </c>
      <c r="J446" s="96" t="n">
        <v>46058</v>
      </c>
      <c r="K446" s="96" t="n">
        <v>46058</v>
      </c>
      <c r="L446" s="65" t="n">
        <v>78300</v>
      </c>
      <c r="M446" t="inlineStr">
        <is>
          <t>Consulting</t>
        </is>
      </c>
      <c r="N446" t="inlineStr">
        <is>
          <t>Portal</t>
        </is>
      </c>
      <c r="O446" t="inlineStr">
        <is>
          <t>Savya Atrey</t>
        </is>
      </c>
      <c r="Y446" t="inlineStr">
        <is>
          <t>2026-01-20</t>
        </is>
      </c>
      <c r="Z446" t="inlineStr">
        <is>
          <t>https://app.hubspot.com/contacts/243046792/record/0-3/269387571901</t>
        </is>
      </c>
    </row>
    <row r="447">
      <c r="A447" t="n">
        <v>446</v>
      </c>
      <c r="B447" t="inlineStr">
        <is>
          <t>275790526197</t>
        </is>
      </c>
      <c r="D447" t="inlineStr">
        <is>
          <t>IT Support and Managed Services</t>
        </is>
      </c>
      <c r="E447" t="inlineStr">
        <is>
          <t>Montague Police Department</t>
        </is>
      </c>
      <c r="F447" t="inlineStr">
        <is>
          <t>Massachusetts</t>
        </is>
      </c>
      <c r="G447" t="inlineStr">
        <is>
          <t>Closed Lost</t>
        </is>
      </c>
      <c r="H447" t="inlineStr">
        <is>
          <t>No</t>
        </is>
      </c>
      <c r="J447" s="96" t="n">
        <v>46216</v>
      </c>
      <c r="K447" s="96" t="n">
        <v>46058</v>
      </c>
      <c r="L447" s="65" t="n">
        <v>30000</v>
      </c>
      <c r="M447" t="inlineStr">
        <is>
          <t>Managed Services (MSP)</t>
        </is>
      </c>
      <c r="N447" t="inlineStr">
        <is>
          <t>Email</t>
        </is>
      </c>
      <c r="O447" t="inlineStr">
        <is>
          <t>Ashutosh Chauhan</t>
        </is>
      </c>
      <c r="Y447" s="96" t="n">
        <v>46049</v>
      </c>
      <c r="Z447" t="inlineStr">
        <is>
          <t>https://app.hubspot.com/contacts/243046792/record/0-3/275790526197</t>
        </is>
      </c>
    </row>
    <row r="448">
      <c r="A448" t="n">
        <v>447</v>
      </c>
      <c r="B448" t="inlineStr">
        <is>
          <t>264972738293</t>
        </is>
      </c>
      <c r="D448" t="inlineStr">
        <is>
          <t>Custom Events Calendar Web Application</t>
        </is>
      </c>
      <c r="E448" t="inlineStr">
        <is>
          <t>City of Mansfield</t>
        </is>
      </c>
      <c r="F448" t="inlineStr">
        <is>
          <t>Texas</t>
        </is>
      </c>
      <c r="G448" t="inlineStr">
        <is>
          <t>RFx Cancelled</t>
        </is>
      </c>
      <c r="H448" t="inlineStr">
        <is>
          <t>No</t>
        </is>
      </c>
      <c r="J448" s="96" t="n">
        <v>46059</v>
      </c>
      <c r="K448" s="96" t="n">
        <v>46058</v>
      </c>
      <c r="M448" t="inlineStr">
        <is>
          <t>Platform Implementation (ERP, CRMs)</t>
        </is>
      </c>
      <c r="N448" t="inlineStr">
        <is>
          <t>Email</t>
        </is>
      </c>
      <c r="O448" t="inlineStr">
        <is>
          <t>Jyothsna Nanda kishore</t>
        </is>
      </c>
      <c r="Y448" t="inlineStr">
        <is>
          <t>2026-01-16</t>
        </is>
      </c>
      <c r="Z448" t="inlineStr">
        <is>
          <t>https://app.hubspot.com/contacts/243046792/record/0-3/264972738293</t>
        </is>
      </c>
    </row>
    <row r="449">
      <c r="A449" t="n">
        <v>448</v>
      </c>
      <c r="B449" t="inlineStr">
        <is>
          <t>267448858361</t>
        </is>
      </c>
      <c r="D449" t="inlineStr">
        <is>
          <t>Success Factors Consulting Services</t>
        </is>
      </c>
      <c r="E449" t="inlineStr">
        <is>
          <t xml:space="preserve">Public Utility District No. 1 of Snohomish County </t>
        </is>
      </c>
      <c r="F449" t="inlineStr">
        <is>
          <t>Washington</t>
        </is>
      </c>
      <c r="G449" t="inlineStr">
        <is>
          <t>Closed Lost</t>
        </is>
      </c>
      <c r="H449" t="inlineStr">
        <is>
          <t>No</t>
        </is>
      </c>
      <c r="J449" s="96" t="n">
        <v>46073</v>
      </c>
      <c r="K449" s="96" t="n">
        <v>46058</v>
      </c>
      <c r="M449" t="inlineStr">
        <is>
          <t>Consulting</t>
        </is>
      </c>
      <c r="O449" t="inlineStr">
        <is>
          <t>Jyothsna Nanda kishore</t>
        </is>
      </c>
      <c r="Y449" t="inlineStr">
        <is>
          <t>2026-01-22</t>
        </is>
      </c>
      <c r="Z449" t="inlineStr">
        <is>
          <t>https://app.hubspot.com/contacts/243046792/record/0-3/267448858361</t>
        </is>
      </c>
    </row>
    <row r="450">
      <c r="A450" t="n">
        <v>449</v>
      </c>
      <c r="B450" t="inlineStr">
        <is>
          <t>261870782138</t>
        </is>
      </c>
      <c r="C450" t="inlineStr">
        <is>
          <t>2024-RFP-00286</t>
        </is>
      </c>
      <c r="D450" t="inlineStr">
        <is>
          <t>Software Solution and Mobile App for Citizens to Report Illegal Dumping</t>
        </is>
      </c>
      <c r="E450" t="inlineStr">
        <is>
          <t>County of San Mateo</t>
        </is>
      </c>
      <c r="F450" t="inlineStr">
        <is>
          <t>California</t>
        </is>
      </c>
      <c r="G450" t="inlineStr">
        <is>
          <t>Submitted</t>
        </is>
      </c>
      <c r="H450" t="inlineStr">
        <is>
          <t>No</t>
        </is>
      </c>
      <c r="J450" s="96" t="n">
        <v>46059</v>
      </c>
      <c r="K450" s="96" t="n">
        <v>46059</v>
      </c>
      <c r="M450" t="inlineStr">
        <is>
          <t>Platform Implementation (ERP, CRMs)</t>
        </is>
      </c>
      <c r="N450" t="inlineStr">
        <is>
          <t>Portal</t>
        </is>
      </c>
      <c r="O450" t="inlineStr">
        <is>
          <t>Jyothsna Nanda kishore</t>
        </is>
      </c>
      <c r="Y450" t="inlineStr">
        <is>
          <t>2026-01-14</t>
        </is>
      </c>
      <c r="Z450" t="inlineStr">
        <is>
          <t>https://app.hubspot.com/contacts/243046792/record/0-3/261870782138</t>
        </is>
      </c>
    </row>
    <row r="451">
      <c r="A451" t="n">
        <v>450</v>
      </c>
      <c r="B451" t="inlineStr">
        <is>
          <t>276106770108</t>
        </is>
      </c>
      <c r="D451" t="inlineStr">
        <is>
          <t xml:space="preserve">Enterprise Data &amp; AI Strategy and Governance </t>
        </is>
      </c>
      <c r="E451" t="inlineStr">
        <is>
          <t>Electric Reliability Council of Texas</t>
        </is>
      </c>
      <c r="F451" t="inlineStr">
        <is>
          <t>Texas</t>
        </is>
      </c>
      <c r="G451" t="inlineStr">
        <is>
          <t>Submitted</t>
        </is>
      </c>
      <c r="H451" t="inlineStr">
        <is>
          <t>No</t>
        </is>
      </c>
      <c r="J451" s="96" t="n">
        <v>46059</v>
      </c>
      <c r="K451" s="96" t="n">
        <v>46059</v>
      </c>
      <c r="M451" t="inlineStr">
        <is>
          <t>Consulting</t>
        </is>
      </c>
      <c r="O451" t="inlineStr">
        <is>
          <t>Abhishek Zalani</t>
        </is>
      </c>
      <c r="Y451" t="inlineStr">
        <is>
          <t>2026-01-28</t>
        </is>
      </c>
      <c r="Z451" t="inlineStr">
        <is>
          <t>https://app.hubspot.com/contacts/243046792/record/0-3/276106770108</t>
        </is>
      </c>
    </row>
    <row r="452">
      <c r="A452" t="n">
        <v>451</v>
      </c>
      <c r="B452" t="inlineStr">
        <is>
          <t>259789462223</t>
        </is>
      </c>
      <c r="C452" t="inlineStr">
        <is>
          <t>RFQ1791333</t>
        </is>
      </c>
      <c r="D452" t="inlineStr">
        <is>
          <t>Technology for Applications, Logistics, Operations, and Network</t>
        </is>
      </c>
      <c r="E452" t="inlineStr">
        <is>
          <t>Department of Homeland Security, Transportation Security Administration</t>
        </is>
      </c>
      <c r="F452" t="inlineStr">
        <is>
          <t>Virginia</t>
        </is>
      </c>
      <c r="G452" t="inlineStr">
        <is>
          <t>Submitted</t>
        </is>
      </c>
      <c r="H452" t="inlineStr">
        <is>
          <t>No</t>
        </is>
      </c>
      <c r="J452" s="96" t="n">
        <v>46059</v>
      </c>
      <c r="K452" s="96" t="n">
        <v>46059</v>
      </c>
      <c r="M452" t="inlineStr">
        <is>
          <t>Consulting;Modernization / Migration;Platform Implementation (ERP, CRMs);Managed Services (MSP)</t>
        </is>
      </c>
      <c r="N452" t="inlineStr">
        <is>
          <t>Portal</t>
        </is>
      </c>
      <c r="O452" t="inlineStr">
        <is>
          <t>Ashutosh Chauhan</t>
        </is>
      </c>
      <c r="Y452" t="inlineStr">
        <is>
          <t>2026-01-12</t>
        </is>
      </c>
      <c r="Z452" t="inlineStr">
        <is>
          <t>https://app.hubspot.com/contacts/243046792/record/0-3/259789462223</t>
        </is>
      </c>
    </row>
    <row r="453">
      <c r="A453" t="n">
        <v>452</v>
      </c>
      <c r="B453" t="inlineStr">
        <is>
          <t>264972739293</t>
        </is>
      </c>
      <c r="D453" t="inlineStr">
        <is>
          <t>ERP Consulting Services</t>
        </is>
      </c>
      <c r="E453" t="inlineStr">
        <is>
          <t>Washington County</t>
        </is>
      </c>
      <c r="F453" t="inlineStr">
        <is>
          <t>Minnesota</t>
        </is>
      </c>
      <c r="G453" t="inlineStr">
        <is>
          <t>Submitted</t>
        </is>
      </c>
      <c r="H453" t="inlineStr">
        <is>
          <t>No</t>
        </is>
      </c>
      <c r="J453" s="96" t="n">
        <v>46059</v>
      </c>
      <c r="K453" s="96" t="n">
        <v>46059</v>
      </c>
      <c r="L453" s="65" t="n">
        <v>128800</v>
      </c>
      <c r="M453" t="inlineStr">
        <is>
          <t>Consulting</t>
        </is>
      </c>
      <c r="N453" t="inlineStr">
        <is>
          <t>Email</t>
        </is>
      </c>
      <c r="O453" t="inlineStr">
        <is>
          <t>Savya Atrey</t>
        </is>
      </c>
      <c r="Y453" s="96" t="n">
        <v>46038</v>
      </c>
      <c r="Z453" t="inlineStr">
        <is>
          <t>https://app.hubspot.com/contacts/243046792/record/0-3/264972739293</t>
        </is>
      </c>
    </row>
    <row r="454">
      <c r="A454" t="n">
        <v>453</v>
      </c>
      <c r="B454" t="inlineStr">
        <is>
          <t>260409481975</t>
        </is>
      </c>
      <c r="D454" t="inlineStr">
        <is>
          <t>Project Management and Workflow Systems</t>
        </is>
      </c>
      <c r="E454" t="inlineStr">
        <is>
          <t>City of Irving</t>
        </is>
      </c>
      <c r="F454" t="inlineStr">
        <is>
          <t>Texas</t>
        </is>
      </c>
      <c r="G454" t="inlineStr">
        <is>
          <t>RFx Cancelled</t>
        </is>
      </c>
      <c r="H454" t="inlineStr">
        <is>
          <t>No</t>
        </is>
      </c>
      <c r="J454" s="96" t="n">
        <v>46059</v>
      </c>
      <c r="K454" s="96" t="n">
        <v>46059</v>
      </c>
      <c r="M454" t="inlineStr">
        <is>
          <t>Platform Implementation (ERP, CRMs)</t>
        </is>
      </c>
      <c r="O454" t="inlineStr">
        <is>
          <t>Ashutosh Chauhan</t>
        </is>
      </c>
      <c r="Y454" t="inlineStr">
        <is>
          <t>2026-01-13</t>
        </is>
      </c>
      <c r="Z454" t="inlineStr">
        <is>
          <t>https://app.hubspot.com/contacts/243046792/record/0-3/260409481975</t>
        </is>
      </c>
    </row>
    <row r="455">
      <c r="A455" t="n">
        <v>454</v>
      </c>
      <c r="B455" t="inlineStr">
        <is>
          <t>275926212329</t>
        </is>
      </c>
      <c r="D455" t="inlineStr">
        <is>
          <t>Village of Tinley Park - MICROSOFT OFFICE 365 LICESING</t>
        </is>
      </c>
      <c r="E455" t="inlineStr">
        <is>
          <t>Village of Tinley Park</t>
        </is>
      </c>
      <c r="F455" t="inlineStr">
        <is>
          <t>Illinois</t>
        </is>
      </c>
      <c r="G455" t="inlineStr">
        <is>
          <t>Closed Won</t>
        </is>
      </c>
      <c r="H455" t="inlineStr">
        <is>
          <t>No</t>
        </is>
      </c>
      <c r="J455" s="96" t="n">
        <v>46113</v>
      </c>
      <c r="K455" s="96" t="n">
        <v>46059</v>
      </c>
      <c r="L455" s="65" t="n">
        <v>114400</v>
      </c>
      <c r="M455" t="inlineStr">
        <is>
          <t>Reseller</t>
        </is>
      </c>
      <c r="N455" t="inlineStr">
        <is>
          <t>Offline</t>
        </is>
      </c>
      <c r="O455" t="inlineStr">
        <is>
          <t>Jyothsna Nanda kishore</t>
        </is>
      </c>
      <c r="S455" t="inlineStr">
        <is>
          <t>2026-02-09</t>
        </is>
      </c>
      <c r="U455" s="96" t="n">
        <v>46062</v>
      </c>
      <c r="Y455" t="inlineStr">
        <is>
          <t>2026-01-28</t>
        </is>
      </c>
      <c r="Z455" t="inlineStr">
        <is>
          <t>https://app.hubspot.com/contacts/243046792/record/0-3/275926212329</t>
        </is>
      </c>
      <c r="AA455" t="inlineStr">
        <is>
          <t>No</t>
        </is>
      </c>
    </row>
    <row r="456">
      <c r="A456" t="n">
        <v>455</v>
      </c>
      <c r="B456" t="inlineStr">
        <is>
          <t>267386743501</t>
        </is>
      </c>
      <c r="D456" t="inlineStr">
        <is>
          <t>University of South Carolina - FPB – Direct Placement Staffing Services for IT Positions</t>
        </is>
      </c>
      <c r="E456" t="inlineStr">
        <is>
          <t>University of South Carolina</t>
        </is>
      </c>
      <c r="F456" t="inlineStr">
        <is>
          <t>South Carolina</t>
        </is>
      </c>
      <c r="G456" t="inlineStr">
        <is>
          <t>Closed Won</t>
        </is>
      </c>
      <c r="H456" t="inlineStr">
        <is>
          <t>No</t>
        </is>
      </c>
      <c r="J456" s="96" t="n">
        <v>46120</v>
      </c>
      <c r="K456" s="96" t="n">
        <v>46059</v>
      </c>
      <c r="M456" t="inlineStr">
        <is>
          <t>Staff Augmentation</t>
        </is>
      </c>
      <c r="N456" t="inlineStr">
        <is>
          <t>Portal</t>
        </is>
      </c>
      <c r="O456" t="inlineStr">
        <is>
          <t>Jyothsna Nanda kishore</t>
        </is>
      </c>
      <c r="S456" t="inlineStr">
        <is>
          <t>2026-02-26</t>
        </is>
      </c>
      <c r="U456" s="96" t="n">
        <v>46079</v>
      </c>
      <c r="Y456" t="inlineStr">
        <is>
          <t>2026-01-20</t>
        </is>
      </c>
      <c r="Z456" t="inlineStr">
        <is>
          <t>https://app.hubspot.com/contacts/243046792/record/0-3/267386743501</t>
        </is>
      </c>
      <c r="AA456" t="inlineStr">
        <is>
          <t>No</t>
        </is>
      </c>
    </row>
    <row r="457">
      <c r="A457" t="n">
        <v>456</v>
      </c>
      <c r="B457" t="inlineStr">
        <is>
          <t>259780976338</t>
        </is>
      </c>
      <c r="C457" t="inlineStr">
        <is>
          <t>045-25</t>
        </is>
      </c>
      <c r="D457" t="inlineStr">
        <is>
          <t>OFF- Accela Software Implemenation</t>
        </is>
      </c>
      <c r="E457" t="inlineStr">
        <is>
          <t>Mendocino County</t>
        </is>
      </c>
      <c r="F457" t="inlineStr">
        <is>
          <t>California</t>
        </is>
      </c>
      <c r="G457" t="inlineStr">
        <is>
          <t>Closed Lost</t>
        </is>
      </c>
      <c r="H457" t="inlineStr">
        <is>
          <t>No</t>
        </is>
      </c>
      <c r="J457" s="96" t="n">
        <v>46135</v>
      </c>
      <c r="K457" s="96" t="n">
        <v>46059</v>
      </c>
      <c r="M457" t="inlineStr">
        <is>
          <t>Platform Implementation (ERP, CRMs)</t>
        </is>
      </c>
      <c r="O457" t="inlineStr">
        <is>
          <t>Ashutosh Chauhan</t>
        </is>
      </c>
      <c r="Y457" t="inlineStr">
        <is>
          <t>2026-01-14</t>
        </is>
      </c>
      <c r="Z457" t="inlineStr">
        <is>
          <t>https://app.hubspot.com/contacts/243046792/record/0-3/259780976338</t>
        </is>
      </c>
    </row>
    <row r="458">
      <c r="A458" t="n">
        <v>457</v>
      </c>
      <c r="B458" t="inlineStr">
        <is>
          <t>277652562628</t>
        </is>
      </c>
      <c r="C458" t="inlineStr">
        <is>
          <t>RFP 0011384-TECH-2025-AD</t>
        </is>
      </c>
      <c r="D458" t="inlineStr">
        <is>
          <t>Microsoft M365 High CUI Managed Service Provider</t>
        </is>
      </c>
      <c r="G458" t="inlineStr">
        <is>
          <t>Submitted</t>
        </is>
      </c>
      <c r="H458" t="inlineStr">
        <is>
          <t>No</t>
        </is>
      </c>
      <c r="J458" s="96" t="n">
        <v>46062</v>
      </c>
      <c r="K458" s="96" t="n">
        <v>46062</v>
      </c>
      <c r="M458" t="inlineStr">
        <is>
          <t>Managed Services (MSP)</t>
        </is>
      </c>
      <c r="N458" t="inlineStr">
        <is>
          <t>Email</t>
        </is>
      </c>
      <c r="O458" t="inlineStr">
        <is>
          <t>Ashley Lamaniya</t>
        </is>
      </c>
      <c r="Y458" t="inlineStr">
        <is>
          <t>2026-01-29</t>
        </is>
      </c>
      <c r="Z458" t="inlineStr">
        <is>
          <t>https://app.hubspot.com/contacts/243046792/record/0-3/277652562628</t>
        </is>
      </c>
    </row>
    <row r="459">
      <c r="A459" t="n">
        <v>458</v>
      </c>
      <c r="B459" t="inlineStr">
        <is>
          <t>269636003573</t>
        </is>
      </c>
      <c r="D459" t="inlineStr">
        <is>
          <t>Offline - Managed IT Services</t>
        </is>
      </c>
      <c r="E459" t="inlineStr">
        <is>
          <t>Ledyard Public Schools</t>
        </is>
      </c>
      <c r="F459" t="inlineStr">
        <is>
          <t>Connecticut</t>
        </is>
      </c>
      <c r="G459" t="inlineStr">
        <is>
          <t>Closed Lost</t>
        </is>
      </c>
      <c r="H459" t="inlineStr">
        <is>
          <t>Yes</t>
        </is>
      </c>
      <c r="I459" t="inlineStr">
        <is>
          <t>Interview</t>
        </is>
      </c>
      <c r="J459" s="96" t="n">
        <v>46114</v>
      </c>
      <c r="K459" s="96" t="n">
        <v>46062</v>
      </c>
      <c r="M459" t="inlineStr">
        <is>
          <t>Managed Services (MSP)</t>
        </is>
      </c>
      <c r="O459" t="inlineStr">
        <is>
          <t>Savya Atrey</t>
        </is>
      </c>
      <c r="P459" t="inlineStr">
        <is>
          <t>Interview Scheduled</t>
        </is>
      </c>
      <c r="Q459" t="inlineStr">
        <is>
          <t>2026-02-25</t>
        </is>
      </c>
      <c r="Y459" t="inlineStr">
        <is>
          <t>2026-01-21</t>
        </is>
      </c>
      <c r="Z459" t="inlineStr">
        <is>
          <t>https://app.hubspot.com/contacts/243046792/record/0-3/269636003573</t>
        </is>
      </c>
    </row>
    <row r="460">
      <c r="A460" t="n">
        <v>459</v>
      </c>
      <c r="B460" t="inlineStr">
        <is>
          <t>261898863325</t>
        </is>
      </c>
      <c r="C460" t="inlineStr">
        <is>
          <t>RFP 25-26-053</t>
        </is>
      </c>
      <c r="D460" t="inlineStr">
        <is>
          <t>GIS Consultant</t>
        </is>
      </c>
      <c r="E460" t="inlineStr">
        <is>
          <t>City of Danville</t>
        </is>
      </c>
      <c r="F460" t="inlineStr">
        <is>
          <t>Virginia</t>
        </is>
      </c>
      <c r="G460" t="inlineStr">
        <is>
          <t>Submitted</t>
        </is>
      </c>
      <c r="H460" t="inlineStr">
        <is>
          <t>No</t>
        </is>
      </c>
      <c r="J460" s="96" t="n">
        <v>46063</v>
      </c>
      <c r="K460" s="96" t="n">
        <v>46063</v>
      </c>
      <c r="M460" t="inlineStr">
        <is>
          <t>Consulting</t>
        </is>
      </c>
      <c r="N460" t="inlineStr">
        <is>
          <t>Email</t>
        </is>
      </c>
      <c r="O460" t="inlineStr">
        <is>
          <t>Ashutosh Chauhan</t>
        </is>
      </c>
      <c r="Y460" t="inlineStr">
        <is>
          <t>2026-01-14</t>
        </is>
      </c>
      <c r="Z460" t="inlineStr">
        <is>
          <t>https://app.hubspot.com/contacts/243046792/record/0-3/261898863325</t>
        </is>
      </c>
    </row>
    <row r="461">
      <c r="A461" t="n">
        <v>460</v>
      </c>
      <c r="B461" t="inlineStr">
        <is>
          <t>270333293302</t>
        </is>
      </c>
      <c r="D461" t="inlineStr">
        <is>
          <t>Electronic Document Management System for the Housing Authority</t>
        </is>
      </c>
      <c r="E461" t="inlineStr">
        <is>
          <t>Community Development Department (City of Santa Ana)</t>
        </is>
      </c>
      <c r="F461" t="inlineStr">
        <is>
          <t>California</t>
        </is>
      </c>
      <c r="G461" t="inlineStr">
        <is>
          <t>Closed Lost</t>
        </is>
      </c>
      <c r="H461" t="inlineStr">
        <is>
          <t>No</t>
        </is>
      </c>
      <c r="J461" s="96" t="n">
        <v>46289</v>
      </c>
      <c r="K461" s="96" t="n">
        <v>46063</v>
      </c>
      <c r="M461" t="inlineStr">
        <is>
          <t>Platform Implementation (ERP, CRMs)</t>
        </is>
      </c>
      <c r="N461" t="inlineStr">
        <is>
          <t>Portal</t>
        </is>
      </c>
      <c r="O461" t="inlineStr">
        <is>
          <t>Jyothsna Nanda kishore</t>
        </is>
      </c>
      <c r="Y461" t="inlineStr">
        <is>
          <t>2026-01-22</t>
        </is>
      </c>
      <c r="Z461" t="inlineStr">
        <is>
          <t>https://app.hubspot.com/contacts/243046792/record/0-3/270333293302</t>
        </is>
      </c>
    </row>
    <row r="462">
      <c r="A462" t="n">
        <v>461</v>
      </c>
      <c r="B462" t="inlineStr">
        <is>
          <t>275197799148</t>
        </is>
      </c>
      <c r="C462" t="inlineStr">
        <is>
          <t>RFP #26-03</t>
        </is>
      </c>
      <c r="D462" t="inlineStr">
        <is>
          <t>OFF- Information Technology Managed Services</t>
        </is>
      </c>
      <c r="E462" t="inlineStr">
        <is>
          <t>The Charter Township of Brighton</t>
        </is>
      </c>
      <c r="F462" t="inlineStr">
        <is>
          <t>Michigan</t>
        </is>
      </c>
      <c r="G462" t="inlineStr">
        <is>
          <t>Closed Lost</t>
        </is>
      </c>
      <c r="H462" t="inlineStr">
        <is>
          <t>No</t>
        </is>
      </c>
      <c r="J462" s="96" t="n">
        <v>46202</v>
      </c>
      <c r="K462" s="96" t="n">
        <v>46063</v>
      </c>
      <c r="L462" s="65" t="n">
        <v>36000</v>
      </c>
      <c r="M462" t="inlineStr">
        <is>
          <t>Managed Services (MSP)</t>
        </is>
      </c>
      <c r="N462" t="inlineStr">
        <is>
          <t>Offline</t>
        </is>
      </c>
      <c r="O462" t="inlineStr">
        <is>
          <t>Ashutosh Chauhan</t>
        </is>
      </c>
      <c r="Y462" t="inlineStr">
        <is>
          <t>2026-01-27</t>
        </is>
      </c>
      <c r="Z462" t="inlineStr">
        <is>
          <t>https://app.hubspot.com/contacts/243046792/record/0-3/275197799148</t>
        </is>
      </c>
    </row>
    <row r="463">
      <c r="A463" t="n">
        <v>462</v>
      </c>
      <c r="B463" t="inlineStr">
        <is>
          <t>260430131922</t>
        </is>
      </c>
      <c r="D463" t="inlineStr">
        <is>
          <t>PeopleSoft Support Services</t>
        </is>
      </c>
      <c r="E463" t="inlineStr">
        <is>
          <t>Virginia Port Authority</t>
        </is>
      </c>
      <c r="F463" t="inlineStr">
        <is>
          <t>Virginia</t>
        </is>
      </c>
      <c r="G463" t="inlineStr">
        <is>
          <t>Closed Lost</t>
        </is>
      </c>
      <c r="H463" t="inlineStr">
        <is>
          <t>No</t>
        </is>
      </c>
      <c r="J463" s="96" t="n">
        <v>46106</v>
      </c>
      <c r="K463" s="96" t="n">
        <v>46063</v>
      </c>
      <c r="M463" t="inlineStr">
        <is>
          <t>Support &amp; Maintenance</t>
        </is>
      </c>
      <c r="N463" t="inlineStr">
        <is>
          <t>Email</t>
        </is>
      </c>
      <c r="O463" t="inlineStr">
        <is>
          <t>Ashutosh Chauhan</t>
        </is>
      </c>
      <c r="Y463" t="inlineStr">
        <is>
          <t>2026-01-13</t>
        </is>
      </c>
      <c r="Z463" t="inlineStr">
        <is>
          <t>https://app.hubspot.com/contacts/243046792/record/0-3/260430131922</t>
        </is>
      </c>
    </row>
    <row r="464">
      <c r="A464" t="n">
        <v>463</v>
      </c>
      <c r="B464" t="inlineStr">
        <is>
          <t>279300575938</t>
        </is>
      </c>
      <c r="D464" t="inlineStr">
        <is>
          <t>Grant Management Software Solutions</t>
        </is>
      </c>
      <c r="E464" t="inlineStr">
        <is>
          <t>Rhode Island Commerce Corporation</t>
        </is>
      </c>
      <c r="F464" t="inlineStr">
        <is>
          <t>Rhode Island</t>
        </is>
      </c>
      <c r="G464" t="inlineStr">
        <is>
          <t>Closed Lost</t>
        </is>
      </c>
      <c r="H464" t="inlineStr">
        <is>
          <t>No</t>
        </is>
      </c>
      <c r="J464" s="96" t="n">
        <v>46205</v>
      </c>
      <c r="K464" s="96" t="n">
        <v>46064</v>
      </c>
      <c r="M464" t="inlineStr">
        <is>
          <t>Platform Implementation (ERP, CRMs)</t>
        </is>
      </c>
      <c r="N464" t="inlineStr">
        <is>
          <t>Email</t>
        </is>
      </c>
      <c r="O464" t="inlineStr">
        <is>
          <t>Ashutosh Chauhan</t>
        </is>
      </c>
      <c r="Y464" t="inlineStr">
        <is>
          <t>2026-01-30</t>
        </is>
      </c>
      <c r="Z464" t="inlineStr">
        <is>
          <t>https://app.hubspot.com/contacts/243046792/record/0-3/279300575938</t>
        </is>
      </c>
    </row>
    <row r="465">
      <c r="A465" t="n">
        <v>464</v>
      </c>
      <c r="B465" t="inlineStr">
        <is>
          <t>276110717630</t>
        </is>
      </c>
      <c r="D465" t="inlineStr">
        <is>
          <t>IT Audit &amp; Assessment Services</t>
        </is>
      </c>
      <c r="E465" t="inlineStr">
        <is>
          <t>Maine Municipal Bond Bank</t>
        </is>
      </c>
      <c r="F465" t="inlineStr">
        <is>
          <t>Maine</t>
        </is>
      </c>
      <c r="G465" t="inlineStr">
        <is>
          <t>Closed Lost</t>
        </is>
      </c>
      <c r="H465" t="inlineStr">
        <is>
          <t>No</t>
        </is>
      </c>
      <c r="J465" s="96" t="n">
        <v>46288</v>
      </c>
      <c r="K465" s="96" t="n">
        <v>46064</v>
      </c>
      <c r="M465" t="inlineStr">
        <is>
          <t>Audits and Assessment</t>
        </is>
      </c>
      <c r="O465" t="inlineStr">
        <is>
          <t>Jyothsna Nanda kishore</t>
        </is>
      </c>
      <c r="Y465" t="inlineStr">
        <is>
          <t>2026-01-28</t>
        </is>
      </c>
      <c r="Z465" t="inlineStr">
        <is>
          <t>https://app.hubspot.com/contacts/243046792/record/0-3/276110717630</t>
        </is>
      </c>
    </row>
    <row r="466">
      <c r="A466" t="n">
        <v>465</v>
      </c>
      <c r="B466" t="inlineStr">
        <is>
          <t>275198517964</t>
        </is>
      </c>
      <c r="C466" t="inlineStr">
        <is>
          <t>10221</t>
        </is>
      </c>
      <c r="D466" t="inlineStr">
        <is>
          <t>Guideway Gate Control Website Rebuild</t>
        </is>
      </c>
      <c r="E466" t="inlineStr">
        <is>
          <t>City of Fort Collins</t>
        </is>
      </c>
      <c r="F466" t="inlineStr">
        <is>
          <t>Colorado</t>
        </is>
      </c>
      <c r="G466" t="inlineStr">
        <is>
          <t>Submitted</t>
        </is>
      </c>
      <c r="H466" t="inlineStr">
        <is>
          <t>No</t>
        </is>
      </c>
      <c r="J466" s="96" t="n">
        <v>46064</v>
      </c>
      <c r="K466" s="96" t="n">
        <v>46064</v>
      </c>
      <c r="M466" t="inlineStr">
        <is>
          <t>Modernization / Migration</t>
        </is>
      </c>
      <c r="N466" t="inlineStr">
        <is>
          <t>Portal</t>
        </is>
      </c>
      <c r="O466" t="inlineStr">
        <is>
          <t>Ashutosh Chauhan</t>
        </is>
      </c>
      <c r="Y466" t="inlineStr">
        <is>
          <t>2026-01-27</t>
        </is>
      </c>
      <c r="Z466" t="inlineStr">
        <is>
          <t>https://app.hubspot.com/contacts/243046792/record/0-3/275198517964</t>
        </is>
      </c>
    </row>
    <row r="467">
      <c r="A467" t="n">
        <v>466</v>
      </c>
      <c r="B467" t="inlineStr">
        <is>
          <t>260400812779</t>
        </is>
      </c>
      <c r="C467" t="inlineStr">
        <is>
          <t xml:space="preserve"> 2026-211</t>
        </is>
      </c>
      <c r="D467" t="inlineStr">
        <is>
          <t>Microsoft 365 Tenant-to-Tenant Migration Service</t>
        </is>
      </c>
      <c r="E467" t="inlineStr">
        <is>
          <t>Siloam Springs</t>
        </is>
      </c>
      <c r="F467" t="inlineStr">
        <is>
          <t>Arkansas</t>
        </is>
      </c>
      <c r="G467" t="inlineStr">
        <is>
          <t>Submitted</t>
        </is>
      </c>
      <c r="H467" t="inlineStr">
        <is>
          <t>No</t>
        </is>
      </c>
      <c r="J467" s="96" t="n">
        <v>46066</v>
      </c>
      <c r="K467" s="96" t="n">
        <v>46064</v>
      </c>
      <c r="M467" t="inlineStr">
        <is>
          <t>Modernization / Migration</t>
        </is>
      </c>
      <c r="N467" t="inlineStr">
        <is>
          <t>Offline</t>
        </is>
      </c>
      <c r="O467" t="inlineStr">
        <is>
          <t>Jyothsna Nanda kishore</t>
        </is>
      </c>
      <c r="Y467" t="inlineStr">
        <is>
          <t>2026-01-13</t>
        </is>
      </c>
      <c r="Z467" t="inlineStr">
        <is>
          <t>https://app.hubspot.com/contacts/243046792/record/0-3/260400812779</t>
        </is>
      </c>
    </row>
    <row r="468">
      <c r="A468" t="n">
        <v>467</v>
      </c>
      <c r="B468" t="inlineStr">
        <is>
          <t>264083313380</t>
        </is>
      </c>
      <c r="C468" t="inlineStr">
        <is>
          <t>2026-001</t>
        </is>
      </c>
      <c r="D468" t="inlineStr">
        <is>
          <t>ERP Implementation Services</t>
        </is>
      </c>
      <c r="E468" t="inlineStr">
        <is>
          <t>Portland Public Schools School District</t>
        </is>
      </c>
      <c r="F468" t="inlineStr">
        <is>
          <t>Oregon</t>
        </is>
      </c>
      <c r="G468" t="inlineStr">
        <is>
          <t>Submitted</t>
        </is>
      </c>
      <c r="H468" t="inlineStr">
        <is>
          <t>No</t>
        </is>
      </c>
      <c r="J468" s="96" t="n">
        <v>46065</v>
      </c>
      <c r="K468" s="96" t="n">
        <v>46065</v>
      </c>
      <c r="M468" t="inlineStr">
        <is>
          <t>Consulting</t>
        </is>
      </c>
      <c r="N468" t="inlineStr">
        <is>
          <t>Portal</t>
        </is>
      </c>
      <c r="O468" t="inlineStr">
        <is>
          <t>Ashutosh Chauhan</t>
        </is>
      </c>
      <c r="Y468" t="inlineStr">
        <is>
          <t>2026-01-16</t>
        </is>
      </c>
      <c r="Z468" t="inlineStr">
        <is>
          <t>https://app.hubspot.com/contacts/243046792/record/0-3/264083313380</t>
        </is>
      </c>
    </row>
    <row r="469">
      <c r="A469" t="n">
        <v>468</v>
      </c>
      <c r="B469" t="inlineStr">
        <is>
          <t>267668370169</t>
        </is>
      </c>
      <c r="C469" t="inlineStr">
        <is>
          <t>RFP 2026-0003</t>
        </is>
      </c>
      <c r="D469" t="inlineStr">
        <is>
          <t>Backup Disaster and Recovery (BDR) Solution</t>
        </is>
      </c>
      <c r="E469" t="inlineStr">
        <is>
          <t xml:space="preserve">Savannah Airport Commission </t>
        </is>
      </c>
      <c r="F469" t="inlineStr">
        <is>
          <t>Georgia</t>
        </is>
      </c>
      <c r="G469" t="inlineStr">
        <is>
          <t>Submitted</t>
        </is>
      </c>
      <c r="H469" t="inlineStr">
        <is>
          <t>No</t>
        </is>
      </c>
      <c r="J469" s="96" t="n">
        <v>46065</v>
      </c>
      <c r="K469" s="96" t="n">
        <v>46065</v>
      </c>
      <c r="L469" s="65" t="n">
        <v>964400</v>
      </c>
      <c r="M469" t="inlineStr">
        <is>
          <t>Managed Services (MSP)</t>
        </is>
      </c>
      <c r="N469" t="inlineStr">
        <is>
          <t>Portal</t>
        </is>
      </c>
      <c r="O469" t="inlineStr">
        <is>
          <t>Abhishek Zalani</t>
        </is>
      </c>
      <c r="Y469" t="inlineStr">
        <is>
          <t>2026-01-22</t>
        </is>
      </c>
      <c r="Z469" t="inlineStr">
        <is>
          <t>https://app.hubspot.com/contacts/243046792/record/0-3/267668370169</t>
        </is>
      </c>
    </row>
    <row r="470">
      <c r="A470" t="n">
        <v>469</v>
      </c>
      <c r="B470" t="inlineStr">
        <is>
          <t>279745905369</t>
        </is>
      </c>
      <c r="D470" t="inlineStr">
        <is>
          <t>WPEngine Hosting</t>
        </is>
      </c>
      <c r="E470" t="inlineStr">
        <is>
          <t>Sacramento Regional Transit District</t>
        </is>
      </c>
      <c r="F470" t="inlineStr">
        <is>
          <t>California</t>
        </is>
      </c>
      <c r="G470" t="inlineStr">
        <is>
          <t>Submitted</t>
        </is>
      </c>
      <c r="H470" t="inlineStr">
        <is>
          <t>No</t>
        </is>
      </c>
      <c r="J470" s="96" t="n">
        <v>46065</v>
      </c>
      <c r="K470" s="96" t="n">
        <v>46065</v>
      </c>
      <c r="L470" s="65" t="n">
        <v>15607</v>
      </c>
      <c r="M470" t="inlineStr">
        <is>
          <t>Reseller</t>
        </is>
      </c>
      <c r="N470" t="inlineStr">
        <is>
          <t>Portal</t>
        </is>
      </c>
      <c r="O470" t="inlineStr">
        <is>
          <t>Savya Atrey</t>
        </is>
      </c>
      <c r="Y470" t="inlineStr">
        <is>
          <t>2026-02-03</t>
        </is>
      </c>
      <c r="Z470" t="inlineStr">
        <is>
          <t>https://app.hubspot.com/contacts/243046792/record/0-3/279745905369</t>
        </is>
      </c>
    </row>
    <row r="471">
      <c r="A471" t="n">
        <v>470</v>
      </c>
      <c r="B471" t="inlineStr">
        <is>
          <t>271450900190</t>
        </is>
      </c>
      <c r="C471" t="inlineStr">
        <is>
          <t>03-26</t>
        </is>
      </c>
      <c r="D471" t="inlineStr">
        <is>
          <t>IT Managed Services</t>
        </is>
      </c>
      <c r="E471" t="inlineStr">
        <is>
          <t>Brookdale Community College</t>
        </is>
      </c>
      <c r="F471" t="inlineStr">
        <is>
          <t>New Jersey</t>
        </is>
      </c>
      <c r="G471" t="inlineStr">
        <is>
          <t>Closed Lost</t>
        </is>
      </c>
      <c r="H471" t="inlineStr">
        <is>
          <t>No</t>
        </is>
      </c>
      <c r="J471" s="96" t="n">
        <v>46290</v>
      </c>
      <c r="K471" s="96" t="n">
        <v>46065</v>
      </c>
      <c r="M471" t="inlineStr">
        <is>
          <t>Managed Services (MSP)</t>
        </is>
      </c>
      <c r="N471" t="inlineStr">
        <is>
          <t>Offline</t>
        </is>
      </c>
      <c r="O471" t="inlineStr">
        <is>
          <t>Jyothsna Nanda kishore</t>
        </is>
      </c>
      <c r="Y471" t="inlineStr">
        <is>
          <t>2026-01-23</t>
        </is>
      </c>
      <c r="Z471" t="inlineStr">
        <is>
          <t>https://app.hubspot.com/contacts/243046792/record/0-3/271450900190</t>
        </is>
      </c>
    </row>
    <row r="472">
      <c r="A472" t="n">
        <v>471</v>
      </c>
      <c r="B472" t="inlineStr">
        <is>
          <t>282986204884</t>
        </is>
      </c>
      <c r="C472" t="inlineStr">
        <is>
          <t>RFP-RH-26-004</t>
        </is>
      </c>
      <c r="D472" t="inlineStr">
        <is>
          <t>GIS Consulting Services</t>
        </is>
      </c>
      <c r="E472" t="inlineStr">
        <is>
          <t>City of Rochester Hills</t>
        </is>
      </c>
      <c r="F472" t="inlineStr">
        <is>
          <t>Michigan</t>
        </is>
      </c>
      <c r="G472" t="inlineStr">
        <is>
          <t>Submitted</t>
        </is>
      </c>
      <c r="H472" t="inlineStr">
        <is>
          <t>No</t>
        </is>
      </c>
      <c r="J472" s="96" t="n">
        <v>46065</v>
      </c>
      <c r="K472" s="96" t="n">
        <v>46065</v>
      </c>
      <c r="M472" t="inlineStr">
        <is>
          <t>Consulting;Modernization / Migration</t>
        </is>
      </c>
      <c r="O472" t="inlineStr">
        <is>
          <t>Abhishek Zalani</t>
        </is>
      </c>
      <c r="Y472" t="inlineStr">
        <is>
          <t>2026-02-02</t>
        </is>
      </c>
      <c r="Z472" t="inlineStr">
        <is>
          <t>https://app.hubspot.com/contacts/243046792/record/0-3/282986204884</t>
        </is>
      </c>
    </row>
    <row r="473">
      <c r="A473" t="n">
        <v>472</v>
      </c>
      <c r="B473" t="inlineStr">
        <is>
          <t>267448763113</t>
        </is>
      </c>
      <c r="D473" t="inlineStr">
        <is>
          <t>Data Privacy, Security, and AI Use Policy Development</t>
        </is>
      </c>
      <c r="E473" t="inlineStr">
        <is>
          <t>City of Kyle</t>
        </is>
      </c>
      <c r="F473" t="inlineStr">
        <is>
          <t>Texas</t>
        </is>
      </c>
      <c r="G473" t="inlineStr">
        <is>
          <t>Submitted</t>
        </is>
      </c>
      <c r="H473" t="inlineStr">
        <is>
          <t>No</t>
        </is>
      </c>
      <c r="J473" s="96" t="n">
        <v>46065</v>
      </c>
      <c r="K473" s="96" t="n">
        <v>46065</v>
      </c>
      <c r="M473" t="inlineStr">
        <is>
          <t>Consulting</t>
        </is>
      </c>
      <c r="O473" t="inlineStr">
        <is>
          <t>Savya Atrey</t>
        </is>
      </c>
      <c r="Y473" t="inlineStr">
        <is>
          <t>2026-01-21</t>
        </is>
      </c>
      <c r="Z473" t="inlineStr">
        <is>
          <t>https://app.hubspot.com/contacts/243046792/record/0-3/267448763113</t>
        </is>
      </c>
    </row>
    <row r="474">
      <c r="A474" t="n">
        <v>473</v>
      </c>
      <c r="B474" t="inlineStr">
        <is>
          <t>277951244006</t>
        </is>
      </c>
      <c r="D474" t="inlineStr">
        <is>
          <t>City of Kenai - IT Disaster Response Plan</t>
        </is>
      </c>
      <c r="E474" t="inlineStr">
        <is>
          <t>City of Kenai</t>
        </is>
      </c>
      <c r="F474" t="inlineStr">
        <is>
          <t>Alaska</t>
        </is>
      </c>
      <c r="G474" t="inlineStr">
        <is>
          <t>Closed Won</t>
        </is>
      </c>
      <c r="H474" t="inlineStr">
        <is>
          <t>No</t>
        </is>
      </c>
      <c r="J474" s="96" t="n">
        <v>46097</v>
      </c>
      <c r="K474" s="96" t="n">
        <v>46065</v>
      </c>
      <c r="L474" s="65" t="n">
        <v>16800</v>
      </c>
      <c r="M474" t="inlineStr">
        <is>
          <t>Consulting</t>
        </is>
      </c>
      <c r="N474" t="inlineStr">
        <is>
          <t>Offline</t>
        </is>
      </c>
      <c r="O474" t="inlineStr">
        <is>
          <t>Abhishek Zalani</t>
        </is>
      </c>
      <c r="S474" t="inlineStr">
        <is>
          <t>2026-02-24</t>
        </is>
      </c>
      <c r="U474" s="96" t="n">
        <v>46100</v>
      </c>
      <c r="V474" t="inlineStr">
        <is>
          <t>Awarded</t>
        </is>
      </c>
      <c r="Y474" t="inlineStr">
        <is>
          <t>2026-01-29</t>
        </is>
      </c>
      <c r="Z474" t="inlineStr">
        <is>
          <t>https://app.hubspot.com/contacts/243046792/record/0-3/277951244006</t>
        </is>
      </c>
      <c r="AA474" t="inlineStr">
        <is>
          <t>Yes</t>
        </is>
      </c>
    </row>
    <row r="475">
      <c r="A475" t="n">
        <v>474</v>
      </c>
      <c r="B475" t="inlineStr">
        <is>
          <t>237752687329</t>
        </is>
      </c>
      <c r="C475" t="inlineStr">
        <is>
          <t>RFP-VC-25-014</t>
        </is>
      </c>
      <c r="D475" t="inlineStr">
        <is>
          <t>Enterprise Asset Management (EAM) System</t>
        </is>
      </c>
      <c r="E475" t="inlineStr">
        <is>
          <t>Inland Empire Utilities Agency</t>
        </is>
      </c>
      <c r="F475" t="inlineStr">
        <is>
          <t>California</t>
        </is>
      </c>
      <c r="G475" t="inlineStr">
        <is>
          <t>Closed Lost</t>
        </is>
      </c>
      <c r="H475" t="inlineStr">
        <is>
          <t>No</t>
        </is>
      </c>
      <c r="J475" s="96" t="n">
        <v>46129</v>
      </c>
      <c r="K475" s="96" t="n">
        <v>46065</v>
      </c>
      <c r="M475" t="inlineStr">
        <is>
          <t>Platform Implementation (ERP, CRMs)</t>
        </is>
      </c>
      <c r="N475" t="inlineStr">
        <is>
          <t>Portal</t>
        </is>
      </c>
      <c r="O475" t="inlineStr">
        <is>
          <t>Ashutosh Chauhan</t>
        </is>
      </c>
      <c r="Y475" t="inlineStr">
        <is>
          <t>2025-12-11</t>
        </is>
      </c>
      <c r="Z475" t="inlineStr">
        <is>
          <t>https://app.hubspot.com/contacts/243046792/record/0-3/237752687329</t>
        </is>
      </c>
    </row>
    <row r="476">
      <c r="A476" t="n">
        <v>475</v>
      </c>
      <c r="B476" t="inlineStr">
        <is>
          <t>284918952655</t>
        </is>
      </c>
      <c r="D476" t="inlineStr">
        <is>
          <t>Network Monitoring Tool Software</t>
        </is>
      </c>
      <c r="E476" t="inlineStr">
        <is>
          <t>LA County- Internal Services Department</t>
        </is>
      </c>
      <c r="F476" t="inlineStr">
        <is>
          <t>California</t>
        </is>
      </c>
      <c r="G476" t="inlineStr">
        <is>
          <t>Submitted</t>
        </is>
      </c>
      <c r="H476" t="inlineStr">
        <is>
          <t>No</t>
        </is>
      </c>
      <c r="J476" s="96" t="n">
        <v>46066</v>
      </c>
      <c r="K476" s="96" t="n">
        <v>46066</v>
      </c>
      <c r="M476" t="inlineStr">
        <is>
          <t>Platform Implementation (ERP, CRMs)</t>
        </is>
      </c>
      <c r="O476" t="inlineStr">
        <is>
          <t>Ashutosh Chauhan</t>
        </is>
      </c>
      <c r="Y476" t="inlineStr">
        <is>
          <t>2026-02-03</t>
        </is>
      </c>
      <c r="Z476" t="inlineStr">
        <is>
          <t>https://app.hubspot.com/contacts/243046792/record/0-3/284918952655</t>
        </is>
      </c>
    </row>
    <row r="477">
      <c r="A477" t="n">
        <v>476</v>
      </c>
      <c r="B477" t="inlineStr">
        <is>
          <t>270519938771</t>
        </is>
      </c>
      <c r="D477" t="inlineStr">
        <is>
          <t>Information Technology Security Audit Services</t>
        </is>
      </c>
      <c r="E477" t="inlineStr">
        <is>
          <t>Memorial Healthcare System</t>
        </is>
      </c>
      <c r="F477" t="inlineStr">
        <is>
          <t>Florida</t>
        </is>
      </c>
      <c r="G477" t="inlineStr">
        <is>
          <t>Closed Lost</t>
        </is>
      </c>
      <c r="H477" t="inlineStr">
        <is>
          <t>No</t>
        </is>
      </c>
      <c r="J477" s="96" t="n">
        <v>46289</v>
      </c>
      <c r="K477" s="96" t="n">
        <v>46066</v>
      </c>
      <c r="L477" s="65" t="n">
        <v>220000</v>
      </c>
      <c r="M477" t="inlineStr">
        <is>
          <t>Audits and Assessment</t>
        </is>
      </c>
      <c r="N477" t="inlineStr">
        <is>
          <t>Portal</t>
        </is>
      </c>
      <c r="O477" t="inlineStr">
        <is>
          <t>Ashutosh Chauhan</t>
        </is>
      </c>
      <c r="Y477" t="inlineStr">
        <is>
          <t>2026-01-22</t>
        </is>
      </c>
      <c r="Z477" t="inlineStr">
        <is>
          <t>https://app.hubspot.com/contacts/243046792/record/0-3/270519938771</t>
        </is>
      </c>
    </row>
    <row r="478">
      <c r="A478" t="n">
        <v>477</v>
      </c>
      <c r="B478" t="inlineStr">
        <is>
          <t>270519938755</t>
        </is>
      </c>
      <c r="D478" t="inlineStr">
        <is>
          <t>DNN Website Maintenance &amp; Support</t>
        </is>
      </c>
      <c r="E478" t="inlineStr">
        <is>
          <t>City of Allentown</t>
        </is>
      </c>
      <c r="F478" t="inlineStr">
        <is>
          <t>Pennsylvania</t>
        </is>
      </c>
      <c r="G478" t="inlineStr">
        <is>
          <t>RFx Cancelled</t>
        </is>
      </c>
      <c r="H478" t="inlineStr">
        <is>
          <t>No</t>
        </is>
      </c>
      <c r="J478" s="96" t="n">
        <v>46066</v>
      </c>
      <c r="K478" s="96" t="n">
        <v>46066</v>
      </c>
      <c r="M478" t="inlineStr">
        <is>
          <t>Modernization / Migration</t>
        </is>
      </c>
      <c r="N478" t="inlineStr">
        <is>
          <t>Portal</t>
        </is>
      </c>
      <c r="O478" t="inlineStr">
        <is>
          <t>Ashutosh Chauhan</t>
        </is>
      </c>
      <c r="Y478" s="96" t="n">
        <v>46044</v>
      </c>
      <c r="Z478" t="inlineStr">
        <is>
          <t>https://app.hubspot.com/contacts/243046792/record/0-3/270519938755</t>
        </is>
      </c>
    </row>
    <row r="479">
      <c r="A479" t="n">
        <v>478</v>
      </c>
      <c r="B479" t="inlineStr">
        <is>
          <t>257226026740</t>
        </is>
      </c>
      <c r="D479" t="inlineStr">
        <is>
          <t>IT Consulting Services: Assessment and Roadmap</t>
        </is>
      </c>
      <c r="E479" t="inlineStr">
        <is>
          <t>City of Aspen</t>
        </is>
      </c>
      <c r="F479" t="inlineStr">
        <is>
          <t>Colorado</t>
        </is>
      </c>
      <c r="G479" t="inlineStr">
        <is>
          <t>Submitted</t>
        </is>
      </c>
      <c r="H479" t="inlineStr">
        <is>
          <t>No</t>
        </is>
      </c>
      <c r="J479" s="96" t="n">
        <v>46066</v>
      </c>
      <c r="K479" s="96" t="n">
        <v>46066</v>
      </c>
      <c r="M479" t="inlineStr">
        <is>
          <t>Consulting</t>
        </is>
      </c>
      <c r="O479" t="inlineStr">
        <is>
          <t>Savya Atrey</t>
        </is>
      </c>
      <c r="Y479" t="inlineStr">
        <is>
          <t>2026-01-08</t>
        </is>
      </c>
      <c r="Z479" t="inlineStr">
        <is>
          <t>https://app.hubspot.com/contacts/243046792/record/0-3/257226026740</t>
        </is>
      </c>
    </row>
    <row r="480">
      <c r="A480" t="n">
        <v>479</v>
      </c>
      <c r="B480" t="inlineStr">
        <is>
          <t>271508120250</t>
        </is>
      </c>
      <c r="D480" t="inlineStr">
        <is>
          <t>Managed IT Services</t>
        </is>
      </c>
      <c r="E480" t="inlineStr">
        <is>
          <t xml:space="preserve">City of Lake Forest </t>
        </is>
      </c>
      <c r="F480" t="inlineStr">
        <is>
          <t>California</t>
        </is>
      </c>
      <c r="G480" t="inlineStr">
        <is>
          <t>Submitted</t>
        </is>
      </c>
      <c r="H480" t="inlineStr">
        <is>
          <t>No</t>
        </is>
      </c>
      <c r="J480" s="96" t="n">
        <v>46066</v>
      </c>
      <c r="K480" s="96" t="n">
        <v>46066</v>
      </c>
      <c r="M480" t="inlineStr">
        <is>
          <t>Managed Services (MSP)</t>
        </is>
      </c>
      <c r="N480" t="inlineStr">
        <is>
          <t>Portal</t>
        </is>
      </c>
      <c r="O480" t="inlineStr">
        <is>
          <t>Jyothsna Nanda kishore</t>
        </is>
      </c>
      <c r="Y480" t="inlineStr">
        <is>
          <t>2026-01-23</t>
        </is>
      </c>
      <c r="Z480" t="inlineStr">
        <is>
          <t>https://app.hubspot.com/contacts/243046792/record/0-3/271508120250</t>
        </is>
      </c>
    </row>
    <row r="481">
      <c r="A481" t="n">
        <v>480</v>
      </c>
      <c r="B481" t="inlineStr">
        <is>
          <t>260627880683</t>
        </is>
      </c>
      <c r="D481" t="inlineStr">
        <is>
          <t>Oracle Reporting &amp; Analytics Solution</t>
        </is>
      </c>
      <c r="E481" t="inlineStr">
        <is>
          <t>Greenville County Schools</t>
        </is>
      </c>
      <c r="F481" t="inlineStr">
        <is>
          <t>South Carolina</t>
        </is>
      </c>
      <c r="G481" t="inlineStr">
        <is>
          <t>Submitted</t>
        </is>
      </c>
      <c r="H481" t="inlineStr">
        <is>
          <t>No</t>
        </is>
      </c>
      <c r="J481" s="96" t="n">
        <v>46066</v>
      </c>
      <c r="K481" s="96" t="n">
        <v>46066</v>
      </c>
      <c r="M481" t="inlineStr">
        <is>
          <t>Platform Implementation (ERP, CRMs)</t>
        </is>
      </c>
      <c r="O481" t="inlineStr">
        <is>
          <t>Abhishek Zalani</t>
        </is>
      </c>
      <c r="Y481" t="inlineStr">
        <is>
          <t>2026-01-13</t>
        </is>
      </c>
      <c r="Z481" t="inlineStr">
        <is>
          <t>https://app.hubspot.com/contacts/243046792/record/0-3/260627880683</t>
        </is>
      </c>
    </row>
    <row r="482">
      <c r="A482" t="n">
        <v>481</v>
      </c>
      <c r="B482" t="inlineStr">
        <is>
          <t>277652556497</t>
        </is>
      </c>
      <c r="D482" t="inlineStr">
        <is>
          <t>ServiceNow Development and Implementation Consultant</t>
        </is>
      </c>
      <c r="E482" t="inlineStr">
        <is>
          <t>Seattle Public Schools</t>
        </is>
      </c>
      <c r="F482" t="inlineStr">
        <is>
          <t>Washington</t>
        </is>
      </c>
      <c r="G482" t="inlineStr">
        <is>
          <t>RFx Cancelled</t>
        </is>
      </c>
      <c r="H482" t="inlineStr">
        <is>
          <t>No</t>
        </is>
      </c>
      <c r="J482" s="96" t="n">
        <v>46066</v>
      </c>
      <c r="K482" s="96" t="n">
        <v>46066</v>
      </c>
      <c r="M482" t="inlineStr">
        <is>
          <t>Consulting</t>
        </is>
      </c>
      <c r="N482" t="inlineStr">
        <is>
          <t>Email</t>
        </is>
      </c>
      <c r="O482" t="inlineStr">
        <is>
          <t>Jyothsna Nanda kishore</t>
        </is>
      </c>
      <c r="Y482" t="inlineStr">
        <is>
          <t>2026-01-29</t>
        </is>
      </c>
      <c r="Z482" t="inlineStr">
        <is>
          <t>https://app.hubspot.com/contacts/243046792/record/0-3/277652556497</t>
        </is>
      </c>
    </row>
    <row r="483">
      <c r="A483" t="n">
        <v>482</v>
      </c>
      <c r="B483" t="inlineStr">
        <is>
          <t>275790527210</t>
        </is>
      </c>
      <c r="C483" t="inlineStr">
        <is>
          <t>RFP 26-10</t>
        </is>
      </c>
      <c r="D483" t="inlineStr">
        <is>
          <t>Fractional Information Technology Leadership</t>
        </is>
      </c>
      <c r="E483" t="inlineStr">
        <is>
          <t>St. Mary's County Health Department</t>
        </is>
      </c>
      <c r="F483" t="inlineStr">
        <is>
          <t>Maryland</t>
        </is>
      </c>
      <c r="G483" t="inlineStr">
        <is>
          <t>RFx Cancelled</t>
        </is>
      </c>
      <c r="H483" t="inlineStr">
        <is>
          <t>No</t>
        </is>
      </c>
      <c r="J483" s="96" t="n">
        <v>46066</v>
      </c>
      <c r="K483" s="96" t="n">
        <v>46066</v>
      </c>
      <c r="M483" t="inlineStr">
        <is>
          <t>Staff Augmentation</t>
        </is>
      </c>
      <c r="O483" t="inlineStr">
        <is>
          <t>Ashutosh Chauhan</t>
        </is>
      </c>
      <c r="Y483" t="inlineStr">
        <is>
          <t>2026-01-27</t>
        </is>
      </c>
      <c r="Z483" t="inlineStr">
        <is>
          <t>https://app.hubspot.com/contacts/243046792/record/0-3/275790527210</t>
        </is>
      </c>
    </row>
    <row r="484">
      <c r="A484" t="n">
        <v>483</v>
      </c>
      <c r="B484" t="inlineStr">
        <is>
          <t>246431989451</t>
        </is>
      </c>
      <c r="D484" t="inlineStr">
        <is>
          <t xml:space="preserve">Information Technology Managed Services and Operational Support </t>
        </is>
      </c>
      <c r="E484" t="inlineStr">
        <is>
          <t xml:space="preserve">Capital Regional Transportation Council </t>
        </is>
      </c>
      <c r="F484" t="inlineStr">
        <is>
          <t>New York</t>
        </is>
      </c>
      <c r="G484" t="inlineStr">
        <is>
          <t>Submitted</t>
        </is>
      </c>
      <c r="H484" t="inlineStr">
        <is>
          <t>No</t>
        </is>
      </c>
      <c r="J484" s="96" t="n">
        <v>46066</v>
      </c>
      <c r="K484" s="96" t="n">
        <v>46066</v>
      </c>
      <c r="M484" t="inlineStr">
        <is>
          <t>Managed Services (MSP)</t>
        </is>
      </c>
      <c r="O484" t="inlineStr">
        <is>
          <t>Savya Atrey</t>
        </is>
      </c>
      <c r="Y484" t="inlineStr">
        <is>
          <t>2025-12-22</t>
        </is>
      </c>
      <c r="Z484" t="inlineStr">
        <is>
          <t>https://app.hubspot.com/contacts/243046792/record/0-3/246431989451</t>
        </is>
      </c>
    </row>
    <row r="485">
      <c r="A485" t="n">
        <v>484</v>
      </c>
      <c r="B485" t="inlineStr">
        <is>
          <t>261931261661</t>
        </is>
      </c>
      <c r="C485" t="inlineStr">
        <is>
          <t>10219</t>
        </is>
      </c>
      <c r="D485" t="inlineStr">
        <is>
          <t>Community Services Asset Management Software</t>
        </is>
      </c>
      <c r="E485" t="inlineStr">
        <is>
          <t>City of Fort Collins</t>
        </is>
      </c>
      <c r="F485" t="inlineStr">
        <is>
          <t>Colorado</t>
        </is>
      </c>
      <c r="G485" t="inlineStr">
        <is>
          <t>Closed Lost</t>
        </is>
      </c>
      <c r="H485" t="inlineStr">
        <is>
          <t>No</t>
        </is>
      </c>
      <c r="J485" s="96" t="n">
        <v>46127</v>
      </c>
      <c r="K485" s="96" t="n">
        <v>46066</v>
      </c>
      <c r="L485" s="65" t="n">
        <v>382447</v>
      </c>
      <c r="M485" t="inlineStr">
        <is>
          <t>Platform Implementation (ERP, CRMs)</t>
        </is>
      </c>
      <c r="O485" t="inlineStr">
        <is>
          <t>Ashutosh Chauhan</t>
        </is>
      </c>
      <c r="Y485" t="inlineStr">
        <is>
          <t>2026-01-14</t>
        </is>
      </c>
      <c r="Z485" t="inlineStr">
        <is>
          <t>https://app.hubspot.com/contacts/243046792/record/0-3/261931261661</t>
        </is>
      </c>
    </row>
    <row r="486">
      <c r="A486" t="n">
        <v>485</v>
      </c>
      <c r="B486" t="inlineStr">
        <is>
          <t>296279908039</t>
        </is>
      </c>
      <c r="D486" t="inlineStr">
        <is>
          <t>Database to Improve School Meals</t>
        </is>
      </c>
      <c r="E486" t="inlineStr">
        <is>
          <t>Nourish Colorado</t>
        </is>
      </c>
      <c r="F486" t="inlineStr">
        <is>
          <t>Colorado</t>
        </is>
      </c>
      <c r="G486" t="inlineStr">
        <is>
          <t>Closed Lost</t>
        </is>
      </c>
      <c r="H486" t="inlineStr">
        <is>
          <t>No</t>
        </is>
      </c>
      <c r="J486" s="96" t="n">
        <v>46133</v>
      </c>
      <c r="K486" s="96" t="n">
        <v>46066</v>
      </c>
      <c r="L486" s="65" t="n">
        <v>33000</v>
      </c>
      <c r="M486" t="inlineStr">
        <is>
          <t>Platform Implementation (ERP, CRMs)</t>
        </is>
      </c>
      <c r="O486" t="inlineStr">
        <is>
          <t>Jyothsna Nanda kishore</t>
        </is>
      </c>
      <c r="Y486" t="inlineStr">
        <is>
          <t>2026-02-13</t>
        </is>
      </c>
      <c r="Z486" t="inlineStr">
        <is>
          <t>https://app.hubspot.com/contacts/243046792/record/0-3/296279908039</t>
        </is>
      </c>
    </row>
    <row r="487">
      <c r="A487" t="n">
        <v>486</v>
      </c>
      <c r="B487" t="inlineStr">
        <is>
          <t>278519758523</t>
        </is>
      </c>
      <c r="D487" t="inlineStr">
        <is>
          <t>Colorado Wholesale Producer Directory – Database&amp; Integration BuildDatabase &amp; Integration Build</t>
        </is>
      </c>
      <c r="E487" t="inlineStr">
        <is>
          <t>Provecho Collective</t>
        </is>
      </c>
      <c r="F487" t="inlineStr">
        <is>
          <t>Colorado</t>
        </is>
      </c>
      <c r="G487" t="inlineStr">
        <is>
          <t>Closed Lost</t>
        </is>
      </c>
      <c r="H487" t="inlineStr">
        <is>
          <t>No</t>
        </is>
      </c>
      <c r="J487" s="96" t="n">
        <v>46133</v>
      </c>
      <c r="K487" s="96" t="n">
        <v>46066</v>
      </c>
      <c r="L487" s="65" t="n">
        <v>33600</v>
      </c>
      <c r="M487" t="inlineStr">
        <is>
          <t>Platform Implementation (ERP, CRMs)</t>
        </is>
      </c>
      <c r="O487" t="inlineStr">
        <is>
          <t>Jyothsna Nanda kishore</t>
        </is>
      </c>
      <c r="Y487" t="inlineStr">
        <is>
          <t>2026-01-30</t>
        </is>
      </c>
      <c r="Z487" t="inlineStr">
        <is>
          <t>https://app.hubspot.com/contacts/243046792/record/0-3/278519758523</t>
        </is>
      </c>
    </row>
    <row r="488">
      <c r="A488" t="n">
        <v>487</v>
      </c>
      <c r="B488" t="inlineStr">
        <is>
          <t>270519938782</t>
        </is>
      </c>
      <c r="C488" t="inlineStr">
        <is>
          <t>2624RFP</t>
        </is>
      </c>
      <c r="D488" t="inlineStr">
        <is>
          <t>City of Daytona Beach Interactive Digital Platform</t>
        </is>
      </c>
      <c r="E488" t="inlineStr">
        <is>
          <t>City of Daytona Beach</t>
        </is>
      </c>
      <c r="F488" t="inlineStr">
        <is>
          <t>Florida</t>
        </is>
      </c>
      <c r="G488" t="inlineStr">
        <is>
          <t>Closed Lost</t>
        </is>
      </c>
      <c r="H488" t="inlineStr">
        <is>
          <t>No</t>
        </is>
      </c>
      <c r="J488" s="96" t="n">
        <v>46154</v>
      </c>
      <c r="K488" s="96" t="n">
        <v>46070</v>
      </c>
      <c r="L488" t="n">
        <v>894750</v>
      </c>
      <c r="M488" t="inlineStr">
        <is>
          <t>Platform Implementation (ERP, CRMs)</t>
        </is>
      </c>
      <c r="N488" t="inlineStr">
        <is>
          <t>Portal</t>
        </is>
      </c>
      <c r="O488" t="inlineStr">
        <is>
          <t>Ashutosh Chauhan</t>
        </is>
      </c>
      <c r="Y488" t="inlineStr">
        <is>
          <t>2026-01-22</t>
        </is>
      </c>
      <c r="Z488" t="inlineStr">
        <is>
          <t>https://app.hubspot.com/contacts/243046792/record/0-3/270519938782</t>
        </is>
      </c>
    </row>
    <row r="489">
      <c r="A489" t="n">
        <v>488</v>
      </c>
      <c r="B489" t="inlineStr">
        <is>
          <t>269389188808</t>
        </is>
      </c>
      <c r="D489" t="inlineStr">
        <is>
          <t>SAP S/4HANA SUCCESS FACTORS SERVICES</t>
        </is>
      </c>
      <c r="E489" t="inlineStr">
        <is>
          <t>NAVAJO TRIBAL UTILITY AUTHORITY</t>
        </is>
      </c>
      <c r="F489" t="inlineStr">
        <is>
          <t>Arizona</t>
        </is>
      </c>
      <c r="G489" t="inlineStr">
        <is>
          <t>Submitted</t>
        </is>
      </c>
      <c r="H489" t="inlineStr">
        <is>
          <t>No</t>
        </is>
      </c>
      <c r="J489" s="96" t="n">
        <v>46070</v>
      </c>
      <c r="K489" s="96" t="n">
        <v>46070</v>
      </c>
      <c r="L489" s="65" t="n">
        <v>747565</v>
      </c>
      <c r="M489" t="inlineStr">
        <is>
          <t>Modernization / Migration</t>
        </is>
      </c>
      <c r="N489" t="inlineStr">
        <is>
          <t>Email</t>
        </is>
      </c>
      <c r="O489" t="inlineStr">
        <is>
          <t>Jyothsna Nanda kishore</t>
        </is>
      </c>
      <c r="Y489" t="inlineStr">
        <is>
          <t>2026-01-22</t>
        </is>
      </c>
      <c r="Z489" t="inlineStr">
        <is>
          <t>https://app.hubspot.com/contacts/243046792/record/0-3/269389188808</t>
        </is>
      </c>
    </row>
    <row r="490">
      <c r="A490" t="n">
        <v>489</v>
      </c>
      <c r="B490" t="inlineStr">
        <is>
          <t>269511941853</t>
        </is>
      </c>
      <c r="D490" t="inlineStr">
        <is>
          <t>SAP S/4HANA MIGRATION SERVICES</t>
        </is>
      </c>
      <c r="E490" t="inlineStr">
        <is>
          <t>NAVAJO TRIBAL UTILITY AUTHORITY</t>
        </is>
      </c>
      <c r="F490" t="inlineStr">
        <is>
          <t>Arizona</t>
        </is>
      </c>
      <c r="G490" t="inlineStr">
        <is>
          <t>Submitted</t>
        </is>
      </c>
      <c r="H490" t="inlineStr">
        <is>
          <t>No</t>
        </is>
      </c>
      <c r="J490" s="96" t="n">
        <v>46070</v>
      </c>
      <c r="K490" s="96" t="n">
        <v>46070</v>
      </c>
      <c r="L490" s="65" t="n">
        <v>707105</v>
      </c>
      <c r="M490" t="inlineStr">
        <is>
          <t>Modernization / Migration</t>
        </is>
      </c>
      <c r="N490" t="inlineStr">
        <is>
          <t>Email</t>
        </is>
      </c>
      <c r="O490" t="inlineStr">
        <is>
          <t>Jyothsna Nanda kishore</t>
        </is>
      </c>
      <c r="Y490" t="inlineStr">
        <is>
          <t>2026-01-22</t>
        </is>
      </c>
      <c r="Z490" t="inlineStr">
        <is>
          <t>https://app.hubspot.com/contacts/243046792/record/0-3/269511941853</t>
        </is>
      </c>
    </row>
    <row r="491">
      <c r="A491" t="n">
        <v>490</v>
      </c>
      <c r="B491" t="inlineStr">
        <is>
          <t>277951244020</t>
        </is>
      </c>
      <c r="C491" t="inlineStr">
        <is>
          <t>2026-GA-04</t>
        </is>
      </c>
      <c r="D491" t="inlineStr">
        <is>
          <t>Drupal Web Development and Maintenance Services</t>
        </is>
      </c>
      <c r="E491" t="inlineStr">
        <is>
          <t>Massachusetts Technology Collaborative</t>
        </is>
      </c>
      <c r="F491" t="inlineStr">
        <is>
          <t>Massachusetts</t>
        </is>
      </c>
      <c r="G491" t="inlineStr">
        <is>
          <t>Submitted</t>
        </is>
      </c>
      <c r="H491" t="inlineStr">
        <is>
          <t>No</t>
        </is>
      </c>
      <c r="J491" s="96" t="n">
        <v>46070</v>
      </c>
      <c r="K491" s="96" t="n">
        <v>46070</v>
      </c>
      <c r="L491" s="65" t="n">
        <v>88480</v>
      </c>
      <c r="M491" t="inlineStr">
        <is>
          <t>Support &amp; Maintenance</t>
        </is>
      </c>
      <c r="N491" t="inlineStr">
        <is>
          <t>Email</t>
        </is>
      </c>
      <c r="O491" t="inlineStr">
        <is>
          <t>Abhishek Zalani</t>
        </is>
      </c>
      <c r="Y491" t="inlineStr">
        <is>
          <t>2026-01-29</t>
        </is>
      </c>
      <c r="Z491" t="inlineStr">
        <is>
          <t>https://app.hubspot.com/contacts/243046792/record/0-3/277951244020</t>
        </is>
      </c>
    </row>
    <row r="492">
      <c r="A492" t="n">
        <v>491</v>
      </c>
      <c r="B492" t="inlineStr">
        <is>
          <t>277951242989</t>
        </is>
      </c>
      <c r="C492" t="inlineStr">
        <is>
          <t>2026-014</t>
        </is>
      </c>
      <c r="D492" t="inlineStr">
        <is>
          <t>(OFFLINE) Professional Consulting Services for ERP System Selection</t>
        </is>
      </c>
      <c r="E492" t="inlineStr">
        <is>
          <t>Texas City</t>
        </is>
      </c>
      <c r="F492" t="inlineStr">
        <is>
          <t>Texas</t>
        </is>
      </c>
      <c r="G492" t="inlineStr">
        <is>
          <t>Submitted</t>
        </is>
      </c>
      <c r="H492" t="inlineStr">
        <is>
          <t>No</t>
        </is>
      </c>
      <c r="J492" s="96" t="n">
        <v>46071</v>
      </c>
      <c r="K492" s="96" t="n">
        <v>46070</v>
      </c>
      <c r="L492" s="65" t="n">
        <v>50000</v>
      </c>
      <c r="M492" t="inlineStr">
        <is>
          <t>Consulting</t>
        </is>
      </c>
      <c r="N492" t="inlineStr">
        <is>
          <t>Offline</t>
        </is>
      </c>
      <c r="O492" t="inlineStr">
        <is>
          <t>Abhishek Zalani</t>
        </is>
      </c>
      <c r="Y492" t="inlineStr">
        <is>
          <t>2026-01-29</t>
        </is>
      </c>
      <c r="Z492" t="inlineStr">
        <is>
          <t>https://app.hubspot.com/contacts/243046792/record/0-3/277951242989</t>
        </is>
      </c>
    </row>
    <row r="493">
      <c r="A493" t="n">
        <v>492</v>
      </c>
      <c r="B493" t="inlineStr">
        <is>
          <t>280744449774</t>
        </is>
      </c>
      <c r="C493" t="inlineStr">
        <is>
          <t>Event 12244-1</t>
        </is>
      </c>
      <c r="D493" t="inlineStr">
        <is>
          <t>Salesforce Implementation Code &amp; Zoning Enforcement RE-BID</t>
        </is>
      </c>
      <c r="E493" t="inlineStr">
        <is>
          <t>City of Greensboro</t>
        </is>
      </c>
      <c r="F493" t="inlineStr">
        <is>
          <t>North Carolina</t>
        </is>
      </c>
      <c r="G493" t="inlineStr">
        <is>
          <t>Closed Lost</t>
        </is>
      </c>
      <c r="H493" t="inlineStr">
        <is>
          <t>No</t>
        </is>
      </c>
      <c r="J493" s="96" t="n">
        <v>46091</v>
      </c>
      <c r="K493" s="96" t="n">
        <v>46070</v>
      </c>
      <c r="L493" s="65" t="n">
        <v>70430</v>
      </c>
      <c r="M493" t="inlineStr">
        <is>
          <t>Platform Implementation (ERP, CRMs)</t>
        </is>
      </c>
      <c r="N493" t="inlineStr">
        <is>
          <t>Portal</t>
        </is>
      </c>
      <c r="O493" t="inlineStr">
        <is>
          <t>Ashutosh Chauhan</t>
        </is>
      </c>
      <c r="Y493" t="inlineStr">
        <is>
          <t>2026-02-03</t>
        </is>
      </c>
      <c r="Z493" t="inlineStr">
        <is>
          <t>https://app.hubspot.com/contacts/243046792/record/0-3/280744449774</t>
        </is>
      </c>
    </row>
    <row r="494">
      <c r="A494" t="n">
        <v>493</v>
      </c>
      <c r="B494" t="inlineStr">
        <is>
          <t>260408042179</t>
        </is>
      </c>
      <c r="D494" t="inlineStr">
        <is>
          <t>IT Professional Services</t>
        </is>
      </c>
      <c r="E494" t="inlineStr">
        <is>
          <t>City of Long Beach</t>
        </is>
      </c>
      <c r="F494" t="inlineStr">
        <is>
          <t>California</t>
        </is>
      </c>
      <c r="G494" t="inlineStr">
        <is>
          <t>Closed Lost</t>
        </is>
      </c>
      <c r="H494" t="inlineStr">
        <is>
          <t>No</t>
        </is>
      </c>
      <c r="J494" s="96" t="n">
        <v>46134</v>
      </c>
      <c r="K494" s="96" t="n">
        <v>46070</v>
      </c>
      <c r="M494" t="inlineStr">
        <is>
          <t>Staff Augmentation</t>
        </is>
      </c>
      <c r="N494" t="inlineStr">
        <is>
          <t>Portal</t>
        </is>
      </c>
      <c r="O494" t="inlineStr">
        <is>
          <t>Jyothsna Nanda kishore</t>
        </is>
      </c>
      <c r="Y494" t="inlineStr">
        <is>
          <t>2026-01-13</t>
        </is>
      </c>
      <c r="Z494" t="inlineStr">
        <is>
          <t>https://app.hubspot.com/contacts/243046792/record/0-3/260408042179</t>
        </is>
      </c>
    </row>
    <row r="495">
      <c r="A495" t="n">
        <v>494</v>
      </c>
      <c r="B495" t="inlineStr">
        <is>
          <t>280744452794</t>
        </is>
      </c>
      <c r="D495" t="inlineStr">
        <is>
          <t>ADA Web Compliance and Remediation Service</t>
        </is>
      </c>
      <c r="E495" t="inlineStr">
        <is>
          <t>SUPERIOR COURT OF CALIFORNIA, COUNTY OF LOS ANGELES</t>
        </is>
      </c>
      <c r="F495" t="inlineStr">
        <is>
          <t>California</t>
        </is>
      </c>
      <c r="G495" t="inlineStr">
        <is>
          <t>Submitted</t>
        </is>
      </c>
      <c r="H495" t="inlineStr">
        <is>
          <t>No</t>
        </is>
      </c>
      <c r="J495" s="96" t="n">
        <v>46071</v>
      </c>
      <c r="K495" s="96" t="n">
        <v>46071</v>
      </c>
      <c r="L495" s="65" t="n">
        <v>36400</v>
      </c>
      <c r="M495" t="inlineStr">
        <is>
          <t>Consulting</t>
        </is>
      </c>
      <c r="N495" t="inlineStr">
        <is>
          <t>Portal</t>
        </is>
      </c>
      <c r="O495" t="inlineStr">
        <is>
          <t>Savya Atrey</t>
        </is>
      </c>
      <c r="Y495" t="inlineStr">
        <is>
          <t>2026-02-03</t>
        </is>
      </c>
      <c r="Z495" t="inlineStr">
        <is>
          <t>https://app.hubspot.com/contacts/243046792/record/0-3/280744452794</t>
        </is>
      </c>
    </row>
    <row r="496">
      <c r="A496" t="n">
        <v>495</v>
      </c>
      <c r="B496" t="inlineStr">
        <is>
          <t>277652548335</t>
        </is>
      </c>
      <c r="D496" t="inlineStr">
        <is>
          <t>Computerized Maintenance Management Systems (CMMS) Consulting Services</t>
        </is>
      </c>
      <c r="E496" t="inlineStr">
        <is>
          <t>Maryland Stadium Authority</t>
        </is>
      </c>
      <c r="F496" t="inlineStr">
        <is>
          <t>Maryland</t>
        </is>
      </c>
      <c r="G496" t="inlineStr">
        <is>
          <t>Closed Lost</t>
        </is>
      </c>
      <c r="H496" t="inlineStr">
        <is>
          <t>Yes</t>
        </is>
      </c>
      <c r="I496" t="inlineStr">
        <is>
          <t>Interview</t>
        </is>
      </c>
      <c r="J496" s="96" t="n">
        <v>46113</v>
      </c>
      <c r="K496" s="96" t="n">
        <v>46071</v>
      </c>
      <c r="L496" s="65" t="n">
        <v>196125</v>
      </c>
      <c r="M496" t="inlineStr">
        <is>
          <t>Consulting</t>
        </is>
      </c>
      <c r="N496" t="inlineStr">
        <is>
          <t>Portal;Email</t>
        </is>
      </c>
      <c r="O496" t="inlineStr">
        <is>
          <t>Jyothsna Nanda kishore</t>
        </is>
      </c>
      <c r="Q496" t="inlineStr">
        <is>
          <t>2026-03-23</t>
        </is>
      </c>
      <c r="Y496" t="inlineStr">
        <is>
          <t>2026-01-29</t>
        </is>
      </c>
      <c r="Z496" t="inlineStr">
        <is>
          <t>https://app.hubspot.com/contacts/243046792/record/0-3/277652548335</t>
        </is>
      </c>
    </row>
    <row r="497">
      <c r="A497" t="n">
        <v>496</v>
      </c>
      <c r="B497" t="inlineStr">
        <is>
          <t>279234879202</t>
        </is>
      </c>
      <c r="D497" t="inlineStr">
        <is>
          <t>Salesforce CRM Development and Consulting Services for Solid Waste &amp; Recycling</t>
        </is>
      </c>
      <c r="E497" t="inlineStr">
        <is>
          <t>Washington County Solid Waste &amp; Recycling (WCSWR)</t>
        </is>
      </c>
      <c r="F497" t="inlineStr">
        <is>
          <t>Minnesota</t>
        </is>
      </c>
      <c r="G497" t="inlineStr">
        <is>
          <t>Closed Lost</t>
        </is>
      </c>
      <c r="H497" t="inlineStr">
        <is>
          <t>No</t>
        </is>
      </c>
      <c r="J497" s="96" t="n">
        <v>46161</v>
      </c>
      <c r="K497" s="96" t="n">
        <v>46071</v>
      </c>
      <c r="M497" t="inlineStr">
        <is>
          <t>Consulting</t>
        </is>
      </c>
      <c r="O497" t="inlineStr">
        <is>
          <t>Ashutosh Chauhan</t>
        </is>
      </c>
      <c r="Y497" t="inlineStr">
        <is>
          <t>2026-01-30</t>
        </is>
      </c>
      <c r="Z497" t="inlineStr">
        <is>
          <t>https://app.hubspot.com/contacts/243046792/record/0-3/279234879202</t>
        </is>
      </c>
    </row>
    <row r="498">
      <c r="A498" t="n">
        <v>497</v>
      </c>
      <c r="B498" t="inlineStr">
        <is>
          <t>284825504473</t>
        </is>
      </c>
      <c r="D498" t="inlineStr">
        <is>
          <t>26-7722 Solarwinds Software</t>
        </is>
      </c>
      <c r="E498" t="inlineStr">
        <is>
          <t>Metropolitan Community College</t>
        </is>
      </c>
      <c r="F498" t="inlineStr">
        <is>
          <t>Missouri</t>
        </is>
      </c>
      <c r="G498" t="inlineStr">
        <is>
          <t>Submitted</t>
        </is>
      </c>
      <c r="H498" t="inlineStr">
        <is>
          <t>No</t>
        </is>
      </c>
      <c r="J498" s="96" t="n">
        <v>46072</v>
      </c>
      <c r="K498" s="96" t="n">
        <v>46072</v>
      </c>
      <c r="M498" t="inlineStr">
        <is>
          <t>Reseller</t>
        </is>
      </c>
      <c r="N498" t="inlineStr">
        <is>
          <t>Portal</t>
        </is>
      </c>
      <c r="O498" t="inlineStr">
        <is>
          <t>Jyothsna Nanda kishore</t>
        </is>
      </c>
      <c r="Y498" t="inlineStr">
        <is>
          <t>2026-02-03</t>
        </is>
      </c>
      <c r="Z498" t="inlineStr">
        <is>
          <t>https://app.hubspot.com/contacts/243046792/record/0-3/284825504473</t>
        </is>
      </c>
    </row>
    <row r="499">
      <c r="A499" t="n">
        <v>498</v>
      </c>
      <c r="B499" t="inlineStr">
        <is>
          <t>279239195374</t>
        </is>
      </c>
      <c r="D499" t="inlineStr">
        <is>
          <t>Veeam License and Support for Microsoft 365-Enterprise Plus</t>
        </is>
      </c>
      <c r="E499" t="inlineStr">
        <is>
          <t>Clark County Public Transportation Benefit Area (dba C-TRAN)</t>
        </is>
      </c>
      <c r="F499" t="inlineStr">
        <is>
          <t>Washington</t>
        </is>
      </c>
      <c r="G499" t="inlineStr">
        <is>
          <t>Submitted</t>
        </is>
      </c>
      <c r="H499" t="inlineStr">
        <is>
          <t>No</t>
        </is>
      </c>
      <c r="J499" s="96" t="n">
        <v>46072</v>
      </c>
      <c r="K499" s="96" t="n">
        <v>46072</v>
      </c>
      <c r="L499" s="65" t="n">
        <v>35100</v>
      </c>
      <c r="M499" t="inlineStr">
        <is>
          <t>Reseller</t>
        </is>
      </c>
      <c r="O499" t="inlineStr">
        <is>
          <t>Ashutosh Chauhan</t>
        </is>
      </c>
      <c r="Y499" t="inlineStr">
        <is>
          <t>2026-01-30</t>
        </is>
      </c>
      <c r="Z499" t="inlineStr">
        <is>
          <t>https://app.hubspot.com/contacts/243046792/record/0-3/279239195374</t>
        </is>
      </c>
    </row>
    <row r="500">
      <c r="A500" t="n">
        <v>499</v>
      </c>
      <c r="B500" t="inlineStr">
        <is>
          <t>267668363979</t>
        </is>
      </c>
      <c r="C500" t="inlineStr">
        <is>
          <t>RFP2526-02</t>
        </is>
      </c>
      <c r="D500" t="inlineStr">
        <is>
          <t>Systems Assessment</t>
        </is>
      </c>
      <c r="E500" t="inlineStr">
        <is>
          <t>Clackamas Community College</t>
        </is>
      </c>
      <c r="F500" t="inlineStr">
        <is>
          <t>Oregon</t>
        </is>
      </c>
      <c r="G500" t="inlineStr">
        <is>
          <t>Closed Lost</t>
        </is>
      </c>
      <c r="H500" t="inlineStr">
        <is>
          <t>No</t>
        </is>
      </c>
      <c r="J500" s="96" t="n">
        <v>46202</v>
      </c>
      <c r="K500" s="96" t="n">
        <v>46072</v>
      </c>
      <c r="L500" s="65" t="n">
        <v>186500</v>
      </c>
      <c r="M500" t="inlineStr">
        <is>
          <t>Audits and Assessment</t>
        </is>
      </c>
      <c r="N500" t="inlineStr">
        <is>
          <t>Email</t>
        </is>
      </c>
      <c r="O500" t="inlineStr">
        <is>
          <t>Ashutosh Chauhan</t>
        </is>
      </c>
      <c r="Y500" t="inlineStr">
        <is>
          <t>2026-01-22</t>
        </is>
      </c>
      <c r="Z500" t="inlineStr">
        <is>
          <t>https://app.hubspot.com/contacts/243046792/record/0-3/267668363979</t>
        </is>
      </c>
    </row>
    <row r="501">
      <c r="A501" t="n">
        <v>500</v>
      </c>
      <c r="B501" t="inlineStr">
        <is>
          <t>277854566098</t>
        </is>
      </c>
      <c r="D501" t="inlineStr">
        <is>
          <t xml:space="preserve">DATA ANALYTICS SERVICES (OFFICE OF INNOVATION, STRATEGY &amp; GOVERNANCE) </t>
        </is>
      </c>
      <c r="E501" t="inlineStr">
        <is>
          <t>Clarke County School District</t>
        </is>
      </c>
      <c r="F501" t="inlineStr">
        <is>
          <t>Georgia</t>
        </is>
      </c>
      <c r="G501" t="inlineStr">
        <is>
          <t>Submitted</t>
        </is>
      </c>
      <c r="H501" t="inlineStr">
        <is>
          <t>No</t>
        </is>
      </c>
      <c r="J501" s="96" t="n">
        <v>46072</v>
      </c>
      <c r="K501" s="96" t="n">
        <v>46072</v>
      </c>
      <c r="M501" t="inlineStr">
        <is>
          <t>Platform Implementation (ERP, CRMs)</t>
        </is>
      </c>
      <c r="N501" t="inlineStr">
        <is>
          <t>Email</t>
        </is>
      </c>
      <c r="O501" t="inlineStr">
        <is>
          <t>Ashutosh Chauhan</t>
        </is>
      </c>
      <c r="Y501" t="inlineStr">
        <is>
          <t>2026-01-29</t>
        </is>
      </c>
      <c r="Z501" t="inlineStr">
        <is>
          <t>https://app.hubspot.com/contacts/243046792/record/0-3/277854566098</t>
        </is>
      </c>
    </row>
    <row r="502">
      <c r="A502" t="n">
        <v>501</v>
      </c>
      <c r="B502" t="inlineStr">
        <is>
          <t>293206315769</t>
        </is>
      </c>
      <c r="D502" t="inlineStr">
        <is>
          <t>Project Management Information System (PMIS) Feasibility Study</t>
        </is>
      </c>
      <c r="E502" t="inlineStr">
        <is>
          <t>Community Transit</t>
        </is>
      </c>
      <c r="F502" t="inlineStr">
        <is>
          <t>Washington</t>
        </is>
      </c>
      <c r="G502" t="inlineStr">
        <is>
          <t>Closed Lost</t>
        </is>
      </c>
      <c r="H502" t="inlineStr">
        <is>
          <t>No</t>
        </is>
      </c>
      <c r="J502" s="96" t="n">
        <v>46154</v>
      </c>
      <c r="K502" s="96" t="n">
        <v>46072</v>
      </c>
      <c r="L502" s="65" t="n">
        <v>33006</v>
      </c>
      <c r="M502" t="inlineStr">
        <is>
          <t>Consulting</t>
        </is>
      </c>
      <c r="N502" t="inlineStr">
        <is>
          <t>Portal</t>
        </is>
      </c>
      <c r="O502" t="inlineStr">
        <is>
          <t>Savya Atrey</t>
        </is>
      </c>
      <c r="Y502" t="inlineStr">
        <is>
          <t>2026-02-12</t>
        </is>
      </c>
      <c r="Z502" t="inlineStr">
        <is>
          <t>https://app.hubspot.com/contacts/243046792/record/0-3/293206315769</t>
        </is>
      </c>
    </row>
    <row r="503">
      <c r="A503" t="n">
        <v>502</v>
      </c>
      <c r="B503" t="inlineStr">
        <is>
          <t>280593490667</t>
        </is>
      </c>
      <c r="D503" t="inlineStr">
        <is>
          <t>ERP CONSULTING SERVICES</t>
        </is>
      </c>
      <c r="E503" t="inlineStr">
        <is>
          <t>City of Westminster</t>
        </is>
      </c>
      <c r="F503" t="inlineStr">
        <is>
          <t>Colorado</t>
        </is>
      </c>
      <c r="G503" t="inlineStr">
        <is>
          <t>Submitted</t>
        </is>
      </c>
      <c r="H503" t="inlineStr">
        <is>
          <t>No</t>
        </is>
      </c>
      <c r="J503" s="96" t="n">
        <v>46073</v>
      </c>
      <c r="K503" s="96" t="n">
        <v>46073</v>
      </c>
      <c r="L503" s="65" t="n">
        <v>394350</v>
      </c>
      <c r="M503" t="inlineStr">
        <is>
          <t>Consulting</t>
        </is>
      </c>
      <c r="N503" t="inlineStr">
        <is>
          <t>Portal</t>
        </is>
      </c>
      <c r="O503" t="inlineStr">
        <is>
          <t>Jyothsna Nanda kishore</t>
        </is>
      </c>
      <c r="Y503" t="inlineStr">
        <is>
          <t>2026-02-03</t>
        </is>
      </c>
      <c r="Z503" t="inlineStr">
        <is>
          <t>https://app.hubspot.com/contacts/243046792/record/0-3/280593490667</t>
        </is>
      </c>
    </row>
    <row r="504">
      <c r="A504" t="n">
        <v>503</v>
      </c>
      <c r="B504" t="inlineStr">
        <is>
          <t>279745905353</t>
        </is>
      </c>
      <c r="D504" t="inlineStr">
        <is>
          <t>ENTERPRISE RESOURCE PLANNINGSYSTEM REPLACEMENT CONSULTING SERVICES</t>
        </is>
      </c>
      <c r="E504" t="inlineStr">
        <is>
          <t>City of Greenville</t>
        </is>
      </c>
      <c r="F504" t="inlineStr">
        <is>
          <t>Michigan</t>
        </is>
      </c>
      <c r="G504" t="inlineStr">
        <is>
          <t>Submitted</t>
        </is>
      </c>
      <c r="H504" t="inlineStr">
        <is>
          <t>No</t>
        </is>
      </c>
      <c r="J504" s="96" t="n">
        <v>46073</v>
      </c>
      <c r="K504" s="96" t="n">
        <v>46073</v>
      </c>
      <c r="M504" t="inlineStr">
        <is>
          <t>Platform Implementation (ERP, CRMs)</t>
        </is>
      </c>
      <c r="N504" t="inlineStr">
        <is>
          <t>Portal</t>
        </is>
      </c>
      <c r="O504" t="inlineStr">
        <is>
          <t>Jyothsna Nanda kishore</t>
        </is>
      </c>
      <c r="Y504" t="inlineStr">
        <is>
          <t>2026-02-03</t>
        </is>
      </c>
      <c r="Z504" t="inlineStr">
        <is>
          <t>https://app.hubspot.com/contacts/243046792/record/0-3/279745905353</t>
        </is>
      </c>
    </row>
    <row r="505">
      <c r="A505" t="n">
        <v>504</v>
      </c>
      <c r="B505" t="inlineStr">
        <is>
          <t>264548341452</t>
        </is>
      </c>
      <c r="D505" t="inlineStr">
        <is>
          <t>Cybersecurity Consultant</t>
        </is>
      </c>
      <c r="E505" t="inlineStr">
        <is>
          <t>Temple Beth Shalom</t>
        </is>
      </c>
      <c r="F505" t="inlineStr">
        <is>
          <t>New York</t>
        </is>
      </c>
      <c r="G505" t="inlineStr">
        <is>
          <t>Submitted</t>
        </is>
      </c>
      <c r="H505" t="inlineStr">
        <is>
          <t>No</t>
        </is>
      </c>
      <c r="J505" s="96" t="n">
        <v>46073</v>
      </c>
      <c r="K505" s="96" t="n">
        <v>46073</v>
      </c>
      <c r="M505" t="inlineStr">
        <is>
          <t>Consulting;Audits and Assessment</t>
        </is>
      </c>
      <c r="O505" t="inlineStr">
        <is>
          <t>Ashutosh Chauhan</t>
        </is>
      </c>
      <c r="Y505" s="96" t="n">
        <v>46038</v>
      </c>
      <c r="Z505" t="inlineStr">
        <is>
          <t>https://app.hubspot.com/contacts/243046792/record/0-3/264548341452</t>
        </is>
      </c>
    </row>
    <row r="506">
      <c r="A506" t="n">
        <v>505</v>
      </c>
      <c r="B506" t="inlineStr">
        <is>
          <t>259780977371</t>
        </is>
      </c>
      <c r="C506" t="inlineStr">
        <is>
          <t>P009-26</t>
        </is>
      </c>
      <c r="D506" t="inlineStr">
        <is>
          <t>Oracle Fusion ERP Implementation Services</t>
        </is>
      </c>
      <c r="E506" t="inlineStr">
        <is>
          <t>Omaha Public Schools</t>
        </is>
      </c>
      <c r="F506" t="inlineStr">
        <is>
          <t>Nebraska</t>
        </is>
      </c>
      <c r="G506" t="inlineStr">
        <is>
          <t>Closed Lost</t>
        </is>
      </c>
      <c r="H506" t="inlineStr">
        <is>
          <t>No</t>
        </is>
      </c>
      <c r="J506" s="96" t="n">
        <v>46097</v>
      </c>
      <c r="K506" s="96" t="n">
        <v>46073</v>
      </c>
      <c r="L506" s="65" t="n">
        <v>5000000</v>
      </c>
      <c r="M506" t="inlineStr">
        <is>
          <t>Platform Implementation (ERP, CRMs)</t>
        </is>
      </c>
      <c r="O506" t="inlineStr">
        <is>
          <t>Ashutosh Chauhan</t>
        </is>
      </c>
      <c r="Y506" t="inlineStr">
        <is>
          <t>2026-01-14</t>
        </is>
      </c>
      <c r="Z506" t="inlineStr">
        <is>
          <t>https://app.hubspot.com/contacts/243046792/record/0-3/259780977371</t>
        </is>
      </c>
    </row>
    <row r="507">
      <c r="A507" t="n">
        <v>506</v>
      </c>
      <c r="B507" t="inlineStr">
        <is>
          <t>290824554181</t>
        </is>
      </c>
      <c r="D507" t="inlineStr">
        <is>
          <t>OFFLINE IT Managed Services</t>
        </is>
      </c>
      <c r="E507" t="inlineStr">
        <is>
          <t>City of Augusta</t>
        </is>
      </c>
      <c r="F507" t="inlineStr">
        <is>
          <t>Maine</t>
        </is>
      </c>
      <c r="G507" t="inlineStr">
        <is>
          <t>Closed Lost</t>
        </is>
      </c>
      <c r="H507" t="inlineStr">
        <is>
          <t>No</t>
        </is>
      </c>
      <c r="J507" s="96" t="n">
        <v>46119</v>
      </c>
      <c r="K507" s="96" t="n">
        <v>46073</v>
      </c>
      <c r="M507" t="inlineStr">
        <is>
          <t>Consulting</t>
        </is>
      </c>
      <c r="O507" t="inlineStr">
        <is>
          <t>Savya Atrey</t>
        </is>
      </c>
      <c r="Y507" t="inlineStr">
        <is>
          <t>2026-02-09</t>
        </is>
      </c>
      <c r="Z507" t="inlineStr">
        <is>
          <t>https://app.hubspot.com/contacts/243046792/record/0-3/290824554181</t>
        </is>
      </c>
    </row>
    <row r="508">
      <c r="A508" t="n">
        <v>507</v>
      </c>
      <c r="B508" t="inlineStr">
        <is>
          <t>282383618799</t>
        </is>
      </c>
      <c r="D508" t="inlineStr">
        <is>
          <t>OFF - MANAGED IT SERVICES</t>
        </is>
      </c>
      <c r="E508" t="inlineStr">
        <is>
          <t>City of Cortland</t>
        </is>
      </c>
      <c r="F508" t="inlineStr">
        <is>
          <t>New York</t>
        </is>
      </c>
      <c r="G508" t="inlineStr">
        <is>
          <t>Submitted</t>
        </is>
      </c>
      <c r="H508" t="inlineStr">
        <is>
          <t>No</t>
        </is>
      </c>
      <c r="J508" s="96" t="n">
        <v>46073</v>
      </c>
      <c r="K508" s="96" t="n">
        <v>46076</v>
      </c>
      <c r="M508" t="inlineStr">
        <is>
          <t>Managed Services (MSP)</t>
        </is>
      </c>
      <c r="O508" t="inlineStr">
        <is>
          <t>Ashutosh Chauhan</t>
        </is>
      </c>
      <c r="Y508" t="inlineStr">
        <is>
          <t>2026-02-02</t>
        </is>
      </c>
      <c r="Z508" t="inlineStr">
        <is>
          <t>https://app.hubspot.com/contacts/243046792/record/0-3/282383618799</t>
        </is>
      </c>
    </row>
    <row r="509">
      <c r="A509" t="n">
        <v>508</v>
      </c>
      <c r="B509" t="inlineStr">
        <is>
          <t>256655442642</t>
        </is>
      </c>
      <c r="C509" t="inlineStr">
        <is>
          <t>ITS86</t>
        </is>
      </c>
      <c r="D509" t="inlineStr">
        <is>
          <t>ITS86 Software and Service</t>
        </is>
      </c>
      <c r="E509" t="inlineStr">
        <is>
          <t>Massachusetts Operational Services Division</t>
        </is>
      </c>
      <c r="F509" t="inlineStr">
        <is>
          <t>Massachusetts</t>
        </is>
      </c>
      <c r="G509" t="inlineStr">
        <is>
          <t>Submitted</t>
        </is>
      </c>
      <c r="H509" t="inlineStr">
        <is>
          <t>No</t>
        </is>
      </c>
      <c r="J509" s="96" t="n">
        <v>46076</v>
      </c>
      <c r="K509" s="96" t="n">
        <v>46076</v>
      </c>
      <c r="M509" t="inlineStr">
        <is>
          <t>Staff Augmentation</t>
        </is>
      </c>
      <c r="N509" t="inlineStr">
        <is>
          <t>Portal</t>
        </is>
      </c>
      <c r="O509" t="inlineStr">
        <is>
          <t>Savya Atrey</t>
        </is>
      </c>
      <c r="Y509" t="inlineStr">
        <is>
          <t>2026-01-09</t>
        </is>
      </c>
      <c r="Z509" t="inlineStr">
        <is>
          <t>https://app.hubspot.com/contacts/243046792/record/0-3/256655442642</t>
        </is>
      </c>
    </row>
    <row r="510">
      <c r="A510" t="n">
        <v>509</v>
      </c>
      <c r="B510" t="inlineStr">
        <is>
          <t>280593515216</t>
        </is>
      </c>
      <c r="C510" t="inlineStr">
        <is>
          <t>RFP LITE: 41-2025 06A</t>
        </is>
      </c>
      <c r="D510" t="inlineStr">
        <is>
          <t>Project Portfolio Management System Implementation and Touchdown Replacement Using Microsoft Solutions</t>
        </is>
      </c>
      <c r="E510" t="inlineStr">
        <is>
          <t>NC Department of Information Technology</t>
        </is>
      </c>
      <c r="F510" t="inlineStr">
        <is>
          <t>North Carolina</t>
        </is>
      </c>
      <c r="G510" t="inlineStr">
        <is>
          <t>Submitted</t>
        </is>
      </c>
      <c r="H510" t="inlineStr">
        <is>
          <t>No</t>
        </is>
      </c>
      <c r="J510" s="96" t="n">
        <v>46076</v>
      </c>
      <c r="K510" s="96" t="n">
        <v>46076</v>
      </c>
      <c r="L510" s="65" t="n">
        <v>130500</v>
      </c>
      <c r="M510" t="inlineStr">
        <is>
          <t>Consulting</t>
        </is>
      </c>
      <c r="N510" t="inlineStr">
        <is>
          <t>Portal</t>
        </is>
      </c>
      <c r="O510" t="inlineStr">
        <is>
          <t>Savya Atrey</t>
        </is>
      </c>
      <c r="Y510" t="inlineStr">
        <is>
          <t>2026-02-03</t>
        </is>
      </c>
      <c r="Z510" t="inlineStr">
        <is>
          <t>https://app.hubspot.com/contacts/243046792/record/0-3/280593515216</t>
        </is>
      </c>
    </row>
    <row r="511">
      <c r="A511" t="n">
        <v>510</v>
      </c>
      <c r="B511" t="inlineStr">
        <is>
          <t>279472700149</t>
        </is>
      </c>
      <c r="D511" t="inlineStr">
        <is>
          <t>Salesforce Consulting Services</t>
        </is>
      </c>
      <c r="E511" t="inlineStr">
        <is>
          <t>Rhode Island Commerce Corporation</t>
        </is>
      </c>
      <c r="F511" t="inlineStr">
        <is>
          <t>Rhode Island</t>
        </is>
      </c>
      <c r="G511" t="inlineStr">
        <is>
          <t>Submitted</t>
        </is>
      </c>
      <c r="H511" t="inlineStr">
        <is>
          <t>No</t>
        </is>
      </c>
      <c r="J511" s="96" t="n">
        <v>46076</v>
      </c>
      <c r="K511" s="96" t="n">
        <v>46076</v>
      </c>
      <c r="M511" t="inlineStr">
        <is>
          <t>Consulting</t>
        </is>
      </c>
      <c r="O511" t="inlineStr">
        <is>
          <t>Savya Atrey</t>
        </is>
      </c>
      <c r="Y511" t="inlineStr">
        <is>
          <t>2026-01-30</t>
        </is>
      </c>
      <c r="Z511" t="inlineStr">
        <is>
          <t>https://app.hubspot.com/contacts/243046792/record/0-3/279472700149</t>
        </is>
      </c>
    </row>
    <row r="512">
      <c r="A512" t="n">
        <v>511</v>
      </c>
      <c r="B512" t="inlineStr">
        <is>
          <t>279234879206</t>
        </is>
      </c>
      <c r="D512" t="inlineStr">
        <is>
          <t>CALNET Managed Cybersecurity Services (IFB Pre-Solicitation)</t>
        </is>
      </c>
      <c r="E512" t="inlineStr">
        <is>
          <t>California Department of Technology</t>
        </is>
      </c>
      <c r="F512" t="inlineStr">
        <is>
          <t>California</t>
        </is>
      </c>
      <c r="G512" t="inlineStr">
        <is>
          <t>Interview</t>
        </is>
      </c>
      <c r="H512" t="inlineStr">
        <is>
          <t>Yes</t>
        </is>
      </c>
      <c r="I512" t="inlineStr">
        <is>
          <t>Interview</t>
        </is>
      </c>
      <c r="J512" s="96" t="n">
        <v>46076</v>
      </c>
      <c r="K512" s="96" t="n">
        <v>46076</v>
      </c>
      <c r="M512" t="inlineStr">
        <is>
          <t>Consulting</t>
        </is>
      </c>
      <c r="O512" t="inlineStr">
        <is>
          <t>Ashutosh Chauhan</t>
        </is>
      </c>
      <c r="P512" t="inlineStr">
        <is>
          <t>Interview Scheduled</t>
        </is>
      </c>
      <c r="Q512" t="inlineStr">
        <is>
          <t>2026-05-12</t>
        </is>
      </c>
      <c r="Y512" t="inlineStr">
        <is>
          <t>2026-01-30</t>
        </is>
      </c>
      <c r="Z512" t="inlineStr">
        <is>
          <t>https://app.hubspot.com/contacts/243046792/record/0-3/279234879206</t>
        </is>
      </c>
    </row>
    <row r="513">
      <c r="A513" t="n">
        <v>512</v>
      </c>
      <c r="B513" t="inlineStr">
        <is>
          <t>275294505693</t>
        </is>
      </c>
      <c r="C513" t="inlineStr">
        <is>
          <t>2026-Solicitation-001</t>
        </is>
      </c>
      <c r="D513" t="inlineStr">
        <is>
          <t>COTA.com Cloud Migration</t>
        </is>
      </c>
      <c r="E513" t="inlineStr">
        <is>
          <t>Central Ohio Transit Authority</t>
        </is>
      </c>
      <c r="F513" t="inlineStr">
        <is>
          <t>Ohio</t>
        </is>
      </c>
      <c r="G513" t="inlineStr">
        <is>
          <t>Closed Lost</t>
        </is>
      </c>
      <c r="H513" t="inlineStr">
        <is>
          <t>Yes</t>
        </is>
      </c>
      <c r="I513" t="inlineStr">
        <is>
          <t>Interview</t>
        </is>
      </c>
      <c r="J513" s="96" t="n">
        <v>46160</v>
      </c>
      <c r="K513" s="96" t="n">
        <v>46076</v>
      </c>
      <c r="M513" t="inlineStr">
        <is>
          <t>Support &amp; Maintenance;Platform Implementation (ERP, CRMs)</t>
        </is>
      </c>
      <c r="N513" t="inlineStr">
        <is>
          <t>Portal</t>
        </is>
      </c>
      <c r="O513" t="inlineStr">
        <is>
          <t>Ashutosh Chauhan</t>
        </is>
      </c>
      <c r="Q513" t="inlineStr">
        <is>
          <t>2026-04-21</t>
        </is>
      </c>
      <c r="Y513" t="inlineStr">
        <is>
          <t>2026-01-27</t>
        </is>
      </c>
      <c r="Z513" t="inlineStr">
        <is>
          <t>https://app.hubspot.com/contacts/243046792/record/0-3/275294505693</t>
        </is>
      </c>
    </row>
    <row r="514">
      <c r="A514" t="n">
        <v>513</v>
      </c>
      <c r="B514" t="inlineStr">
        <is>
          <t>293206314710</t>
        </is>
      </c>
      <c r="D514" t="inlineStr">
        <is>
          <t>Microsoft Office 365 Licensing</t>
        </is>
      </c>
      <c r="E514" t="inlineStr">
        <is>
          <t>District of Columbia Housing Authority</t>
        </is>
      </c>
      <c r="F514" t="inlineStr">
        <is>
          <t>Washington, D.C.</t>
        </is>
      </c>
      <c r="G514" t="inlineStr">
        <is>
          <t>Submitted</t>
        </is>
      </c>
      <c r="H514" t="inlineStr">
        <is>
          <t>No</t>
        </is>
      </c>
      <c r="J514" s="96" t="n">
        <v>46076</v>
      </c>
      <c r="K514" s="96" t="n">
        <v>46076</v>
      </c>
      <c r="M514" t="inlineStr">
        <is>
          <t>Reseller</t>
        </is>
      </c>
      <c r="N514" t="inlineStr">
        <is>
          <t>Portal</t>
        </is>
      </c>
      <c r="O514" t="inlineStr">
        <is>
          <t>Jyothsna Nanda kishore</t>
        </is>
      </c>
      <c r="Y514" t="inlineStr">
        <is>
          <t>2026-02-12</t>
        </is>
      </c>
      <c r="Z514" t="inlineStr">
        <is>
          <t>https://app.hubspot.com/contacts/243046792/record/0-3/293206314710</t>
        </is>
      </c>
    </row>
    <row r="515">
      <c r="A515" t="n">
        <v>514</v>
      </c>
      <c r="B515" t="inlineStr">
        <is>
          <t>278975446769</t>
        </is>
      </c>
      <c r="D515" t="inlineStr">
        <is>
          <t>OFF - MANAGEMENT INFORMATION SYSTEMS &amp; RELATED TELECOMMUNICATION SYSTEMS ADMINISTRATION</t>
        </is>
      </c>
      <c r="E515" t="inlineStr">
        <is>
          <t>Hudson Regional Health Commission</t>
        </is>
      </c>
      <c r="F515" t="inlineStr">
        <is>
          <t>New Jersey</t>
        </is>
      </c>
      <c r="G515" t="inlineStr">
        <is>
          <t>Closed Lost</t>
        </is>
      </c>
      <c r="H515" t="inlineStr">
        <is>
          <t>No</t>
        </is>
      </c>
      <c r="J515" s="96" t="n">
        <v>46202</v>
      </c>
      <c r="K515" s="96" t="n">
        <v>46077</v>
      </c>
      <c r="M515" t="inlineStr">
        <is>
          <t>Platform Implementation (ERP, CRMs)</t>
        </is>
      </c>
      <c r="N515" t="inlineStr">
        <is>
          <t>Offline</t>
        </is>
      </c>
      <c r="O515" t="inlineStr">
        <is>
          <t>Ashutosh Chauhan</t>
        </is>
      </c>
      <c r="Y515" s="96" t="n">
        <v>46052</v>
      </c>
      <c r="Z515" t="inlineStr">
        <is>
          <t>https://app.hubspot.com/contacts/243046792/record/0-3/278975446769</t>
        </is>
      </c>
    </row>
    <row r="516">
      <c r="A516" t="n">
        <v>515</v>
      </c>
      <c r="B516" t="inlineStr">
        <is>
          <t>288775724775</t>
        </is>
      </c>
      <c r="D516" t="inlineStr">
        <is>
          <t>CNB FINANCE TRANSFORMATION - PeopleSoft to Oracle Cloud Digital Transformation</t>
        </is>
      </c>
      <c r="E516" t="inlineStr">
        <is>
          <t>Cherokee Nation Business</t>
        </is>
      </c>
      <c r="F516" t="inlineStr">
        <is>
          <t>Oklahoma</t>
        </is>
      </c>
      <c r="G516" t="inlineStr">
        <is>
          <t>Closed Lost</t>
        </is>
      </c>
      <c r="H516" t="inlineStr">
        <is>
          <t>Yes</t>
        </is>
      </c>
      <c r="I516" t="inlineStr">
        <is>
          <t>Interview Scheduled</t>
        </is>
      </c>
      <c r="J516" s="96" t="n">
        <v>46295</v>
      </c>
      <c r="K516" s="96" t="n">
        <v>46077</v>
      </c>
      <c r="L516" s="65" t="n">
        <v>973080</v>
      </c>
      <c r="M516" t="inlineStr">
        <is>
          <t>Modernization / Migration</t>
        </is>
      </c>
      <c r="N516" t="inlineStr">
        <is>
          <t>Email</t>
        </is>
      </c>
      <c r="O516" t="inlineStr">
        <is>
          <t>Savya Atrey</t>
        </is>
      </c>
      <c r="P516" t="inlineStr">
        <is>
          <t>Interview Scheduled</t>
        </is>
      </c>
      <c r="Q516" s="96" t="n">
        <v>46087</v>
      </c>
      <c r="Y516" s="96" t="n">
        <v>46059</v>
      </c>
      <c r="Z516" t="inlineStr">
        <is>
          <t>https://app.hubspot.com/contacts/243046792/record/0-3/288775724775</t>
        </is>
      </c>
    </row>
    <row r="517">
      <c r="A517" t="n">
        <v>516</v>
      </c>
      <c r="B517" t="inlineStr">
        <is>
          <t>304067471039</t>
        </is>
      </c>
      <c r="D517" t="inlineStr">
        <is>
          <t>KnowBe4 Security-awareness Training and Software</t>
        </is>
      </c>
      <c r="E517" t="inlineStr">
        <is>
          <t>Franklin County Municipal Court</t>
        </is>
      </c>
      <c r="F517" t="inlineStr">
        <is>
          <t>ohio</t>
        </is>
      </c>
      <c r="G517" t="inlineStr">
        <is>
          <t>Submitted</t>
        </is>
      </c>
      <c r="H517" t="inlineStr">
        <is>
          <t>No</t>
        </is>
      </c>
      <c r="J517" s="96" t="n">
        <v>46079</v>
      </c>
      <c r="K517" s="96" t="n">
        <v>46077</v>
      </c>
      <c r="L517" s="65" t="n">
        <v>6999</v>
      </c>
      <c r="M517" t="inlineStr">
        <is>
          <t>Reseller</t>
        </is>
      </c>
      <c r="N517" t="inlineStr">
        <is>
          <t>Portal</t>
        </is>
      </c>
      <c r="O517" t="inlineStr">
        <is>
          <t>Jyothsna Nanda kishore</t>
        </is>
      </c>
      <c r="Y517" t="inlineStr">
        <is>
          <t>2026-02-23</t>
        </is>
      </c>
      <c r="Z517" t="inlineStr">
        <is>
          <t>https://app.hubspot.com/contacts/243046792/record/0-3/304067471039</t>
        </is>
      </c>
    </row>
    <row r="518">
      <c r="A518" t="n">
        <v>517</v>
      </c>
      <c r="B518" t="inlineStr">
        <is>
          <t>300331058928</t>
        </is>
      </c>
      <c r="C518" t="inlineStr">
        <is>
          <t>2026-IFB-002</t>
        </is>
      </c>
      <c r="D518" t="inlineStr">
        <is>
          <t>Cisco DUO subscription 2026</t>
        </is>
      </c>
      <c r="E518" t="inlineStr">
        <is>
          <t>Village of Schaumburg</t>
        </is>
      </c>
      <c r="F518" t="inlineStr">
        <is>
          <t>Illinois</t>
        </is>
      </c>
      <c r="G518" t="inlineStr">
        <is>
          <t>Closed Lost</t>
        </is>
      </c>
      <c r="H518" t="inlineStr">
        <is>
          <t>No</t>
        </is>
      </c>
      <c r="J518" s="96" t="n">
        <v>46163</v>
      </c>
      <c r="K518" s="96" t="n">
        <v>46077</v>
      </c>
      <c r="L518" s="65" t="n">
        <v>46990</v>
      </c>
      <c r="M518" t="inlineStr">
        <is>
          <t>Reseller</t>
        </is>
      </c>
      <c r="N518" t="inlineStr">
        <is>
          <t>Portal</t>
        </is>
      </c>
      <c r="O518" t="inlineStr">
        <is>
          <t>Jyothsna Nanda kishore</t>
        </is>
      </c>
      <c r="Y518" t="inlineStr">
        <is>
          <t>2026-02-19</t>
        </is>
      </c>
      <c r="Z518" t="inlineStr">
        <is>
          <t>https://app.hubspot.com/contacts/243046792/record/0-3/300331058928</t>
        </is>
      </c>
    </row>
    <row r="519">
      <c r="A519" t="n">
        <v>518</v>
      </c>
      <c r="B519" t="inlineStr">
        <is>
          <t>285814480615</t>
        </is>
      </c>
      <c r="D519" t="inlineStr">
        <is>
          <t>INFORMATION TECHNOLOGY SERVICES</t>
        </is>
      </c>
      <c r="E519" t="inlineStr">
        <is>
          <t>Village of Canastota</t>
        </is>
      </c>
      <c r="F519" t="inlineStr">
        <is>
          <t>New York</t>
        </is>
      </c>
      <c r="G519" t="inlineStr">
        <is>
          <t>Closed Lost</t>
        </is>
      </c>
      <c r="H519" t="inlineStr">
        <is>
          <t>No</t>
        </is>
      </c>
      <c r="J519" s="96" t="n">
        <v>46133</v>
      </c>
      <c r="K519" s="96" t="n">
        <v>46077</v>
      </c>
      <c r="M519" t="inlineStr">
        <is>
          <t>Managed Services (MSP)</t>
        </is>
      </c>
      <c r="N519" t="inlineStr">
        <is>
          <t>Email</t>
        </is>
      </c>
      <c r="O519" t="inlineStr">
        <is>
          <t>Jyothsna Nanda kishore</t>
        </is>
      </c>
      <c r="Y519" t="inlineStr">
        <is>
          <t>2026-02-04</t>
        </is>
      </c>
      <c r="Z519" t="inlineStr">
        <is>
          <t>https://app.hubspot.com/contacts/243046792/record/0-3/285814480615</t>
        </is>
      </c>
    </row>
    <row r="520">
      <c r="A520" t="n">
        <v>519</v>
      </c>
      <c r="B520" t="inlineStr">
        <is>
          <t>288906933988</t>
        </is>
      </c>
      <c r="C520" t="inlineStr">
        <is>
          <t>#2026-017VF</t>
        </is>
      </c>
      <c r="D520" t="inlineStr">
        <is>
          <t>TO PROVIDE MIGRATION TO SAP S4/HANA</t>
        </is>
      </c>
      <c r="E520" t="inlineStr">
        <is>
          <t>County of Erie</t>
        </is>
      </c>
      <c r="F520" t="inlineStr">
        <is>
          <t>Pennsylvania</t>
        </is>
      </c>
      <c r="G520" t="inlineStr">
        <is>
          <t>Closed Lost</t>
        </is>
      </c>
      <c r="H520" t="inlineStr">
        <is>
          <t>No</t>
        </is>
      </c>
      <c r="J520" s="96" t="n">
        <v>46169</v>
      </c>
      <c r="K520" s="96" t="n">
        <v>46077</v>
      </c>
      <c r="L520" s="65" t="n">
        <v>1177910</v>
      </c>
      <c r="M520" t="inlineStr">
        <is>
          <t>Modernization / Migration</t>
        </is>
      </c>
      <c r="N520" t="inlineStr">
        <is>
          <t>Offline</t>
        </is>
      </c>
      <c r="O520" t="inlineStr">
        <is>
          <t>Jyothsna Nanda kishore</t>
        </is>
      </c>
      <c r="Y520" t="inlineStr">
        <is>
          <t>2026-02-09</t>
        </is>
      </c>
      <c r="Z520" t="inlineStr">
        <is>
          <t>https://app.hubspot.com/contacts/243046792/record/0-3/288906933988</t>
        </is>
      </c>
    </row>
    <row r="521">
      <c r="A521" t="n">
        <v>520</v>
      </c>
      <c r="B521" t="inlineStr">
        <is>
          <t>300330952386</t>
        </is>
      </c>
      <c r="D521" t="inlineStr">
        <is>
          <t>IT Service Desk Services</t>
        </is>
      </c>
      <c r="E521" t="inlineStr">
        <is>
          <t>Miami University</t>
        </is>
      </c>
      <c r="F521" t="inlineStr">
        <is>
          <t>Ohio</t>
        </is>
      </c>
      <c r="G521" t="inlineStr">
        <is>
          <t>Submitted</t>
        </is>
      </c>
      <c r="H521" t="inlineStr">
        <is>
          <t>No</t>
        </is>
      </c>
      <c r="J521" s="96" t="n">
        <v>46078</v>
      </c>
      <c r="K521" s="96" t="n">
        <v>46078</v>
      </c>
      <c r="M521" t="inlineStr">
        <is>
          <t>Platform Implementation (ERP, CRMs)</t>
        </is>
      </c>
      <c r="N521" t="inlineStr">
        <is>
          <t>Portal;Email</t>
        </is>
      </c>
      <c r="O521" t="inlineStr">
        <is>
          <t>Jyothsna Nanda kishore</t>
        </is>
      </c>
      <c r="Y521" t="inlineStr">
        <is>
          <t>2026-02-18</t>
        </is>
      </c>
      <c r="Z521" t="inlineStr">
        <is>
          <t>https://app.hubspot.com/contacts/243046792/record/0-3/300330952386</t>
        </is>
      </c>
    </row>
    <row r="522">
      <c r="A522" t="n">
        <v>521</v>
      </c>
      <c r="B522" t="inlineStr">
        <is>
          <t>285661304548</t>
        </is>
      </c>
      <c r="D522" t="inlineStr">
        <is>
          <t>IT Managed Services</t>
        </is>
      </c>
      <c r="E522" t="inlineStr">
        <is>
          <t>Vancouver Housing Authority</t>
        </is>
      </c>
      <c r="F522" t="inlineStr">
        <is>
          <t>Washington</t>
        </is>
      </c>
      <c r="G522" t="inlineStr">
        <is>
          <t>Submitted</t>
        </is>
      </c>
      <c r="H522" t="inlineStr">
        <is>
          <t>No</t>
        </is>
      </c>
      <c r="J522" s="96" t="n">
        <v>46078</v>
      </c>
      <c r="K522" s="96" t="n">
        <v>46078</v>
      </c>
      <c r="M522" t="inlineStr">
        <is>
          <t>Managed Services (MSP)</t>
        </is>
      </c>
      <c r="N522" t="inlineStr">
        <is>
          <t>Email</t>
        </is>
      </c>
      <c r="O522" t="inlineStr">
        <is>
          <t>Jyothsna Nanda kishore</t>
        </is>
      </c>
      <c r="Y522" s="96" t="n">
        <v>46057</v>
      </c>
      <c r="Z522" t="inlineStr">
        <is>
          <t>https://app.hubspot.com/contacts/243046792/record/0-3/285661304548</t>
        </is>
      </c>
    </row>
    <row r="523">
      <c r="A523" t="n">
        <v>522</v>
      </c>
      <c r="B523" t="inlineStr">
        <is>
          <t>294210816711</t>
        </is>
      </c>
      <c r="D523" t="inlineStr">
        <is>
          <t xml:space="preserve">Managed IT Services </t>
        </is>
      </c>
      <c r="E523" t="inlineStr">
        <is>
          <t>Palmetto Breeze Transit</t>
        </is>
      </c>
      <c r="F523" t="inlineStr">
        <is>
          <t>South Carolina</t>
        </is>
      </c>
      <c r="G523" t="inlineStr">
        <is>
          <t>Closed Lost</t>
        </is>
      </c>
      <c r="H523" t="inlineStr">
        <is>
          <t>No</t>
        </is>
      </c>
      <c r="J523" s="96" t="n">
        <v>46289</v>
      </c>
      <c r="K523" s="96" t="n">
        <v>46078</v>
      </c>
      <c r="L523" s="65" t="n">
        <v>100565.17</v>
      </c>
      <c r="M523" t="inlineStr">
        <is>
          <t>Managed Services (MSP)</t>
        </is>
      </c>
      <c r="N523" t="inlineStr">
        <is>
          <t>Offline</t>
        </is>
      </c>
      <c r="O523" t="inlineStr">
        <is>
          <t>Jyothsna Nanda kishore</t>
        </is>
      </c>
      <c r="Y523" t="inlineStr">
        <is>
          <t>2026-02-13</t>
        </is>
      </c>
      <c r="Z523" t="inlineStr">
        <is>
          <t>https://app.hubspot.com/contacts/243046792/record/0-3/294210816711</t>
        </is>
      </c>
    </row>
    <row r="524">
      <c r="A524" t="n">
        <v>523</v>
      </c>
      <c r="B524" t="inlineStr">
        <is>
          <t>285814477558</t>
        </is>
      </c>
      <c r="D524" t="inlineStr">
        <is>
          <t>City of Long Beach - RFQ - 1400 Long Beach Cybersecurity Grant Program</t>
        </is>
      </c>
      <c r="E524" t="inlineStr">
        <is>
          <t>City of Long Beach</t>
        </is>
      </c>
      <c r="F524" t="inlineStr">
        <is>
          <t>Mississippi</t>
        </is>
      </c>
      <c r="G524" t="inlineStr">
        <is>
          <t>Closed Won</t>
        </is>
      </c>
      <c r="H524" t="inlineStr">
        <is>
          <t>No</t>
        </is>
      </c>
      <c r="J524" s="96" t="n">
        <v>46113</v>
      </c>
      <c r="K524" s="96" t="n">
        <v>46079</v>
      </c>
      <c r="L524" s="65" t="n">
        <v>123785</v>
      </c>
      <c r="M524" t="inlineStr">
        <is>
          <t>Audits and Assessment</t>
        </is>
      </c>
      <c r="N524" t="inlineStr">
        <is>
          <t>Portal</t>
        </is>
      </c>
      <c r="O524" t="inlineStr">
        <is>
          <t>Jyothsna Nanda kishore</t>
        </is>
      </c>
      <c r="S524" t="inlineStr">
        <is>
          <t>2026-03-12</t>
        </is>
      </c>
      <c r="U524" s="96" t="n">
        <v>46084</v>
      </c>
      <c r="Y524" t="inlineStr">
        <is>
          <t>2026-02-04</t>
        </is>
      </c>
      <c r="Z524" t="inlineStr">
        <is>
          <t>https://app.hubspot.com/contacts/243046792/record/0-3/285814477558</t>
        </is>
      </c>
      <c r="AA524" t="inlineStr">
        <is>
          <t>Yes</t>
        </is>
      </c>
    </row>
    <row r="525">
      <c r="A525" t="n">
        <v>524</v>
      </c>
      <c r="B525" t="inlineStr">
        <is>
          <t>278326364886</t>
        </is>
      </c>
      <c r="D525" t="inlineStr">
        <is>
          <t>Managed IT and Consulting Services</t>
        </is>
      </c>
      <c r="E525" t="inlineStr">
        <is>
          <t>Port Authority of Kansas City</t>
        </is>
      </c>
      <c r="F525" t="inlineStr">
        <is>
          <t>Missouri</t>
        </is>
      </c>
      <c r="G525" t="inlineStr">
        <is>
          <t>Submitted</t>
        </is>
      </c>
      <c r="H525" t="inlineStr">
        <is>
          <t>No</t>
        </is>
      </c>
      <c r="J525" s="96" t="n">
        <v>46080</v>
      </c>
      <c r="K525" s="96" t="n">
        <v>46080</v>
      </c>
      <c r="L525" s="65" t="n">
        <v>231624</v>
      </c>
      <c r="M525" t="inlineStr">
        <is>
          <t>Managed Services (MSP)</t>
        </is>
      </c>
      <c r="N525" t="inlineStr">
        <is>
          <t>Email</t>
        </is>
      </c>
      <c r="O525" t="inlineStr">
        <is>
          <t>Abhishek Zalani</t>
        </is>
      </c>
      <c r="Y525" t="inlineStr">
        <is>
          <t>2026-01-30</t>
        </is>
      </c>
      <c r="Z525" t="inlineStr">
        <is>
          <t>https://app.hubspot.com/contacts/243046792/record/0-3/278326364886</t>
        </is>
      </c>
    </row>
    <row r="526">
      <c r="A526" t="n">
        <v>525</v>
      </c>
      <c r="B526" t="inlineStr">
        <is>
          <t>282383711983</t>
        </is>
      </c>
      <c r="D526" t="inlineStr">
        <is>
          <t>Digital Modernization Advisory &amp; Consultation</t>
        </is>
      </c>
      <c r="E526" t="inlineStr">
        <is>
          <t>Georgia Bureau of Investigation</t>
        </is>
      </c>
      <c r="F526" t="inlineStr">
        <is>
          <t>Georgia</t>
        </is>
      </c>
      <c r="G526" t="inlineStr">
        <is>
          <t>Submitted</t>
        </is>
      </c>
      <c r="H526" t="inlineStr">
        <is>
          <t>No</t>
        </is>
      </c>
      <c r="J526" s="96" t="n">
        <v>46080</v>
      </c>
      <c r="K526" s="96" t="n">
        <v>46080</v>
      </c>
      <c r="M526" t="inlineStr">
        <is>
          <t>Consulting;Modernization / Migration</t>
        </is>
      </c>
      <c r="O526" t="inlineStr">
        <is>
          <t>Savya Atrey</t>
        </is>
      </c>
      <c r="Y526" t="inlineStr">
        <is>
          <t>2026-02-03</t>
        </is>
      </c>
      <c r="Z526" t="inlineStr">
        <is>
          <t>https://app.hubspot.com/contacts/243046792/record/0-3/282383711983</t>
        </is>
      </c>
    </row>
    <row r="527">
      <c r="A527" t="n">
        <v>526</v>
      </c>
      <c r="B527" t="inlineStr">
        <is>
          <t>271394232025</t>
        </is>
      </c>
      <c r="D527" t="inlineStr">
        <is>
          <t>Consulting Services, SAP System Integration</t>
        </is>
      </c>
      <c r="E527" t="inlineStr">
        <is>
          <t>City of Newport News</t>
        </is>
      </c>
      <c r="F527" t="inlineStr">
        <is>
          <t>Virginia</t>
        </is>
      </c>
      <c r="G527" t="inlineStr">
        <is>
          <t>Submitted</t>
        </is>
      </c>
      <c r="H527" t="inlineStr">
        <is>
          <t>No</t>
        </is>
      </c>
      <c r="J527" s="96" t="n">
        <v>46080</v>
      </c>
      <c r="K527" s="96" t="n">
        <v>46080</v>
      </c>
      <c r="M527" t="inlineStr">
        <is>
          <t>Consulting</t>
        </is>
      </c>
      <c r="O527" t="inlineStr">
        <is>
          <t>Jyothsna Nanda kishore</t>
        </is>
      </c>
      <c r="Y527" t="inlineStr">
        <is>
          <t>2026-01-23</t>
        </is>
      </c>
      <c r="Z527" t="inlineStr">
        <is>
          <t>https://app.hubspot.com/contacts/243046792/record/0-3/271394232025</t>
        </is>
      </c>
    </row>
    <row r="528">
      <c r="A528" t="n">
        <v>527</v>
      </c>
      <c r="B528" t="inlineStr">
        <is>
          <t>285661307585</t>
        </is>
      </c>
      <c r="D528" t="inlineStr">
        <is>
          <t>TEMPORARY EMPLOYMENT AND STAFFING SERVICES</t>
        </is>
      </c>
      <c r="E528" t="inlineStr">
        <is>
          <t>CITY OF TUCSON</t>
        </is>
      </c>
      <c r="F528" t="inlineStr">
        <is>
          <t>Arizona</t>
        </is>
      </c>
      <c r="G528" t="inlineStr">
        <is>
          <t>RFx Cancelled</t>
        </is>
      </c>
      <c r="H528" t="inlineStr">
        <is>
          <t>No</t>
        </is>
      </c>
      <c r="J528" s="96" t="n">
        <v>46080</v>
      </c>
      <c r="K528" s="96" t="n">
        <v>46080</v>
      </c>
      <c r="M528" t="inlineStr">
        <is>
          <t>Staff Augmentation</t>
        </is>
      </c>
      <c r="N528" t="inlineStr">
        <is>
          <t>Portal</t>
        </is>
      </c>
      <c r="O528" t="inlineStr">
        <is>
          <t>Jyothsna Nanda kishore</t>
        </is>
      </c>
      <c r="Y528" t="inlineStr">
        <is>
          <t>2026-02-04</t>
        </is>
      </c>
      <c r="Z528" t="inlineStr">
        <is>
          <t>https://app.hubspot.com/contacts/243046792/record/0-3/285661307585</t>
        </is>
      </c>
    </row>
    <row r="529">
      <c r="A529" t="n">
        <v>528</v>
      </c>
      <c r="B529" t="inlineStr">
        <is>
          <t>282383591116</t>
        </is>
      </c>
      <c r="C529" t="inlineStr">
        <is>
          <t>RFP26116</t>
        </is>
      </c>
      <c r="D529" t="inlineStr">
        <is>
          <t>Contact Center CRM System</t>
        </is>
      </c>
      <c r="E529" t="inlineStr">
        <is>
          <t>City of Winston- Salem</t>
        </is>
      </c>
      <c r="F529" t="inlineStr">
        <is>
          <t>North Carolina</t>
        </is>
      </c>
      <c r="G529" t="inlineStr">
        <is>
          <t>Submitted</t>
        </is>
      </c>
      <c r="H529" t="inlineStr">
        <is>
          <t>No</t>
        </is>
      </c>
      <c r="J529" s="96" t="n">
        <v>46080</v>
      </c>
      <c r="K529" s="96" t="n">
        <v>46080</v>
      </c>
      <c r="M529" t="inlineStr">
        <is>
          <t>Modernization / Migration</t>
        </is>
      </c>
      <c r="O529" t="inlineStr">
        <is>
          <t>Abhishek Zalani</t>
        </is>
      </c>
      <c r="Y529" t="inlineStr">
        <is>
          <t>2026-02-02</t>
        </is>
      </c>
      <c r="Z529" t="inlineStr">
        <is>
          <t>https://app.hubspot.com/contacts/243046792/record/0-3/282383591116</t>
        </is>
      </c>
    </row>
    <row r="530">
      <c r="A530" t="n">
        <v>529</v>
      </c>
      <c r="B530" t="inlineStr">
        <is>
          <t>290824554187</t>
        </is>
      </c>
      <c r="D530" t="inlineStr">
        <is>
          <t>Navajo Housing Authority - Cybersecurity Policy and Protocol Consultant Services</t>
        </is>
      </c>
      <c r="E530" t="inlineStr">
        <is>
          <t>Navajo Housing Authority</t>
        </is>
      </c>
      <c r="F530" t="inlineStr">
        <is>
          <t>Arizona</t>
        </is>
      </c>
      <c r="G530" t="inlineStr">
        <is>
          <t>Closed Won</t>
        </is>
      </c>
      <c r="H530" t="inlineStr">
        <is>
          <t>No</t>
        </is>
      </c>
      <c r="J530" s="96" t="n">
        <v>46097</v>
      </c>
      <c r="K530" s="96" t="n">
        <v>46080</v>
      </c>
      <c r="L530" s="65" t="n">
        <v>7825</v>
      </c>
      <c r="M530" t="inlineStr">
        <is>
          <t>Consulting</t>
        </is>
      </c>
      <c r="N530" t="inlineStr">
        <is>
          <t>Email</t>
        </is>
      </c>
      <c r="O530" t="inlineStr">
        <is>
          <t>Savya Atrey</t>
        </is>
      </c>
      <c r="S530" t="inlineStr">
        <is>
          <t>2026-03-30</t>
        </is>
      </c>
      <c r="U530" s="96" t="n">
        <v>46097</v>
      </c>
      <c r="V530" t="inlineStr">
        <is>
          <t>Awarded</t>
        </is>
      </c>
      <c r="Y530" t="inlineStr">
        <is>
          <t>2026-02-09</t>
        </is>
      </c>
      <c r="Z530" t="inlineStr">
        <is>
          <t>https://app.hubspot.com/contacts/243046792/record/0-3/290824554187</t>
        </is>
      </c>
      <c r="AA530" t="inlineStr">
        <is>
          <t>Yes</t>
        </is>
      </c>
    </row>
    <row r="531">
      <c r="A531" t="n">
        <v>530</v>
      </c>
      <c r="B531" t="inlineStr">
        <is>
          <t>288588363505</t>
        </is>
      </c>
      <c r="D531" t="inlineStr">
        <is>
          <t>OFFLINE - INFORMATION TECHNOLOGY SERVICES</t>
        </is>
      </c>
      <c r="E531" t="inlineStr">
        <is>
          <t>Township of Warren</t>
        </is>
      </c>
      <c r="F531" t="inlineStr">
        <is>
          <t>New Jersey</t>
        </is>
      </c>
      <c r="G531" t="inlineStr">
        <is>
          <t>Submitted</t>
        </is>
      </c>
      <c r="H531" t="inlineStr">
        <is>
          <t>No</t>
        </is>
      </c>
      <c r="J531" s="96" t="n">
        <v>46083</v>
      </c>
      <c r="K531" s="96" t="n">
        <v>46083</v>
      </c>
      <c r="M531" t="inlineStr">
        <is>
          <t>Managed Services (MSP)</t>
        </is>
      </c>
      <c r="O531" t="inlineStr">
        <is>
          <t>Savya Atrey</t>
        </is>
      </c>
      <c r="Y531" t="inlineStr">
        <is>
          <t>2026-02-06</t>
        </is>
      </c>
      <c r="Z531" t="inlineStr">
        <is>
          <t>https://app.hubspot.com/contacts/243046792/record/0-3/288588363505</t>
        </is>
      </c>
    </row>
    <row r="532">
      <c r="A532" t="n">
        <v>531</v>
      </c>
      <c r="B532" t="inlineStr">
        <is>
          <t>267448961754</t>
        </is>
      </c>
      <c r="D532" t="inlineStr">
        <is>
          <t>Internal &amp; External Security Audits</t>
        </is>
      </c>
      <c r="E532" t="inlineStr">
        <is>
          <t>Fresno County</t>
        </is>
      </c>
      <c r="F532" t="inlineStr">
        <is>
          <t>California</t>
        </is>
      </c>
      <c r="G532" t="inlineStr">
        <is>
          <t>Submitted</t>
        </is>
      </c>
      <c r="H532" t="inlineStr">
        <is>
          <t>No</t>
        </is>
      </c>
      <c r="J532" s="96" t="n">
        <v>46083</v>
      </c>
      <c r="K532" s="96" t="n">
        <v>46083</v>
      </c>
      <c r="M532" t="inlineStr">
        <is>
          <t>Consulting</t>
        </is>
      </c>
      <c r="O532" t="inlineStr">
        <is>
          <t>Abhishek Zalani</t>
        </is>
      </c>
      <c r="Y532" t="inlineStr">
        <is>
          <t>2026-01-23</t>
        </is>
      </c>
      <c r="Z532" t="inlineStr">
        <is>
          <t>https://app.hubspot.com/contacts/243046792/record/0-3/267448961754</t>
        </is>
      </c>
    </row>
    <row r="533">
      <c r="A533" t="n">
        <v>532</v>
      </c>
      <c r="B533" t="inlineStr">
        <is>
          <t>290594446072</t>
        </is>
      </c>
      <c r="D533" t="inlineStr">
        <is>
          <t>Workforce Management Replacement Consultant</t>
        </is>
      </c>
      <c r="E533" t="inlineStr">
        <is>
          <t>City of Charlotte</t>
        </is>
      </c>
      <c r="F533" t="inlineStr">
        <is>
          <t>North Carolina</t>
        </is>
      </c>
      <c r="G533" t="inlineStr">
        <is>
          <t>Submitted</t>
        </is>
      </c>
      <c r="H533" t="inlineStr">
        <is>
          <t>No</t>
        </is>
      </c>
      <c r="J533" s="96" t="n">
        <v>46084</v>
      </c>
      <c r="K533" s="96" t="n">
        <v>46084</v>
      </c>
      <c r="M533" t="inlineStr">
        <is>
          <t>Consulting</t>
        </is>
      </c>
      <c r="O533" t="inlineStr">
        <is>
          <t>Jyothsna Nanda kishore</t>
        </is>
      </c>
      <c r="Y533" t="inlineStr">
        <is>
          <t>2026-02-09</t>
        </is>
      </c>
      <c r="Z533" t="inlineStr">
        <is>
          <t>https://app.hubspot.com/contacts/243046792/record/0-3/290594446072</t>
        </is>
      </c>
    </row>
    <row r="534">
      <c r="A534" t="n">
        <v>533</v>
      </c>
      <c r="B534" t="inlineStr">
        <is>
          <t>304631692998</t>
        </is>
      </c>
      <c r="D534" t="inlineStr">
        <is>
          <t>Full Stack Developer</t>
        </is>
      </c>
      <c r="E534" t="inlineStr">
        <is>
          <t>ADMINISTRATION FOR CHILDREN’S SERVICES (ACS)</t>
        </is>
      </c>
      <c r="F534" t="inlineStr">
        <is>
          <t>New York</t>
        </is>
      </c>
      <c r="G534" t="inlineStr">
        <is>
          <t>Submitted</t>
        </is>
      </c>
      <c r="H534" t="inlineStr">
        <is>
          <t>No</t>
        </is>
      </c>
      <c r="J534" s="96" t="n">
        <v>46084</v>
      </c>
      <c r="K534" s="96" t="n">
        <v>46084</v>
      </c>
      <c r="M534" t="inlineStr">
        <is>
          <t>Staff Augmentation</t>
        </is>
      </c>
      <c r="O534" t="inlineStr">
        <is>
          <t>Jyothsna Nanda kishore</t>
        </is>
      </c>
      <c r="Y534" t="inlineStr">
        <is>
          <t>2026-02-24</t>
        </is>
      </c>
      <c r="Z534" t="inlineStr">
        <is>
          <t>https://app.hubspot.com/contacts/243046792/record/0-3/304631692998</t>
        </is>
      </c>
    </row>
    <row r="535">
      <c r="A535" t="n">
        <v>534</v>
      </c>
      <c r="B535" t="inlineStr">
        <is>
          <t>288899019475</t>
        </is>
      </c>
      <c r="D535" t="inlineStr">
        <is>
          <t>OFFLINE - CO-MANAGED INFORMATION TECHNOLOGY SERVICES</t>
        </is>
      </c>
      <c r="E535" t="inlineStr">
        <is>
          <t xml:space="preserve">Village of Sussex </t>
        </is>
      </c>
      <c r="F535" t="inlineStr">
        <is>
          <t>Wisconsin</t>
        </is>
      </c>
      <c r="G535" t="inlineStr">
        <is>
          <t>Submitted</t>
        </is>
      </c>
      <c r="H535" t="inlineStr">
        <is>
          <t>No</t>
        </is>
      </c>
      <c r="J535" s="96" t="n">
        <v>46085</v>
      </c>
      <c r="K535" s="96" t="n">
        <v>46085</v>
      </c>
      <c r="M535" t="inlineStr">
        <is>
          <t>Managed Services (MSP)</t>
        </is>
      </c>
      <c r="O535" t="inlineStr">
        <is>
          <t>Savya Atrey</t>
        </is>
      </c>
      <c r="Y535" t="inlineStr">
        <is>
          <t>2026-02-09</t>
        </is>
      </c>
      <c r="Z535" t="inlineStr">
        <is>
          <t>https://app.hubspot.com/contacts/243046792/record/0-3/288899019475</t>
        </is>
      </c>
    </row>
    <row r="536">
      <c r="A536" t="n">
        <v>535</v>
      </c>
      <c r="B536" t="inlineStr">
        <is>
          <t>293076272882</t>
        </is>
      </c>
      <c r="D536" t="inlineStr">
        <is>
          <t>Information Technology Services</t>
        </is>
      </c>
      <c r="E536" t="inlineStr">
        <is>
          <t>Niskayuna Central School District</t>
        </is>
      </c>
      <c r="F536" t="inlineStr">
        <is>
          <t>New York</t>
        </is>
      </c>
      <c r="G536" t="inlineStr">
        <is>
          <t>Submitted</t>
        </is>
      </c>
      <c r="H536" t="inlineStr">
        <is>
          <t>No</t>
        </is>
      </c>
      <c r="J536" s="96" t="n">
        <v>46085</v>
      </c>
      <c r="K536" s="96" t="n">
        <v>46085</v>
      </c>
      <c r="M536" t="inlineStr">
        <is>
          <t>Staff Augmentation</t>
        </is>
      </c>
      <c r="O536" t="inlineStr">
        <is>
          <t>Ashutosh Chauhan</t>
        </is>
      </c>
      <c r="Y536" t="inlineStr">
        <is>
          <t>2026-02-10</t>
        </is>
      </c>
      <c r="Z536" t="inlineStr">
        <is>
          <t>https://app.hubspot.com/contacts/243046792/record/0-3/293076272882</t>
        </is>
      </c>
    </row>
    <row r="537">
      <c r="A537" t="n">
        <v>536</v>
      </c>
      <c r="B537" t="inlineStr">
        <is>
          <t>305880959725</t>
        </is>
      </c>
      <c r="D537" t="inlineStr">
        <is>
          <t>OFF - Microsoft Purview Data Governance Implementation and Training</t>
        </is>
      </c>
      <c r="E537" t="inlineStr">
        <is>
          <t>City of Laurel</t>
        </is>
      </c>
      <c r="F537" t="inlineStr">
        <is>
          <t>Maryland</t>
        </is>
      </c>
      <c r="G537" t="inlineStr">
        <is>
          <t>Closed Lost</t>
        </is>
      </c>
      <c r="H537" t="inlineStr">
        <is>
          <t>No</t>
        </is>
      </c>
      <c r="J537" s="96" t="n">
        <v>46156</v>
      </c>
      <c r="K537" s="96" t="n">
        <v>46086</v>
      </c>
      <c r="M537" t="inlineStr">
        <is>
          <t>Training;Platform Implementation (ERP, CRMs)</t>
        </is>
      </c>
      <c r="O537" t="inlineStr">
        <is>
          <t>Savya Atrey</t>
        </is>
      </c>
      <c r="Y537" t="inlineStr">
        <is>
          <t>2026-02-25</t>
        </is>
      </c>
      <c r="Z537" t="inlineStr">
        <is>
          <t>https://app.hubspot.com/contacts/243046792/record/0-3/305880959725</t>
        </is>
      </c>
    </row>
    <row r="538">
      <c r="A538" t="n">
        <v>537</v>
      </c>
      <c r="B538" t="inlineStr">
        <is>
          <t>310377853669</t>
        </is>
      </c>
      <c r="D538" t="inlineStr">
        <is>
          <t>Transportation Data Aggregation Dashboard</t>
        </is>
      </c>
      <c r="E538" t="inlineStr">
        <is>
          <t>City of Dublin</t>
        </is>
      </c>
      <c r="F538" t="inlineStr">
        <is>
          <t>Ohio</t>
        </is>
      </c>
      <c r="G538" t="inlineStr">
        <is>
          <t>Submitted</t>
        </is>
      </c>
      <c r="H538" t="inlineStr">
        <is>
          <t>No</t>
        </is>
      </c>
      <c r="J538" s="96" t="n">
        <v>46087</v>
      </c>
      <c r="K538" s="96" t="n">
        <v>46087</v>
      </c>
      <c r="M538" t="inlineStr">
        <is>
          <t>Platform Implementation (ERP, CRMs);Support &amp; Maintenance</t>
        </is>
      </c>
      <c r="O538" t="inlineStr">
        <is>
          <t>Savya Atrey</t>
        </is>
      </c>
      <c r="Y538" t="inlineStr">
        <is>
          <t>2026-03-03</t>
        </is>
      </c>
      <c r="Z538" t="inlineStr">
        <is>
          <t>https://app.hubspot.com/contacts/243046792/record/0-3/310377853669</t>
        </is>
      </c>
    </row>
    <row r="539">
      <c r="A539" t="n">
        <v>538</v>
      </c>
      <c r="B539" t="inlineStr">
        <is>
          <t>280744448716</t>
        </is>
      </c>
      <c r="D539" t="inlineStr">
        <is>
          <t>Audits of Enterprise Applications Systems and Information Technology (IT)</t>
        </is>
      </c>
      <c r="E539" t="inlineStr">
        <is>
          <t>Lousiville/ Jefferson County Metro Government</t>
        </is>
      </c>
      <c r="F539" t="inlineStr">
        <is>
          <t>Kentucky</t>
        </is>
      </c>
      <c r="G539" t="inlineStr">
        <is>
          <t>Submitted</t>
        </is>
      </c>
      <c r="H539" t="inlineStr">
        <is>
          <t>No</t>
        </is>
      </c>
      <c r="J539" s="96" t="n">
        <v>46087</v>
      </c>
      <c r="K539" s="96" t="n">
        <v>46087</v>
      </c>
      <c r="M539" t="inlineStr">
        <is>
          <t>Audits and Assessment</t>
        </is>
      </c>
      <c r="N539" t="inlineStr">
        <is>
          <t>Portal</t>
        </is>
      </c>
      <c r="O539" t="inlineStr">
        <is>
          <t>Jyothsna Nanda kishore</t>
        </is>
      </c>
      <c r="Y539" t="inlineStr">
        <is>
          <t>2026-02-03</t>
        </is>
      </c>
      <c r="Z539" t="inlineStr">
        <is>
          <t>https://app.hubspot.com/contacts/243046792/record/0-3/280744448716</t>
        </is>
      </c>
    </row>
    <row r="540">
      <c r="A540" t="n">
        <v>539</v>
      </c>
      <c r="B540" t="inlineStr">
        <is>
          <t>282124031692</t>
        </is>
      </c>
      <c r="D540" t="inlineStr">
        <is>
          <t>UC Berkeley  Upgrade to Maximo Application Suite (MAS), Cloud Hosting</t>
        </is>
      </c>
      <c r="E540" t="inlineStr">
        <is>
          <t>University of California, Berkeley</t>
        </is>
      </c>
      <c r="F540" t="inlineStr">
        <is>
          <t>California</t>
        </is>
      </c>
      <c r="G540" t="inlineStr">
        <is>
          <t>Interview</t>
        </is>
      </c>
      <c r="H540" t="inlineStr">
        <is>
          <t>Yes</t>
        </is>
      </c>
      <c r="I540" t="inlineStr">
        <is>
          <t>Interview</t>
        </is>
      </c>
      <c r="J540" s="96" t="n">
        <v>46087</v>
      </c>
      <c r="K540" s="96" t="n">
        <v>46087</v>
      </c>
      <c r="L540" s="65" t="n">
        <v>384000</v>
      </c>
      <c r="M540" t="inlineStr">
        <is>
          <t>Modernization / Migration;Platform Implementation (ERP, CRMs)</t>
        </is>
      </c>
      <c r="N540" t="inlineStr">
        <is>
          <t>Portal</t>
        </is>
      </c>
      <c r="O540" t="inlineStr">
        <is>
          <t>Ashutosh Chauhan</t>
        </is>
      </c>
      <c r="P540" t="inlineStr">
        <is>
          <t>Interview Scheduled</t>
        </is>
      </c>
      <c r="Q540" t="inlineStr">
        <is>
          <t>2026-03-25</t>
        </is>
      </c>
      <c r="Y540" t="inlineStr">
        <is>
          <t>2026-02-02</t>
        </is>
      </c>
      <c r="Z540" t="inlineStr">
        <is>
          <t>https://app.hubspot.com/contacts/243046792/record/0-3/282124031692</t>
        </is>
      </c>
    </row>
    <row r="541">
      <c r="A541" t="n">
        <v>540</v>
      </c>
      <c r="B541" t="inlineStr">
        <is>
          <t>299409924840</t>
        </is>
      </c>
      <c r="C541" t="inlineStr">
        <is>
          <t>2026 - RFP-001</t>
        </is>
      </c>
      <c r="D541" t="inlineStr">
        <is>
          <t>Information Technology (IT) Consulting and Management Services - Rebid</t>
        </is>
      </c>
      <c r="E541" t="inlineStr">
        <is>
          <t>Borough of Bergenfield</t>
        </is>
      </c>
      <c r="F541" t="inlineStr">
        <is>
          <t>New Jersey</t>
        </is>
      </c>
      <c r="G541" t="inlineStr">
        <is>
          <t>RFx Cancelled</t>
        </is>
      </c>
      <c r="H541" t="inlineStr">
        <is>
          <t>No</t>
        </is>
      </c>
      <c r="J541" s="96" t="n">
        <v>46087</v>
      </c>
      <c r="K541" s="96" t="n">
        <v>46087</v>
      </c>
      <c r="M541" t="inlineStr">
        <is>
          <t>Managed Services (MSP)</t>
        </is>
      </c>
      <c r="O541" t="inlineStr">
        <is>
          <t>Ashutosh Chauhan</t>
        </is>
      </c>
      <c r="Y541" t="inlineStr">
        <is>
          <t>2026-02-18</t>
        </is>
      </c>
      <c r="Z541" t="inlineStr">
        <is>
          <t>https://app.hubspot.com/contacts/243046792/record/0-3/299409924840</t>
        </is>
      </c>
    </row>
    <row r="542">
      <c r="A542" t="n">
        <v>541</v>
      </c>
      <c r="B542" t="inlineStr">
        <is>
          <t>294160194252</t>
        </is>
      </c>
      <c r="D542" t="inlineStr">
        <is>
          <t>Finance ERP Software</t>
        </is>
      </c>
      <c r="E542" t="inlineStr">
        <is>
          <t>Liberty Township</t>
        </is>
      </c>
      <c r="F542" t="inlineStr">
        <is>
          <t>Ohio</t>
        </is>
      </c>
      <c r="G542" t="inlineStr">
        <is>
          <t>Submitted</t>
        </is>
      </c>
      <c r="H542" t="inlineStr">
        <is>
          <t>No</t>
        </is>
      </c>
      <c r="J542" s="96" t="n">
        <v>46087</v>
      </c>
      <c r="K542" s="96" t="n">
        <v>46087</v>
      </c>
      <c r="M542" t="inlineStr">
        <is>
          <t>Platform Implementation (ERP, CRMs)</t>
        </is>
      </c>
      <c r="O542" t="inlineStr">
        <is>
          <t>Savya Atrey</t>
        </is>
      </c>
      <c r="Y542" t="inlineStr">
        <is>
          <t>2026-02-12</t>
        </is>
      </c>
      <c r="Z542" t="inlineStr">
        <is>
          <t>https://app.hubspot.com/contacts/243046792/record/0-3/294160194252</t>
        </is>
      </c>
    </row>
    <row r="543">
      <c r="A543" t="n">
        <v>542</v>
      </c>
      <c r="B543" t="inlineStr">
        <is>
          <t>305955842809</t>
        </is>
      </c>
      <c r="D543" t="inlineStr">
        <is>
          <t>OFFLINE - Information technology Services (re-bid)</t>
        </is>
      </c>
      <c r="E543" t="inlineStr">
        <is>
          <t>CITY OF RAHWAY</t>
        </is>
      </c>
      <c r="F543" t="inlineStr">
        <is>
          <t>New Jersey</t>
        </is>
      </c>
      <c r="G543" t="inlineStr">
        <is>
          <t>Submitted</t>
        </is>
      </c>
      <c r="H543" t="inlineStr">
        <is>
          <t>No</t>
        </is>
      </c>
      <c r="J543" s="96" t="n">
        <v>46091</v>
      </c>
      <c r="K543" s="96" t="n">
        <v>46087</v>
      </c>
      <c r="M543" t="inlineStr">
        <is>
          <t>Managed Services (MSP)</t>
        </is>
      </c>
      <c r="N543" t="inlineStr">
        <is>
          <t>Offline</t>
        </is>
      </c>
      <c r="O543" t="inlineStr">
        <is>
          <t>Savya Atrey</t>
        </is>
      </c>
      <c r="Y543" t="inlineStr">
        <is>
          <t>2026-02-25</t>
        </is>
      </c>
      <c r="Z543" t="inlineStr">
        <is>
          <t>https://app.hubspot.com/contacts/243046792/record/0-3/305955842809</t>
        </is>
      </c>
    </row>
    <row r="544">
      <c r="A544" t="n">
        <v>543</v>
      </c>
      <c r="B544" t="inlineStr">
        <is>
          <t>304627384029</t>
        </is>
      </c>
      <c r="C544" t="inlineStr">
        <is>
          <t>2026-003</t>
        </is>
      </c>
      <c r="D544" t="inlineStr">
        <is>
          <t>OFF - Police Department IT Services Contractor</t>
        </is>
      </c>
      <c r="E544" t="inlineStr">
        <is>
          <t>Town of Howey-in-the-Hills</t>
        </is>
      </c>
      <c r="F544" t="inlineStr">
        <is>
          <t>Florida</t>
        </is>
      </c>
      <c r="G544" t="inlineStr">
        <is>
          <t>Submitted</t>
        </is>
      </c>
      <c r="H544" t="inlineStr">
        <is>
          <t>No</t>
        </is>
      </c>
      <c r="J544" s="96" t="n">
        <v>46090</v>
      </c>
      <c r="K544" s="96" t="n">
        <v>46090</v>
      </c>
      <c r="M544" t="inlineStr">
        <is>
          <t>Managed Services (MSP)</t>
        </is>
      </c>
      <c r="N544" t="inlineStr">
        <is>
          <t>Offline</t>
        </is>
      </c>
      <c r="O544" t="inlineStr">
        <is>
          <t>Ashutosh Chauhan</t>
        </is>
      </c>
      <c r="Y544" t="inlineStr">
        <is>
          <t>2026-02-24</t>
        </is>
      </c>
      <c r="Z544" t="inlineStr">
        <is>
          <t>https://app.hubspot.com/contacts/243046792/record/0-3/304627384029</t>
        </is>
      </c>
    </row>
    <row r="545">
      <c r="A545" t="n">
        <v>544</v>
      </c>
      <c r="B545" t="inlineStr">
        <is>
          <t>309858242247</t>
        </is>
      </c>
      <c r="D545" t="inlineStr">
        <is>
          <t>Information Technology (IT) Managed Services</t>
        </is>
      </c>
      <c r="E545" t="inlineStr">
        <is>
          <t>Costa Mesa Sanitary District</t>
        </is>
      </c>
      <c r="F545" t="inlineStr">
        <is>
          <t>California</t>
        </is>
      </c>
      <c r="G545" t="inlineStr">
        <is>
          <t>Submitted</t>
        </is>
      </c>
      <c r="H545" t="inlineStr">
        <is>
          <t>No</t>
        </is>
      </c>
      <c r="J545" s="96" t="n">
        <v>46091</v>
      </c>
      <c r="K545" s="96" t="n">
        <v>46091</v>
      </c>
      <c r="M545" t="inlineStr">
        <is>
          <t>Managed Services (MSP)</t>
        </is>
      </c>
      <c r="O545" t="inlineStr">
        <is>
          <t>Savya Atrey</t>
        </is>
      </c>
      <c r="Y545" t="inlineStr">
        <is>
          <t>2026-03-03</t>
        </is>
      </c>
      <c r="Z545" t="inlineStr">
        <is>
          <t>https://app.hubspot.com/contacts/243046792/record/0-3/309858242247</t>
        </is>
      </c>
    </row>
    <row r="546">
      <c r="A546" t="n">
        <v>545</v>
      </c>
      <c r="B546" t="inlineStr">
        <is>
          <t>292764162764</t>
        </is>
      </c>
      <c r="D546" t="inlineStr">
        <is>
          <t>Consultant Services for the Modernization of its Pension Administration System (PAS) Project</t>
        </is>
      </c>
      <c r="E546" t="inlineStr">
        <is>
          <t xml:space="preserve">State of Oregon </t>
        </is>
      </c>
      <c r="F546" t="inlineStr">
        <is>
          <t>Oregon</t>
        </is>
      </c>
      <c r="G546" t="inlineStr">
        <is>
          <t>Closed Lost</t>
        </is>
      </c>
      <c r="H546" t="inlineStr">
        <is>
          <t>No</t>
        </is>
      </c>
      <c r="J546" s="96" t="n">
        <v>46287</v>
      </c>
      <c r="K546" s="96" t="n">
        <v>46091</v>
      </c>
      <c r="M546" t="inlineStr">
        <is>
          <t>Consulting</t>
        </is>
      </c>
      <c r="O546" t="inlineStr">
        <is>
          <t>Ashutosh Chauhan</t>
        </is>
      </c>
      <c r="Y546" t="inlineStr">
        <is>
          <t>2026-02-10</t>
        </is>
      </c>
      <c r="Z546" t="inlineStr">
        <is>
          <t>https://app.hubspot.com/contacts/243046792/record/0-3/292764162764</t>
        </is>
      </c>
    </row>
    <row r="547">
      <c r="A547" t="n">
        <v>546</v>
      </c>
      <c r="B547" t="inlineStr">
        <is>
          <t>310410262217</t>
        </is>
      </c>
      <c r="C547" t="inlineStr">
        <is>
          <t>0000414052</t>
        </is>
      </c>
      <c r="D547" t="inlineStr">
        <is>
          <t>EMAIL CYBERSECURITY SOFTWARE</t>
        </is>
      </c>
      <c r="E547" t="inlineStr">
        <is>
          <t xml:space="preserve">Westchester County </t>
        </is>
      </c>
      <c r="F547" t="inlineStr">
        <is>
          <t>New York</t>
        </is>
      </c>
      <c r="G547" t="inlineStr">
        <is>
          <t>Closed Lost</t>
        </is>
      </c>
      <c r="H547" t="inlineStr">
        <is>
          <t>No</t>
        </is>
      </c>
      <c r="J547" s="96" t="n">
        <v>46289</v>
      </c>
      <c r="K547" s="96" t="n">
        <v>46092</v>
      </c>
      <c r="L547" s="65" t="n">
        <v>51744</v>
      </c>
      <c r="M547" t="inlineStr">
        <is>
          <t>Reseller</t>
        </is>
      </c>
      <c r="N547" t="inlineStr">
        <is>
          <t>Offline</t>
        </is>
      </c>
      <c r="O547" t="inlineStr">
        <is>
          <t>Jyothsna Nanda kishore</t>
        </is>
      </c>
      <c r="Y547" t="inlineStr">
        <is>
          <t>2026-03-03</t>
        </is>
      </c>
      <c r="Z547" t="inlineStr">
        <is>
          <t>https://app.hubspot.com/contacts/243046792/record/0-3/310410262217</t>
        </is>
      </c>
    </row>
    <row r="548">
      <c r="A548" t="n">
        <v>547</v>
      </c>
      <c r="B548" t="inlineStr">
        <is>
          <t>303032996549</t>
        </is>
      </c>
      <c r="D548" t="inlineStr">
        <is>
          <t>Information Technology Services</t>
        </is>
      </c>
      <c r="E548" t="inlineStr">
        <is>
          <t>Standing Rock Housing Authority (SRHA)</t>
        </is>
      </c>
      <c r="F548" t="inlineStr">
        <is>
          <t>North Dakota</t>
        </is>
      </c>
      <c r="G548" t="inlineStr">
        <is>
          <t>Closed Lost</t>
        </is>
      </c>
      <c r="H548" t="inlineStr">
        <is>
          <t>No</t>
        </is>
      </c>
      <c r="J548" s="96" t="n">
        <v>46239</v>
      </c>
      <c r="K548" s="96" t="n">
        <v>46092</v>
      </c>
      <c r="L548" s="65" t="n">
        <v>66888</v>
      </c>
      <c r="M548" t="inlineStr">
        <is>
          <t>Managed Services (MSP)</t>
        </is>
      </c>
      <c r="N548" t="inlineStr">
        <is>
          <t>Offline</t>
        </is>
      </c>
      <c r="O548" t="inlineStr">
        <is>
          <t>Jyothsna Nanda kishore</t>
        </is>
      </c>
      <c r="Y548" t="inlineStr">
        <is>
          <t>2026-02-23</t>
        </is>
      </c>
      <c r="Z548" t="inlineStr">
        <is>
          <t>https://app.hubspot.com/contacts/243046792/record/0-3/303032996549</t>
        </is>
      </c>
    </row>
    <row r="549">
      <c r="A549" t="n">
        <v>548</v>
      </c>
      <c r="B549" t="inlineStr">
        <is>
          <t>310664991433</t>
        </is>
      </c>
      <c r="C549" t="inlineStr">
        <is>
          <t>RFP #260009</t>
        </is>
      </c>
      <c r="D549" t="inlineStr">
        <is>
          <t>IT Technical Support and Services</t>
        </is>
      </c>
      <c r="E549" t="inlineStr">
        <is>
          <t>Tahoe Regional Planning Agency</t>
        </is>
      </c>
      <c r="F549" t="inlineStr">
        <is>
          <t>Nevada</t>
        </is>
      </c>
      <c r="G549" t="inlineStr">
        <is>
          <t>Closed Lost</t>
        </is>
      </c>
      <c r="H549" t="inlineStr">
        <is>
          <t>No</t>
        </is>
      </c>
      <c r="J549" s="96" t="n">
        <v>46289</v>
      </c>
      <c r="K549" s="96" t="n">
        <v>46093</v>
      </c>
      <c r="L549" s="65" t="n">
        <v>264960</v>
      </c>
      <c r="M549" t="inlineStr">
        <is>
          <t>Managed Services (MSP)</t>
        </is>
      </c>
      <c r="N549" t="inlineStr">
        <is>
          <t>Email;Offline</t>
        </is>
      </c>
      <c r="O549" t="inlineStr">
        <is>
          <t>Jyothsna Nanda kishore</t>
        </is>
      </c>
      <c r="Y549" t="inlineStr">
        <is>
          <t>2026-03-03</t>
        </is>
      </c>
      <c r="Z549" t="inlineStr">
        <is>
          <t>https://app.hubspot.com/contacts/243046792/record/0-3/310664991433</t>
        </is>
      </c>
    </row>
    <row r="550">
      <c r="A550" t="n">
        <v>549</v>
      </c>
      <c r="B550" t="inlineStr">
        <is>
          <t>269389188850</t>
        </is>
      </c>
      <c r="C550" t="inlineStr">
        <is>
          <t>RFP - 799</t>
        </is>
      </c>
      <c r="D550" t="inlineStr">
        <is>
          <t>Salesforce Implementation Consultant</t>
        </is>
      </c>
      <c r="E550" t="inlineStr">
        <is>
          <t>University of Mississippi</t>
        </is>
      </c>
      <c r="F550" t="inlineStr">
        <is>
          <t>Mississippi</t>
        </is>
      </c>
      <c r="G550" t="inlineStr">
        <is>
          <t>Closed Lost</t>
        </is>
      </c>
      <c r="H550" t="inlineStr">
        <is>
          <t>No</t>
        </is>
      </c>
      <c r="J550" s="96" t="n">
        <v>46202</v>
      </c>
      <c r="K550" s="96" t="n">
        <v>46093</v>
      </c>
      <c r="L550" s="65" t="n">
        <v>336000</v>
      </c>
      <c r="M550" t="inlineStr">
        <is>
          <t>Consulting;Platform Implementation (ERP, CRMs)</t>
        </is>
      </c>
      <c r="O550" t="inlineStr">
        <is>
          <t>Ashutosh Chauhan</t>
        </is>
      </c>
      <c r="Y550" t="inlineStr">
        <is>
          <t>2026-01-22</t>
        </is>
      </c>
      <c r="Z550" t="inlineStr">
        <is>
          <t>https://app.hubspot.com/contacts/243046792/record/0-3/269389188850</t>
        </is>
      </c>
    </row>
    <row r="551">
      <c r="A551" t="n">
        <v>550</v>
      </c>
      <c r="B551" t="inlineStr">
        <is>
          <t>300024188613</t>
        </is>
      </c>
      <c r="D551" t="inlineStr">
        <is>
          <t>Offline: Design, Development, Implementation and Maintenance of a Robust, Accessible, and Modern Website Platform</t>
        </is>
      </c>
      <c r="E551" t="inlineStr">
        <is>
          <t>Will County</t>
        </is>
      </c>
      <c r="F551" t="inlineStr">
        <is>
          <t>Illinois</t>
        </is>
      </c>
      <c r="G551" t="inlineStr">
        <is>
          <t>Closed Lost</t>
        </is>
      </c>
      <c r="H551" t="inlineStr">
        <is>
          <t>No</t>
        </is>
      </c>
      <c r="J551" s="96" t="n">
        <v>46161</v>
      </c>
      <c r="K551" s="96" t="n">
        <v>46093</v>
      </c>
      <c r="M551" t="inlineStr">
        <is>
          <t>Platform Implementation (ERP, CRMs);Consulting;Modernization / Migration</t>
        </is>
      </c>
      <c r="N551" t="inlineStr">
        <is>
          <t>Offline</t>
        </is>
      </c>
      <c r="O551" t="inlineStr">
        <is>
          <t>Ashutosh Chauhan</t>
        </is>
      </c>
      <c r="Y551" t="inlineStr">
        <is>
          <t>2026-02-18</t>
        </is>
      </c>
      <c r="Z551" t="inlineStr">
        <is>
          <t>https://app.hubspot.com/contacts/243046792/record/0-3/300024188613</t>
        </is>
      </c>
    </row>
    <row r="552">
      <c r="A552" t="n">
        <v>551</v>
      </c>
      <c r="B552" t="inlineStr">
        <is>
          <t>305108054748</t>
        </is>
      </c>
      <c r="D552" t="inlineStr">
        <is>
          <t>Information Security Analyst</t>
        </is>
      </c>
      <c r="E552" t="inlineStr">
        <is>
          <t>City of Stamford</t>
        </is>
      </c>
      <c r="F552" t="inlineStr">
        <is>
          <t>Connecticut</t>
        </is>
      </c>
      <c r="G552" t="inlineStr">
        <is>
          <t>Submitted</t>
        </is>
      </c>
      <c r="H552" t="inlineStr">
        <is>
          <t>No</t>
        </is>
      </c>
      <c r="J552" s="96" t="n">
        <v>46093</v>
      </c>
      <c r="K552" s="96" t="n">
        <v>46093</v>
      </c>
      <c r="M552" t="inlineStr">
        <is>
          <t>Consulting</t>
        </is>
      </c>
      <c r="O552" t="inlineStr">
        <is>
          <t>Savya Atrey</t>
        </is>
      </c>
      <c r="Y552" t="inlineStr">
        <is>
          <t>2026-02-24</t>
        </is>
      </c>
      <c r="Z552" t="inlineStr">
        <is>
          <t>https://app.hubspot.com/contacts/243046792/record/0-3/305108054748</t>
        </is>
      </c>
    </row>
    <row r="553">
      <c r="A553" t="n">
        <v>552</v>
      </c>
      <c r="B553" t="inlineStr">
        <is>
          <t>304631700175</t>
        </is>
      </c>
      <c r="D553" t="inlineStr">
        <is>
          <t>Cybersecurity Pentesting Services</t>
        </is>
      </c>
      <c r="E553" t="inlineStr">
        <is>
          <t xml:space="preserve">City of Roseville </t>
        </is>
      </c>
      <c r="F553" t="inlineStr">
        <is>
          <t>Michigan</t>
        </is>
      </c>
      <c r="G553" t="inlineStr">
        <is>
          <t>Submitted</t>
        </is>
      </c>
      <c r="H553" t="inlineStr">
        <is>
          <t>No</t>
        </is>
      </c>
      <c r="J553" s="96" t="n">
        <v>46093</v>
      </c>
      <c r="K553" s="96" t="n">
        <v>46093</v>
      </c>
      <c r="M553" t="inlineStr">
        <is>
          <t>Consulting</t>
        </is>
      </c>
      <c r="O553" t="inlineStr">
        <is>
          <t>Savya Atrey</t>
        </is>
      </c>
      <c r="Y553" t="inlineStr">
        <is>
          <t>2026-02-24</t>
        </is>
      </c>
      <c r="Z553" t="inlineStr">
        <is>
          <t>https://app.hubspot.com/contacts/243046792/record/0-3/304631700175</t>
        </is>
      </c>
    </row>
    <row r="554">
      <c r="A554" t="n">
        <v>553</v>
      </c>
      <c r="B554" t="inlineStr">
        <is>
          <t>305108054745</t>
        </is>
      </c>
      <c r="D554" t="inlineStr">
        <is>
          <t>City of Stamford - Technology Data Architect Services</t>
        </is>
      </c>
      <c r="E554" t="inlineStr">
        <is>
          <t>City of Stamford</t>
        </is>
      </c>
      <c r="F554" t="inlineStr">
        <is>
          <t>Connecticut</t>
        </is>
      </c>
      <c r="G554" t="inlineStr">
        <is>
          <t>Closed Won</t>
        </is>
      </c>
      <c r="H554" t="inlineStr">
        <is>
          <t>Yes</t>
        </is>
      </c>
      <c r="I554" t="inlineStr">
        <is>
          <t>Interview</t>
        </is>
      </c>
      <c r="J554" s="96" t="n">
        <v>46135</v>
      </c>
      <c r="K554" s="96" t="n">
        <v>46093</v>
      </c>
      <c r="L554" s="65" t="n">
        <v>47775</v>
      </c>
      <c r="M554" t="inlineStr">
        <is>
          <t>Consulting;Staff Augmentation</t>
        </is>
      </c>
      <c r="N554" t="inlineStr">
        <is>
          <t>Portal</t>
        </is>
      </c>
      <c r="O554" t="inlineStr">
        <is>
          <t>Savya Atrey</t>
        </is>
      </c>
      <c r="P554" t="inlineStr">
        <is>
          <t>Interview Scheduled</t>
        </is>
      </c>
      <c r="Q554" t="inlineStr">
        <is>
          <t>2026-04-20</t>
        </is>
      </c>
      <c r="S554" t="inlineStr">
        <is>
          <t>2026-04-22</t>
        </is>
      </c>
      <c r="U554" s="96" t="n">
        <v>46142</v>
      </c>
      <c r="Y554" t="inlineStr">
        <is>
          <t>2026-02-24</t>
        </is>
      </c>
      <c r="Z554" t="inlineStr">
        <is>
          <t>https://app.hubspot.com/contacts/243046792/record/0-3/305108054745</t>
        </is>
      </c>
      <c r="AA554" t="inlineStr">
        <is>
          <t>Yes</t>
        </is>
      </c>
    </row>
    <row r="555">
      <c r="A555" t="n">
        <v>554</v>
      </c>
      <c r="B555" t="inlineStr">
        <is>
          <t>315877283563</t>
        </is>
      </c>
      <c r="C555" t="inlineStr">
        <is>
          <t xml:space="preserve">#26-018-TL </t>
        </is>
      </c>
      <c r="D555" t="inlineStr">
        <is>
          <t xml:space="preserve"> IT Consultant &amp; Project Management</t>
        </is>
      </c>
      <c r="E555" t="inlineStr">
        <is>
          <t>Kane County</t>
        </is>
      </c>
      <c r="F555" t="inlineStr">
        <is>
          <t>Illinois</t>
        </is>
      </c>
      <c r="G555" t="inlineStr">
        <is>
          <t>Closed Lost</t>
        </is>
      </c>
      <c r="H555" t="inlineStr">
        <is>
          <t>No</t>
        </is>
      </c>
      <c r="J555" s="96" t="n">
        <v>46290</v>
      </c>
      <c r="K555" s="96" t="n">
        <v>46094</v>
      </c>
      <c r="M555" t="inlineStr">
        <is>
          <t>Staff Augmentation</t>
        </is>
      </c>
      <c r="O555" t="inlineStr">
        <is>
          <t>Jyothsna Nanda kishore</t>
        </is>
      </c>
      <c r="Y555" t="inlineStr">
        <is>
          <t>2026-03-11</t>
        </is>
      </c>
      <c r="Z555" t="inlineStr">
        <is>
          <t>https://app.hubspot.com/contacts/243046792/record/0-3/315877283563</t>
        </is>
      </c>
    </row>
    <row r="556">
      <c r="A556" t="n">
        <v>555</v>
      </c>
      <c r="B556" t="inlineStr">
        <is>
          <t>316125313768</t>
        </is>
      </c>
      <c r="D556" t="inlineStr">
        <is>
          <t>TAP Snowflake Data Architect Consultant Solutions</t>
        </is>
      </c>
      <c r="E556" t="inlineStr">
        <is>
          <t>Los Angeles County Metropolitan Transportation Authority (LACMTA)</t>
        </is>
      </c>
      <c r="F556" t="inlineStr">
        <is>
          <t>California</t>
        </is>
      </c>
      <c r="G556" t="inlineStr">
        <is>
          <t>Submitted</t>
        </is>
      </c>
      <c r="H556" t="inlineStr">
        <is>
          <t>No</t>
        </is>
      </c>
      <c r="J556" s="96" t="n">
        <v>46094</v>
      </c>
      <c r="K556" s="96" t="n">
        <v>46094</v>
      </c>
      <c r="L556" s="65" t="n">
        <v>83200</v>
      </c>
      <c r="M556" t="inlineStr">
        <is>
          <t>Consulting</t>
        </is>
      </c>
      <c r="O556" t="inlineStr">
        <is>
          <t>Jyothsna Nanda kishore</t>
        </is>
      </c>
      <c r="Y556" t="inlineStr">
        <is>
          <t>2026-03-12</t>
        </is>
      </c>
      <c r="Z556" t="inlineStr">
        <is>
          <t>https://app.hubspot.com/contacts/243046792/record/0-3/316125313768</t>
        </is>
      </c>
    </row>
    <row r="557">
      <c r="A557" t="n">
        <v>556</v>
      </c>
      <c r="B557" t="inlineStr">
        <is>
          <t>311295567559</t>
        </is>
      </c>
      <c r="C557" t="inlineStr">
        <is>
          <t>38-25-002</t>
        </is>
      </c>
      <c r="D557" t="inlineStr">
        <is>
          <t>RFP 38-25-002-IT (Projects Consultant)</t>
        </is>
      </c>
      <c r="E557" t="inlineStr">
        <is>
          <t xml:space="preserve">San Francisco Superior Court Procurement Unit </t>
        </is>
      </c>
      <c r="F557" t="inlineStr">
        <is>
          <t>California</t>
        </is>
      </c>
      <c r="G557" t="inlineStr">
        <is>
          <t>Submitted</t>
        </is>
      </c>
      <c r="H557" t="inlineStr">
        <is>
          <t>No</t>
        </is>
      </c>
      <c r="J557" s="96" t="n">
        <v>46094</v>
      </c>
      <c r="K557" s="96" t="n">
        <v>46094</v>
      </c>
      <c r="L557" s="65" t="n">
        <v>2256160</v>
      </c>
      <c r="M557" t="inlineStr">
        <is>
          <t>Consulting</t>
        </is>
      </c>
      <c r="N557" t="inlineStr">
        <is>
          <t>Portal</t>
        </is>
      </c>
      <c r="O557" t="inlineStr">
        <is>
          <t>Savya Atrey</t>
        </is>
      </c>
      <c r="Y557" t="inlineStr">
        <is>
          <t>2026-03-04</t>
        </is>
      </c>
      <c r="Z557" t="inlineStr">
        <is>
          <t>https://app.hubspot.com/contacts/243046792/record/0-3/311295567559</t>
        </is>
      </c>
    </row>
    <row r="558">
      <c r="A558" t="n">
        <v>557</v>
      </c>
      <c r="B558" t="inlineStr">
        <is>
          <t>305111030459</t>
        </is>
      </c>
      <c r="D558" t="inlineStr">
        <is>
          <t xml:space="preserve">INFORMATION TECHNOLOGY SERVICES FOR UNION COUNTY GOVERNMENT </t>
        </is>
      </c>
      <c r="E558" t="inlineStr">
        <is>
          <t>COUNTY OF UNION</t>
        </is>
      </c>
      <c r="F558" t="inlineStr">
        <is>
          <t>Illinois</t>
        </is>
      </c>
      <c r="G558" t="inlineStr">
        <is>
          <t>Closed Lost</t>
        </is>
      </c>
      <c r="H558" t="inlineStr">
        <is>
          <t>No</t>
        </is>
      </c>
      <c r="J558" s="96" t="n">
        <v>46111</v>
      </c>
      <c r="K558" s="96" t="n">
        <v>46094</v>
      </c>
      <c r="L558" s="65" t="n">
        <v>138726</v>
      </c>
      <c r="M558" t="inlineStr">
        <is>
          <t>Managed Services (MSP)</t>
        </is>
      </c>
      <c r="N558" t="inlineStr">
        <is>
          <t>Offline</t>
        </is>
      </c>
      <c r="O558" t="inlineStr">
        <is>
          <t>Jyothsna Nanda kishore</t>
        </is>
      </c>
      <c r="Y558" t="inlineStr">
        <is>
          <t>2026-02-25</t>
        </is>
      </c>
      <c r="Z558" t="inlineStr">
        <is>
          <t>https://app.hubspot.com/contacts/243046792/record/0-3/305111030459</t>
        </is>
      </c>
    </row>
    <row r="559">
      <c r="A559" t="n">
        <v>558</v>
      </c>
      <c r="B559" t="inlineStr">
        <is>
          <t>293345046222</t>
        </is>
      </c>
      <c r="D559" t="inlineStr">
        <is>
          <t>Information Technology Services and Website Support</t>
        </is>
      </c>
      <c r="E559" t="inlineStr">
        <is>
          <t>Rockville Economic Development, Inc. (REDI)</t>
        </is>
      </c>
      <c r="F559" t="inlineStr">
        <is>
          <t>Maryland</t>
        </is>
      </c>
      <c r="G559" t="inlineStr">
        <is>
          <t>Closed Lost</t>
        </is>
      </c>
      <c r="H559" t="inlineStr">
        <is>
          <t>No</t>
        </is>
      </c>
      <c r="J559" s="96" t="n">
        <v>46153</v>
      </c>
      <c r="K559" s="96" t="n">
        <v>46097</v>
      </c>
      <c r="L559" s="65" t="n">
        <v>49440</v>
      </c>
      <c r="M559" t="inlineStr">
        <is>
          <t>Managed Services (MSP)</t>
        </is>
      </c>
      <c r="N559" t="inlineStr">
        <is>
          <t>Email</t>
        </is>
      </c>
      <c r="O559" t="inlineStr">
        <is>
          <t>Jyothsna Nanda kishore</t>
        </is>
      </c>
      <c r="Y559" t="inlineStr">
        <is>
          <t>2026-02-11</t>
        </is>
      </c>
      <c r="Z559" t="inlineStr">
        <is>
          <t>https://app.hubspot.com/contacts/243046792/record/0-3/293345046222</t>
        </is>
      </c>
    </row>
    <row r="560">
      <c r="A560" t="n">
        <v>559</v>
      </c>
      <c r="B560" t="inlineStr">
        <is>
          <t>316332572396</t>
        </is>
      </c>
      <c r="C560" t="inlineStr">
        <is>
          <t>#46987</t>
        </is>
      </c>
      <c r="D560" t="inlineStr">
        <is>
          <t>New Contingency Staffing Request - Health Data Services Strategy and Data Architect Manager</t>
        </is>
      </c>
      <c r="E560" t="inlineStr">
        <is>
          <t>County of San Mateo</t>
        </is>
      </c>
      <c r="F560" t="inlineStr">
        <is>
          <t>California</t>
        </is>
      </c>
      <c r="G560" t="inlineStr">
        <is>
          <t>Submitted</t>
        </is>
      </c>
      <c r="H560" t="inlineStr">
        <is>
          <t>No</t>
        </is>
      </c>
      <c r="J560" s="96" t="n">
        <v>46097</v>
      </c>
      <c r="K560" s="96" t="n">
        <v>46097</v>
      </c>
      <c r="M560" t="inlineStr">
        <is>
          <t>Staff Augmentation</t>
        </is>
      </c>
      <c r="O560" t="inlineStr">
        <is>
          <t>Ashutosh Chauhan</t>
        </is>
      </c>
      <c r="Y560" t="inlineStr">
        <is>
          <t>2026-03-13</t>
        </is>
      </c>
      <c r="Z560" t="inlineStr">
        <is>
          <t>https://app.hubspot.com/contacts/243046792/record/0-3/316332572396</t>
        </is>
      </c>
    </row>
    <row r="561">
      <c r="A561" t="n">
        <v>560</v>
      </c>
      <c r="B561" t="inlineStr">
        <is>
          <t>295077878461</t>
        </is>
      </c>
      <c r="D561" t="inlineStr">
        <is>
          <t>offline Professional Services for Assistance with the Management of OKI’s Information Technology System</t>
        </is>
      </c>
      <c r="E561" t="inlineStr">
        <is>
          <t>Ohio-Kentucky-Indiana Regional Council of Governments</t>
        </is>
      </c>
      <c r="F561" t="inlineStr">
        <is>
          <t>Ohio</t>
        </is>
      </c>
      <c r="G561" t="inlineStr">
        <is>
          <t>Closed Lost</t>
        </is>
      </c>
      <c r="H561" t="inlineStr">
        <is>
          <t>No</t>
        </is>
      </c>
      <c r="J561" s="96" t="n">
        <v>46118</v>
      </c>
      <c r="K561" s="96" t="n">
        <v>46097</v>
      </c>
      <c r="M561" t="inlineStr">
        <is>
          <t>Managed Services (MSP)</t>
        </is>
      </c>
      <c r="O561" t="inlineStr">
        <is>
          <t>Savya Atrey</t>
        </is>
      </c>
      <c r="Y561" t="inlineStr">
        <is>
          <t>2026-02-13</t>
        </is>
      </c>
      <c r="Z561" t="inlineStr">
        <is>
          <t>https://app.hubspot.com/contacts/243046792/record/0-3/295077878461</t>
        </is>
      </c>
    </row>
    <row r="562">
      <c r="A562" t="n">
        <v>561</v>
      </c>
      <c r="B562" t="inlineStr">
        <is>
          <t>314232359672</t>
        </is>
      </c>
      <c r="D562" t="inlineStr">
        <is>
          <t>Network Penetration Testing &amp; Hybrid Identity Risk Validation Assessment - 2026</t>
        </is>
      </c>
      <c r="E562" t="inlineStr">
        <is>
          <t>Fountain-Fort Carson School District 8</t>
        </is>
      </c>
      <c r="F562" t="inlineStr">
        <is>
          <t>Colorado</t>
        </is>
      </c>
      <c r="G562" t="inlineStr">
        <is>
          <t>Submitted</t>
        </is>
      </c>
      <c r="H562" t="inlineStr">
        <is>
          <t>No</t>
        </is>
      </c>
      <c r="J562" s="96" t="n">
        <v>46098</v>
      </c>
      <c r="K562" s="96" t="n">
        <v>46098</v>
      </c>
      <c r="M562" t="inlineStr">
        <is>
          <t>Consulting</t>
        </is>
      </c>
      <c r="O562" t="inlineStr">
        <is>
          <t>Abhishek Zalani</t>
        </is>
      </c>
      <c r="Y562" t="inlineStr">
        <is>
          <t>2026-03-09</t>
        </is>
      </c>
      <c r="Z562" t="inlineStr">
        <is>
          <t>https://app.hubspot.com/contacts/243046792/record/0-3/314232359672</t>
        </is>
      </c>
    </row>
    <row r="563">
      <c r="A563" t="n">
        <v>562</v>
      </c>
      <c r="B563" t="inlineStr">
        <is>
          <t>316126067441</t>
        </is>
      </c>
      <c r="C563" t="inlineStr">
        <is>
          <t>RFQ 26-055</t>
        </is>
      </c>
      <c r="D563" t="inlineStr">
        <is>
          <t>Micrososoft 365 Renewal</t>
        </is>
      </c>
      <c r="E563" t="inlineStr">
        <is>
          <t>Foothill Transit</t>
        </is>
      </c>
      <c r="F563" t="inlineStr">
        <is>
          <t>California</t>
        </is>
      </c>
      <c r="G563" t="inlineStr">
        <is>
          <t>Submitted</t>
        </is>
      </c>
      <c r="H563" t="inlineStr">
        <is>
          <t>No</t>
        </is>
      </c>
      <c r="J563" s="96" t="n">
        <v>46098</v>
      </c>
      <c r="K563" s="96" t="n">
        <v>46098</v>
      </c>
      <c r="L563" s="65" t="n">
        <v>47991.83</v>
      </c>
      <c r="M563" t="inlineStr">
        <is>
          <t>Reseller</t>
        </is>
      </c>
      <c r="N563" t="inlineStr">
        <is>
          <t>Portal</t>
        </is>
      </c>
      <c r="O563" t="inlineStr">
        <is>
          <t>Savya Atrey</t>
        </is>
      </c>
      <c r="Y563" t="inlineStr">
        <is>
          <t>2026-03-13</t>
        </is>
      </c>
      <c r="Z563" t="inlineStr">
        <is>
          <t>https://app.hubspot.com/contacts/243046792/record/0-3/316126067441</t>
        </is>
      </c>
    </row>
    <row r="564">
      <c r="A564" t="n">
        <v>563</v>
      </c>
      <c r="B564" t="inlineStr">
        <is>
          <t>277985694416</t>
        </is>
      </c>
      <c r="D564" t="inlineStr">
        <is>
          <t>Master Agreements for Information Technology Consulting Managed Services</t>
        </is>
      </c>
      <c r="E564" t="inlineStr">
        <is>
          <t>Judicial Branch California</t>
        </is>
      </c>
      <c r="F564" t="inlineStr">
        <is>
          <t>California</t>
        </is>
      </c>
      <c r="G564" t="inlineStr">
        <is>
          <t>Submitted</t>
        </is>
      </c>
      <c r="H564" t="inlineStr">
        <is>
          <t>No</t>
        </is>
      </c>
      <c r="J564" s="96" t="n">
        <v>46098</v>
      </c>
      <c r="K564" s="96" t="n">
        <v>46098</v>
      </c>
      <c r="M564" t="inlineStr">
        <is>
          <t>Staff Augmentation;Consulting</t>
        </is>
      </c>
      <c r="O564" t="inlineStr">
        <is>
          <t>Abhishek Zalani</t>
        </is>
      </c>
      <c r="Y564" t="inlineStr">
        <is>
          <t>2026-01-29</t>
        </is>
      </c>
      <c r="Z564" t="inlineStr">
        <is>
          <t>https://app.hubspot.com/contacts/243046792/record/0-3/277985694416</t>
        </is>
      </c>
    </row>
    <row r="565">
      <c r="A565" t="n">
        <v>564</v>
      </c>
      <c r="B565" t="inlineStr">
        <is>
          <t>304628103894</t>
        </is>
      </c>
      <c r="D565" t="inlineStr">
        <is>
          <t>GEOGRAPHIC INFORMATION SYSTEM (GIS) Services</t>
        </is>
      </c>
      <c r="E565" t="inlineStr">
        <is>
          <t>City of La Cañada Flintridge</t>
        </is>
      </c>
      <c r="F565" t="inlineStr">
        <is>
          <t>California</t>
        </is>
      </c>
      <c r="G565" t="inlineStr">
        <is>
          <t>Submitted</t>
        </is>
      </c>
      <c r="H565" t="inlineStr">
        <is>
          <t>No</t>
        </is>
      </c>
      <c r="J565" s="96" t="n">
        <v>46098</v>
      </c>
      <c r="K565" s="96" t="n">
        <v>46098</v>
      </c>
      <c r="M565" t="inlineStr">
        <is>
          <t>Consulting</t>
        </is>
      </c>
      <c r="N565" t="inlineStr">
        <is>
          <t>Portal</t>
        </is>
      </c>
      <c r="O565" t="inlineStr">
        <is>
          <t>Savya Atrey</t>
        </is>
      </c>
      <c r="Y565" t="inlineStr">
        <is>
          <t>2026-02-24</t>
        </is>
      </c>
      <c r="Z565" t="inlineStr">
        <is>
          <t>https://app.hubspot.com/contacts/243046792/record/0-3/304628103894</t>
        </is>
      </c>
    </row>
    <row r="566">
      <c r="A566" t="n">
        <v>565</v>
      </c>
      <c r="B566" t="inlineStr">
        <is>
          <t>303031445180</t>
        </is>
      </c>
      <c r="D566" t="inlineStr">
        <is>
          <t>Information Technology Service Desk Managed Services</t>
        </is>
      </c>
      <c r="E566" t="inlineStr">
        <is>
          <t>Scott County</t>
        </is>
      </c>
      <c r="F566" t="inlineStr">
        <is>
          <t>Minnesota</t>
        </is>
      </c>
      <c r="G566" t="inlineStr">
        <is>
          <t>RFx Cancelled</t>
        </is>
      </c>
      <c r="H566" t="inlineStr">
        <is>
          <t>Yes</t>
        </is>
      </c>
      <c r="I566" t="inlineStr">
        <is>
          <t>Interview Scheduled</t>
        </is>
      </c>
      <c r="J566" s="96" t="n">
        <v>46099</v>
      </c>
      <c r="K566" s="96" t="n">
        <v>46099</v>
      </c>
      <c r="L566" t="n">
        <v>954975</v>
      </c>
      <c r="M566" t="inlineStr">
        <is>
          <t>Managed Services (MSP)</t>
        </is>
      </c>
      <c r="N566" t="inlineStr">
        <is>
          <t>Offline</t>
        </is>
      </c>
      <c r="O566" t="inlineStr">
        <is>
          <t>Ashutosh Chauhan</t>
        </is>
      </c>
      <c r="P566" t="inlineStr">
        <is>
          <t>Interview Scheduled</t>
        </is>
      </c>
      <c r="Q566" s="96" t="n">
        <v>46135</v>
      </c>
      <c r="Y566" s="96" t="n">
        <v>46076</v>
      </c>
      <c r="Z566" t="inlineStr">
        <is>
          <t>https://app.hubspot.com/contacts/243046792/record/0-3/303031445180</t>
        </is>
      </c>
    </row>
    <row r="567">
      <c r="A567" t="n">
        <v>566</v>
      </c>
      <c r="B567" t="inlineStr">
        <is>
          <t>291136346822</t>
        </is>
      </c>
      <c r="D567" t="inlineStr">
        <is>
          <t>STC Microsoft Support Services</t>
        </is>
      </c>
      <c r="E567" t="inlineStr">
        <is>
          <t>State of South Carolina</t>
        </is>
      </c>
      <c r="F567" t="inlineStr">
        <is>
          <t>South Carolina</t>
        </is>
      </c>
      <c r="G567" t="inlineStr">
        <is>
          <t>Closed Lost</t>
        </is>
      </c>
      <c r="H567" t="inlineStr">
        <is>
          <t>No</t>
        </is>
      </c>
      <c r="J567" s="96" t="n">
        <v>46290</v>
      </c>
      <c r="K567" s="96" t="n">
        <v>46099</v>
      </c>
      <c r="M567" t="inlineStr">
        <is>
          <t>Support &amp; Maintenance</t>
        </is>
      </c>
      <c r="N567" t="inlineStr">
        <is>
          <t>Portal</t>
        </is>
      </c>
      <c r="O567" t="inlineStr">
        <is>
          <t>Jyothsna Nanda kishore</t>
        </is>
      </c>
      <c r="Y567" s="96" t="n">
        <v>46062</v>
      </c>
      <c r="Z567" t="inlineStr">
        <is>
          <t>https://app.hubspot.com/contacts/243046792/record/0-3/291136346822</t>
        </is>
      </c>
    </row>
    <row r="568">
      <c r="A568" t="n">
        <v>567</v>
      </c>
      <c r="B568" t="inlineStr">
        <is>
          <t>306430469849</t>
        </is>
      </c>
      <c r="D568" t="inlineStr">
        <is>
          <t>Cybersecurity Consulting and Staff Augmentation Services</t>
        </is>
      </c>
      <c r="E568" t="inlineStr">
        <is>
          <t>Metropolitan Washington Council of Governments</t>
        </is>
      </c>
      <c r="F568" t="inlineStr">
        <is>
          <t>Maryland and Virginia</t>
        </is>
      </c>
      <c r="G568" t="inlineStr">
        <is>
          <t>Submitted</t>
        </is>
      </c>
      <c r="H568" t="inlineStr">
        <is>
          <t>No</t>
        </is>
      </c>
      <c r="J568" s="96" t="n">
        <v>46099</v>
      </c>
      <c r="K568" s="96" t="n">
        <v>46099</v>
      </c>
      <c r="M568" t="inlineStr">
        <is>
          <t>Consulting</t>
        </is>
      </c>
      <c r="O568" t="inlineStr">
        <is>
          <t>Savya Atrey</t>
        </is>
      </c>
      <c r="Y568" t="inlineStr">
        <is>
          <t>2026-02-26</t>
        </is>
      </c>
      <c r="Z568" t="inlineStr">
        <is>
          <t>https://app.hubspot.com/contacts/243046792/record/0-3/306430469849</t>
        </is>
      </c>
    </row>
    <row r="569">
      <c r="A569" t="n">
        <v>568</v>
      </c>
      <c r="B569" t="inlineStr">
        <is>
          <t>303029999339</t>
        </is>
      </c>
      <c r="D569" t="inlineStr">
        <is>
          <t>CUSTOMER RELATIONSHIP MANAGEMENT (CRM) PLATFORM</t>
        </is>
      </c>
      <c r="E569" t="inlineStr">
        <is>
          <t>SUNY  Westchester Community College</t>
        </is>
      </c>
      <c r="F569" t="inlineStr">
        <is>
          <t>New York</t>
        </is>
      </c>
      <c r="G569" t="inlineStr">
        <is>
          <t>Submitted</t>
        </is>
      </c>
      <c r="H569" t="inlineStr">
        <is>
          <t>No</t>
        </is>
      </c>
      <c r="J569" s="96" t="n">
        <v>46101</v>
      </c>
      <c r="K569" s="96" t="n">
        <v>46099</v>
      </c>
      <c r="L569" s="65" t="n">
        <v>818356</v>
      </c>
      <c r="M569" t="inlineStr">
        <is>
          <t>Platform Implementation (ERP, CRMs)</t>
        </is>
      </c>
      <c r="N569" t="inlineStr">
        <is>
          <t>Offline</t>
        </is>
      </c>
      <c r="O569" t="inlineStr">
        <is>
          <t>Jyothsna Nanda kishore</t>
        </is>
      </c>
      <c r="Y569" t="inlineStr">
        <is>
          <t>2026-02-23</t>
        </is>
      </c>
      <c r="Z569" t="inlineStr">
        <is>
          <t>https://app.hubspot.com/contacts/243046792/record/0-3/303029999339</t>
        </is>
      </c>
    </row>
    <row r="570">
      <c r="A570" t="n">
        <v>569</v>
      </c>
      <c r="B570" t="inlineStr">
        <is>
          <t>303032159935</t>
        </is>
      </c>
      <c r="D570" t="inlineStr">
        <is>
          <t>IT Helpdesk Support Services</t>
        </is>
      </c>
      <c r="E570" t="inlineStr">
        <is>
          <t>Orange County, New York</t>
        </is>
      </c>
      <c r="F570" t="inlineStr">
        <is>
          <t>California</t>
        </is>
      </c>
      <c r="G570" t="inlineStr">
        <is>
          <t>Submitted</t>
        </is>
      </c>
      <c r="H570" t="inlineStr">
        <is>
          <t>No</t>
        </is>
      </c>
      <c r="J570" s="96" t="n">
        <v>46106</v>
      </c>
      <c r="K570" s="96" t="n">
        <v>46099</v>
      </c>
      <c r="M570" t="inlineStr">
        <is>
          <t>Managed Services (MSP)</t>
        </is>
      </c>
      <c r="N570" t="inlineStr">
        <is>
          <t>Offline</t>
        </is>
      </c>
      <c r="O570" t="inlineStr">
        <is>
          <t>Jyothsna Nanda kishore</t>
        </is>
      </c>
      <c r="Y570" t="inlineStr">
        <is>
          <t>2026-02-23</t>
        </is>
      </c>
      <c r="Z570" t="inlineStr">
        <is>
          <t>https://app.hubspot.com/contacts/243046792/record/0-3/303032159935</t>
        </is>
      </c>
    </row>
    <row r="571">
      <c r="A571" t="n">
        <v>570</v>
      </c>
      <c r="B571" t="inlineStr">
        <is>
          <t>300012593891</t>
        </is>
      </c>
      <c r="C571" t="inlineStr">
        <is>
          <t>RFP 2026-01</t>
        </is>
      </c>
      <c r="D571" t="inlineStr">
        <is>
          <t>OFF - IT Services</t>
        </is>
      </c>
      <c r="E571" t="inlineStr">
        <is>
          <t>Springfield Housing Authority</t>
        </is>
      </c>
      <c r="F571" t="inlineStr">
        <is>
          <t>Illinois</t>
        </is>
      </c>
      <c r="G571" t="inlineStr">
        <is>
          <t>RFx Cancelled</t>
        </is>
      </c>
      <c r="H571" t="inlineStr">
        <is>
          <t>No</t>
        </is>
      </c>
      <c r="J571" s="96" t="n">
        <v>46099</v>
      </c>
      <c r="K571" s="96" t="n">
        <v>46100</v>
      </c>
      <c r="M571" t="inlineStr">
        <is>
          <t>Managed Services (MSP)</t>
        </is>
      </c>
      <c r="O571" t="inlineStr">
        <is>
          <t>Ashutosh Chauhan</t>
        </is>
      </c>
      <c r="Y571" t="inlineStr">
        <is>
          <t>2026-02-18</t>
        </is>
      </c>
      <c r="Z571" t="inlineStr">
        <is>
          <t>https://app.hubspot.com/contacts/243046792/record/0-3/300012593891</t>
        </is>
      </c>
    </row>
    <row r="572">
      <c r="A572" t="n">
        <v>571</v>
      </c>
      <c r="B572" t="inlineStr">
        <is>
          <t>316972713685</t>
        </is>
      </c>
      <c r="D572" t="inlineStr">
        <is>
          <t>PCI Penetration Testing</t>
        </is>
      </c>
      <c r="E572" t="inlineStr">
        <is>
          <t>Gwinnett County</t>
        </is>
      </c>
      <c r="F572" t="inlineStr">
        <is>
          <t>Georgia</t>
        </is>
      </c>
      <c r="G572" t="inlineStr">
        <is>
          <t>Submitted</t>
        </is>
      </c>
      <c r="H572" t="inlineStr">
        <is>
          <t>No</t>
        </is>
      </c>
      <c r="J572" s="96" t="n">
        <v>46100</v>
      </c>
      <c r="K572" s="96" t="n">
        <v>46100</v>
      </c>
      <c r="L572" s="65" t="n">
        <v>47860</v>
      </c>
      <c r="M572" t="inlineStr">
        <is>
          <t>Audits and Assessment</t>
        </is>
      </c>
      <c r="N572" t="inlineStr">
        <is>
          <t>Email</t>
        </is>
      </c>
      <c r="O572" t="inlineStr">
        <is>
          <t>Jyothsna Nanda kishore</t>
        </is>
      </c>
      <c r="Y572" t="inlineStr">
        <is>
          <t>2026-03-19</t>
        </is>
      </c>
      <c r="Z572" t="inlineStr">
        <is>
          <t>https://app.hubspot.com/contacts/243046792/record/0-3/316972713685</t>
        </is>
      </c>
    </row>
    <row r="573">
      <c r="A573" t="n">
        <v>572</v>
      </c>
      <c r="B573" t="inlineStr">
        <is>
          <t>295715762925</t>
        </is>
      </c>
      <c r="D573" t="inlineStr">
        <is>
          <t xml:space="preserve">2026 On-Call Professional Services Request for Qualifications </t>
        </is>
      </c>
      <c r="E573" t="inlineStr">
        <is>
          <t>City of Lincoln</t>
        </is>
      </c>
      <c r="F573" t="inlineStr">
        <is>
          <t>California</t>
        </is>
      </c>
      <c r="G573" t="inlineStr">
        <is>
          <t>Submitted</t>
        </is>
      </c>
      <c r="H573" t="inlineStr">
        <is>
          <t>No</t>
        </is>
      </c>
      <c r="J573" s="96" t="n">
        <v>46101</v>
      </c>
      <c r="K573" s="96" t="n">
        <v>46101</v>
      </c>
      <c r="M573" t="inlineStr">
        <is>
          <t>Staff Augmentation</t>
        </is>
      </c>
      <c r="O573" t="inlineStr">
        <is>
          <t>Savya Atrey</t>
        </is>
      </c>
      <c r="Y573" s="96" t="n">
        <v>46066</v>
      </c>
      <c r="Z573" t="inlineStr">
        <is>
          <t>https://app.hubspot.com/contacts/243046792/record/0-3/295715762925</t>
        </is>
      </c>
    </row>
    <row r="574">
      <c r="A574" t="n">
        <v>573</v>
      </c>
      <c r="B574" t="inlineStr">
        <is>
          <t>292900217566</t>
        </is>
      </c>
      <c r="D574" t="inlineStr">
        <is>
          <t>Customer Relationship Management (CRM) Solution and Implementation Services</t>
        </is>
      </c>
      <c r="E574" t="inlineStr">
        <is>
          <t>City of Boulder</t>
        </is>
      </c>
      <c r="F574" t="inlineStr">
        <is>
          <t>Colorado</t>
        </is>
      </c>
      <c r="G574" t="inlineStr">
        <is>
          <t>RFx Cancelled</t>
        </is>
      </c>
      <c r="H574" t="inlineStr">
        <is>
          <t>No</t>
        </is>
      </c>
      <c r="J574" s="96" t="n">
        <v>46101</v>
      </c>
      <c r="K574" s="96" t="n">
        <v>46101</v>
      </c>
      <c r="M574" t="inlineStr">
        <is>
          <t>Platform Implementation (ERP, CRMs)</t>
        </is>
      </c>
      <c r="N574" t="inlineStr">
        <is>
          <t>Portal</t>
        </is>
      </c>
      <c r="O574" t="inlineStr">
        <is>
          <t>Ashutosh Chauhan</t>
        </is>
      </c>
      <c r="Y574" t="inlineStr">
        <is>
          <t>2026-02-10</t>
        </is>
      </c>
      <c r="Z574" t="inlineStr">
        <is>
          <t>https://app.hubspot.com/contacts/243046792/record/0-3/292900217566</t>
        </is>
      </c>
    </row>
    <row r="575">
      <c r="A575" t="n">
        <v>574</v>
      </c>
      <c r="B575" t="inlineStr">
        <is>
          <t>304627375806</t>
        </is>
      </c>
      <c r="D575" t="inlineStr">
        <is>
          <t>OFF-Managed Information Technology Services</t>
        </is>
      </c>
      <c r="E575" t="inlineStr">
        <is>
          <t>Town of Spencer</t>
        </is>
      </c>
      <c r="F575" t="inlineStr">
        <is>
          <t>Massachusetts</t>
        </is>
      </c>
      <c r="G575" t="inlineStr">
        <is>
          <t>Submitted</t>
        </is>
      </c>
      <c r="H575" t="inlineStr">
        <is>
          <t>No</t>
        </is>
      </c>
      <c r="J575" s="96" t="n">
        <v>46101</v>
      </c>
      <c r="K575" s="96" t="n">
        <v>46101</v>
      </c>
      <c r="M575" t="inlineStr">
        <is>
          <t>Managed Services (MSP)</t>
        </is>
      </c>
      <c r="N575" t="inlineStr">
        <is>
          <t>Offline</t>
        </is>
      </c>
      <c r="O575" t="inlineStr">
        <is>
          <t>Ashutosh Chauhan</t>
        </is>
      </c>
      <c r="Y575" s="96" t="n">
        <v>46077</v>
      </c>
      <c r="Z575" t="inlineStr">
        <is>
          <t>https://app.hubspot.com/contacts/243046792/record/0-3/304627375806</t>
        </is>
      </c>
    </row>
    <row r="576">
      <c r="A576" t="n">
        <v>575</v>
      </c>
      <c r="B576" t="inlineStr">
        <is>
          <t>304631798505</t>
        </is>
      </c>
      <c r="D576" t="inlineStr">
        <is>
          <t>OFF - Information Technology Managed Services</t>
        </is>
      </c>
      <c r="E576" t="inlineStr">
        <is>
          <t>City of St. Johns</t>
        </is>
      </c>
      <c r="F576" t="inlineStr">
        <is>
          <t>Michigan</t>
        </is>
      </c>
      <c r="G576" t="inlineStr">
        <is>
          <t>Closed Lost</t>
        </is>
      </c>
      <c r="H576" t="inlineStr">
        <is>
          <t>No</t>
        </is>
      </c>
      <c r="J576" s="96" t="n">
        <v>46183</v>
      </c>
      <c r="K576" s="96" t="n">
        <v>46101</v>
      </c>
      <c r="M576" t="inlineStr">
        <is>
          <t>Managed Services (MSP)</t>
        </is>
      </c>
      <c r="O576" t="inlineStr">
        <is>
          <t>Ashutosh Chauhan</t>
        </is>
      </c>
      <c r="Y576" t="inlineStr">
        <is>
          <t>2026-02-25</t>
        </is>
      </c>
      <c r="Z576" t="inlineStr">
        <is>
          <t>https://app.hubspot.com/contacts/243046792/record/0-3/304631798505</t>
        </is>
      </c>
    </row>
    <row r="577">
      <c r="A577" t="n">
        <v>576</v>
      </c>
      <c r="B577" t="inlineStr">
        <is>
          <t>310412415715</t>
        </is>
      </c>
      <c r="D577" t="inlineStr">
        <is>
          <t>Internal and External Penetration Testing</t>
        </is>
      </c>
      <c r="E577" t="inlineStr">
        <is>
          <t>Village of Palantine</t>
        </is>
      </c>
      <c r="F577" t="inlineStr">
        <is>
          <t>Illinois</t>
        </is>
      </c>
      <c r="G577" t="inlineStr">
        <is>
          <t>Submitted</t>
        </is>
      </c>
      <c r="H577" t="inlineStr">
        <is>
          <t>No</t>
        </is>
      </c>
      <c r="J577" s="96" t="n">
        <v>46104</v>
      </c>
      <c r="K577" s="96" t="n">
        <v>46101</v>
      </c>
      <c r="M577" t="inlineStr">
        <is>
          <t>Audits and Assessment</t>
        </is>
      </c>
      <c r="N577" t="inlineStr">
        <is>
          <t>Email</t>
        </is>
      </c>
      <c r="O577" t="inlineStr">
        <is>
          <t>Jyothsna Nanda kishore</t>
        </is>
      </c>
      <c r="Y577" t="inlineStr">
        <is>
          <t>2026-03-03</t>
        </is>
      </c>
      <c r="Z577" t="inlineStr">
        <is>
          <t>https://app.hubspot.com/contacts/243046792/record/0-3/310412415715</t>
        </is>
      </c>
    </row>
    <row r="578">
      <c r="A578" t="n">
        <v>577</v>
      </c>
      <c r="B578" t="inlineStr">
        <is>
          <t>293080582848</t>
        </is>
      </c>
      <c r="D578" t="inlineStr">
        <is>
          <t xml:space="preserve">PPDA Managed IT </t>
        </is>
      </c>
      <c r="E578" t="inlineStr">
        <is>
          <t>State Fiscal Accountability Authority</t>
        </is>
      </c>
      <c r="F578" t="inlineStr">
        <is>
          <t>South Carolina</t>
        </is>
      </c>
      <c r="G578" t="inlineStr">
        <is>
          <t>Closed Lost</t>
        </is>
      </c>
      <c r="H578" t="inlineStr">
        <is>
          <t>No</t>
        </is>
      </c>
      <c r="J578" s="96" t="n">
        <v>46295</v>
      </c>
      <c r="K578" s="96" t="n">
        <v>46104</v>
      </c>
      <c r="L578" s="65" t="n">
        <v>175200</v>
      </c>
      <c r="M578" t="inlineStr">
        <is>
          <t>Managed Services (MSP)</t>
        </is>
      </c>
      <c r="O578" t="inlineStr">
        <is>
          <t>Jyothsna Nanda kishore</t>
        </is>
      </c>
      <c r="Y578" t="inlineStr">
        <is>
          <t>2026-02-10</t>
        </is>
      </c>
      <c r="Z578" t="inlineStr">
        <is>
          <t>https://app.hubspot.com/contacts/243046792/record/0-3/293080582848</t>
        </is>
      </c>
    </row>
    <row r="579">
      <c r="A579" t="n">
        <v>578</v>
      </c>
      <c r="B579" t="inlineStr">
        <is>
          <t>269707174591</t>
        </is>
      </c>
      <c r="C579" t="inlineStr">
        <is>
          <t>RITM0116199.BT</t>
        </is>
      </c>
      <c r="D579" t="inlineStr">
        <is>
          <t>MANAGED SERVICES FOR SAP CENTER OF EXCELLENCE (COE)</t>
        </is>
      </c>
      <c r="E579" t="inlineStr">
        <is>
          <t>Sacramento Municipal Utility District</t>
        </is>
      </c>
      <c r="F579" t="inlineStr">
        <is>
          <t>California</t>
        </is>
      </c>
      <c r="G579" t="inlineStr">
        <is>
          <t>Submitted</t>
        </is>
      </c>
      <c r="H579" t="inlineStr">
        <is>
          <t>No</t>
        </is>
      </c>
      <c r="J579" s="96" t="n">
        <v>46105</v>
      </c>
      <c r="K579" s="96" t="n">
        <v>46104</v>
      </c>
      <c r="L579" s="65" t="n">
        <v>1664380</v>
      </c>
      <c r="M579" t="inlineStr">
        <is>
          <t>Managed Services (MSP)</t>
        </is>
      </c>
      <c r="N579" t="inlineStr">
        <is>
          <t>Portal</t>
        </is>
      </c>
      <c r="O579" t="inlineStr">
        <is>
          <t>Savya Atrey</t>
        </is>
      </c>
      <c r="Y579" t="inlineStr">
        <is>
          <t>2026-01-21</t>
        </is>
      </c>
      <c r="Z579" t="inlineStr">
        <is>
          <t>https://app.hubspot.com/contacts/243046792/record/0-3/269707174591</t>
        </is>
      </c>
    </row>
    <row r="580">
      <c r="A580" t="n">
        <v>579</v>
      </c>
      <c r="B580" t="inlineStr">
        <is>
          <t>316626904813</t>
        </is>
      </c>
      <c r="C580" t="inlineStr">
        <is>
          <t>26-004</t>
        </is>
      </c>
      <c r="D580" t="inlineStr">
        <is>
          <t>ManageEngine Endpoint Central Cloud UEM Subscription</t>
        </is>
      </c>
      <c r="E580" t="inlineStr">
        <is>
          <t>City of Dania Beach</t>
        </is>
      </c>
      <c r="F580" t="inlineStr">
        <is>
          <t>Florida</t>
        </is>
      </c>
      <c r="G580" t="inlineStr">
        <is>
          <t>Submitted</t>
        </is>
      </c>
      <c r="H580" t="inlineStr">
        <is>
          <t>No</t>
        </is>
      </c>
      <c r="J580" s="96" t="n">
        <v>46105</v>
      </c>
      <c r="K580" s="96" t="n">
        <v>46105</v>
      </c>
      <c r="L580" s="65" t="n">
        <v>9175</v>
      </c>
      <c r="M580" t="inlineStr">
        <is>
          <t>Reseller</t>
        </is>
      </c>
      <c r="N580" t="inlineStr">
        <is>
          <t>Portal</t>
        </is>
      </c>
      <c r="O580" t="inlineStr">
        <is>
          <t>Jyothsna Nanda kishore</t>
        </is>
      </c>
      <c r="Y580" s="96" t="n">
        <v>46098</v>
      </c>
      <c r="Z580" t="inlineStr">
        <is>
          <t>https://app.hubspot.com/contacts/243046792/record/0-3/316626904813</t>
        </is>
      </c>
    </row>
    <row r="581">
      <c r="A581" t="n">
        <v>580</v>
      </c>
      <c r="B581" t="inlineStr">
        <is>
          <t>316971216590</t>
        </is>
      </c>
      <c r="D581" t="inlineStr">
        <is>
          <t>Airport Technology Consulting Services</t>
        </is>
      </c>
      <c r="E581" t="inlineStr">
        <is>
          <t>Metropolitan Washington Airports Authority</t>
        </is>
      </c>
      <c r="F581" t="inlineStr">
        <is>
          <t>Washington, D.C.</t>
        </is>
      </c>
      <c r="G581" t="inlineStr">
        <is>
          <t>Submitted</t>
        </is>
      </c>
      <c r="H581" t="inlineStr">
        <is>
          <t>No</t>
        </is>
      </c>
      <c r="J581" s="96" t="n">
        <v>46105</v>
      </c>
      <c r="K581" s="96" t="n">
        <v>46105</v>
      </c>
      <c r="M581" t="inlineStr">
        <is>
          <t>Consulting</t>
        </is>
      </c>
      <c r="O581" t="inlineStr">
        <is>
          <t>Jyothsna Nanda kishore</t>
        </is>
      </c>
      <c r="Y581" t="inlineStr">
        <is>
          <t>2026-03-18</t>
        </is>
      </c>
      <c r="Z581" t="inlineStr">
        <is>
          <t>https://app.hubspot.com/contacts/243046792/record/0-3/316971216590</t>
        </is>
      </c>
    </row>
    <row r="582">
      <c r="A582" t="n">
        <v>581</v>
      </c>
      <c r="B582" t="inlineStr">
        <is>
          <t>310413135583</t>
        </is>
      </c>
      <c r="C582" t="inlineStr">
        <is>
          <t xml:space="preserve">RFP NO. 4-2026 </t>
        </is>
      </c>
      <c r="D582" t="inlineStr">
        <is>
          <t xml:space="preserve">TO SELECT A CONSULTANT TO DEVELOP A TECHNOLOGY STRATEGIC PLAN </t>
        </is>
      </c>
      <c r="E582" t="inlineStr">
        <is>
          <t>Ohio Turnpike and Infrastructure Commission</t>
        </is>
      </c>
      <c r="F582" t="inlineStr">
        <is>
          <t>Ohio</t>
        </is>
      </c>
      <c r="G582" t="inlineStr">
        <is>
          <t>Closed Lost</t>
        </is>
      </c>
      <c r="H582" t="inlineStr">
        <is>
          <t>No</t>
        </is>
      </c>
      <c r="J582" s="96" t="n">
        <v>46290</v>
      </c>
      <c r="K582" s="96" t="n">
        <v>46105</v>
      </c>
      <c r="M582" t="inlineStr">
        <is>
          <t>Consulting</t>
        </is>
      </c>
      <c r="N582" t="inlineStr">
        <is>
          <t>Email</t>
        </is>
      </c>
      <c r="O582" t="inlineStr">
        <is>
          <t>Jyothsna Nanda kishore</t>
        </is>
      </c>
      <c r="Y582" t="inlineStr">
        <is>
          <t>2026-03-03</t>
        </is>
      </c>
      <c r="Z582" t="inlineStr">
        <is>
          <t>https://app.hubspot.com/contacts/243046792/record/0-3/310413135583</t>
        </is>
      </c>
    </row>
    <row r="583">
      <c r="A583" t="n">
        <v>582</v>
      </c>
      <c r="B583" t="inlineStr">
        <is>
          <t>316634162921</t>
        </is>
      </c>
      <c r="D583" t="inlineStr">
        <is>
          <t>Information Technology Consulting and Technology Support Services</t>
        </is>
      </c>
      <c r="E583" t="inlineStr">
        <is>
          <t>Seaside Heights Borough</t>
        </is>
      </c>
      <c r="F583" t="inlineStr">
        <is>
          <t>New Jersey</t>
        </is>
      </c>
      <c r="G583" t="inlineStr">
        <is>
          <t>Closed Lost</t>
        </is>
      </c>
      <c r="H583" t="inlineStr">
        <is>
          <t>No</t>
        </is>
      </c>
      <c r="J583" s="96" t="n">
        <v>46118</v>
      </c>
      <c r="K583" s="96" t="n">
        <v>46105</v>
      </c>
      <c r="L583" s="65" t="n">
        <v>54820</v>
      </c>
      <c r="M583" t="inlineStr">
        <is>
          <t>Managed Services (MSP)</t>
        </is>
      </c>
      <c r="N583" t="inlineStr">
        <is>
          <t>Offline</t>
        </is>
      </c>
      <c r="O583" t="inlineStr">
        <is>
          <t>Savya Atrey</t>
        </is>
      </c>
      <c r="Y583" t="inlineStr">
        <is>
          <t>2026-03-18</t>
        </is>
      </c>
      <c r="Z583" t="inlineStr">
        <is>
          <t>https://app.hubspot.com/contacts/243046792/record/0-3/316634162921</t>
        </is>
      </c>
    </row>
    <row r="584">
      <c r="A584" t="n">
        <v>583</v>
      </c>
      <c r="B584" t="inlineStr">
        <is>
          <t>316123950830</t>
        </is>
      </c>
      <c r="D584" t="inlineStr">
        <is>
          <t>AI Readiness Training</t>
        </is>
      </c>
      <c r="E584" t="inlineStr">
        <is>
          <t>Cincinnati Metropolitan Housing Authority</t>
        </is>
      </c>
      <c r="F584" t="inlineStr">
        <is>
          <t>Ohio</t>
        </is>
      </c>
      <c r="G584" t="inlineStr">
        <is>
          <t>Closed Lost</t>
        </is>
      </c>
      <c r="H584" t="inlineStr">
        <is>
          <t>No</t>
        </is>
      </c>
      <c r="J584" s="96" t="n">
        <v>46161</v>
      </c>
      <c r="K584" s="96" t="n">
        <v>46105</v>
      </c>
      <c r="M584" t="inlineStr">
        <is>
          <t>Training</t>
        </is>
      </c>
      <c r="O584" t="inlineStr">
        <is>
          <t>Savya Atrey</t>
        </is>
      </c>
      <c r="Y584" t="inlineStr">
        <is>
          <t>2026-03-13</t>
        </is>
      </c>
      <c r="Z584" t="inlineStr">
        <is>
          <t>https://app.hubspot.com/contacts/243046792/record/0-3/316123950830</t>
        </is>
      </c>
    </row>
    <row r="585">
      <c r="A585" t="n">
        <v>584</v>
      </c>
      <c r="B585" t="inlineStr">
        <is>
          <t>316973419240</t>
        </is>
      </c>
      <c r="D585" t="inlineStr">
        <is>
          <t>.Net Core Modernization</t>
        </is>
      </c>
      <c r="E585" t="inlineStr">
        <is>
          <t>California Housing Finance Agency (CalHFA)</t>
        </is>
      </c>
      <c r="F585" t="inlineStr">
        <is>
          <t>California</t>
        </is>
      </c>
      <c r="G585" t="inlineStr">
        <is>
          <t>Closed Lost</t>
        </is>
      </c>
      <c r="H585" t="inlineStr">
        <is>
          <t>No</t>
        </is>
      </c>
      <c r="J585" s="96" t="n">
        <v>46147</v>
      </c>
      <c r="K585" s="96" t="n">
        <v>46106</v>
      </c>
      <c r="L585" s="65" t="n">
        <v>218800</v>
      </c>
      <c r="M585" t="inlineStr">
        <is>
          <t>Support &amp; Maintenance</t>
        </is>
      </c>
      <c r="N585" t="inlineStr">
        <is>
          <t>Email</t>
        </is>
      </c>
      <c r="O585" t="inlineStr">
        <is>
          <t>Jyothsna Nanda kishore</t>
        </is>
      </c>
      <c r="Y585" t="inlineStr">
        <is>
          <t>2026-03-19</t>
        </is>
      </c>
      <c r="Z585" t="inlineStr">
        <is>
          <t>https://app.hubspot.com/contacts/243046792/record/0-3/316973419240</t>
        </is>
      </c>
    </row>
    <row r="586">
      <c r="A586" t="n">
        <v>585</v>
      </c>
      <c r="B586" t="inlineStr">
        <is>
          <t>292902372057</t>
        </is>
      </c>
      <c r="D586" t="inlineStr">
        <is>
          <t>CMS Project Assistant 2026</t>
        </is>
      </c>
      <c r="E586" t="inlineStr">
        <is>
          <t>NYS Office of Children &amp; Family Services [NY]</t>
        </is>
      </c>
      <c r="F586" t="inlineStr">
        <is>
          <t>New York</t>
        </is>
      </c>
      <c r="G586" t="inlineStr">
        <is>
          <t>Closed Lost</t>
        </is>
      </c>
      <c r="H586" t="inlineStr">
        <is>
          <t>No</t>
        </is>
      </c>
      <c r="J586" s="96" t="n">
        <v>46156</v>
      </c>
      <c r="K586" s="96" t="n">
        <v>46106</v>
      </c>
      <c r="M586" t="inlineStr">
        <is>
          <t>Staff Augmentation</t>
        </is>
      </c>
      <c r="N586" t="inlineStr">
        <is>
          <t>Email</t>
        </is>
      </c>
      <c r="O586" t="inlineStr">
        <is>
          <t>Ashutosh Chauhan</t>
        </is>
      </c>
      <c r="Y586" t="inlineStr">
        <is>
          <t>2026-02-10</t>
        </is>
      </c>
      <c r="Z586" t="inlineStr">
        <is>
          <t>https://app.hubspot.com/contacts/243046792/record/0-3/292902372057</t>
        </is>
      </c>
    </row>
    <row r="587">
      <c r="A587" t="n">
        <v>586</v>
      </c>
      <c r="B587" t="inlineStr">
        <is>
          <t>316931666637</t>
        </is>
      </c>
      <c r="D587" t="inlineStr">
        <is>
          <t>ManageEngine ADAudit/Endpoint/ServiceDesk</t>
        </is>
      </c>
      <c r="E587" t="inlineStr">
        <is>
          <t>Sacramento Regional Transit District</t>
        </is>
      </c>
      <c r="F587" t="inlineStr">
        <is>
          <t>California</t>
        </is>
      </c>
      <c r="G587" t="inlineStr">
        <is>
          <t>Submitted</t>
        </is>
      </c>
      <c r="H587" t="inlineStr">
        <is>
          <t>No</t>
        </is>
      </c>
      <c r="J587" s="96" t="n">
        <v>46107</v>
      </c>
      <c r="K587" s="96" t="n">
        <v>46107</v>
      </c>
      <c r="L587" s="65" t="n">
        <v>57665</v>
      </c>
      <c r="M587" t="inlineStr">
        <is>
          <t>Reseller</t>
        </is>
      </c>
      <c r="N587" t="inlineStr">
        <is>
          <t>Portal</t>
        </is>
      </c>
      <c r="O587" t="inlineStr">
        <is>
          <t>Savya Atrey</t>
        </is>
      </c>
      <c r="Y587" s="96" t="n">
        <v>46100</v>
      </c>
      <c r="Z587" t="inlineStr">
        <is>
          <t>https://app.hubspot.com/contacts/243046792/record/0-3/316931666637</t>
        </is>
      </c>
    </row>
    <row r="588">
      <c r="A588" t="n">
        <v>587</v>
      </c>
      <c r="B588" t="inlineStr">
        <is>
          <t>316633506500</t>
        </is>
      </c>
      <c r="D588" t="inlineStr">
        <is>
          <t>ERP Consultant Services</t>
        </is>
      </c>
      <c r="E588" t="inlineStr">
        <is>
          <t>Eau Claire County</t>
        </is>
      </c>
      <c r="F588" t="inlineStr">
        <is>
          <t>Wisconsin</t>
        </is>
      </c>
      <c r="G588" t="inlineStr">
        <is>
          <t>Submitted</t>
        </is>
      </c>
      <c r="H588" t="inlineStr">
        <is>
          <t>No</t>
        </is>
      </c>
      <c r="J588" s="96" t="n">
        <v>46107</v>
      </c>
      <c r="K588" s="96" t="n">
        <v>46107</v>
      </c>
      <c r="M588" t="inlineStr">
        <is>
          <t>Consulting</t>
        </is>
      </c>
      <c r="O588" t="inlineStr">
        <is>
          <t>Savya Atrey</t>
        </is>
      </c>
      <c r="Y588" s="96" t="n">
        <v>46099</v>
      </c>
      <c r="Z588" t="inlineStr">
        <is>
          <t>https://app.hubspot.com/contacts/243046792/record/0-3/316633506500</t>
        </is>
      </c>
    </row>
    <row r="589">
      <c r="A589" t="n">
        <v>588</v>
      </c>
      <c r="B589" t="inlineStr">
        <is>
          <t>301182546620</t>
        </is>
      </c>
      <c r="C589" t="inlineStr">
        <is>
          <t>SLCI26035</t>
        </is>
      </c>
      <c r="D589" t="inlineStr">
        <is>
          <t>Website Hosting Services</t>
        </is>
      </c>
      <c r="E589" t="inlineStr">
        <is>
          <t xml:space="preserve">Salt Lake City </t>
        </is>
      </c>
      <c r="F589" t="inlineStr">
        <is>
          <t>Utah</t>
        </is>
      </c>
      <c r="G589" t="inlineStr">
        <is>
          <t>Submitted</t>
        </is>
      </c>
      <c r="H589" t="inlineStr">
        <is>
          <t>No</t>
        </is>
      </c>
      <c r="J589" s="96" t="n">
        <v>46107</v>
      </c>
      <c r="K589" s="96" t="n">
        <v>46107</v>
      </c>
      <c r="M589" t="inlineStr">
        <is>
          <t>Support &amp; Maintenance</t>
        </is>
      </c>
      <c r="N589" t="inlineStr">
        <is>
          <t>Portal</t>
        </is>
      </c>
      <c r="O589" t="inlineStr">
        <is>
          <t>Ashutosh Chauhan</t>
        </is>
      </c>
      <c r="Y589" s="96" t="n">
        <v>46071</v>
      </c>
      <c r="Z589" t="inlineStr">
        <is>
          <t>https://app.hubspot.com/contacts/243046792/record/0-3/301182546620</t>
        </is>
      </c>
    </row>
    <row r="590">
      <c r="A590" t="n">
        <v>589</v>
      </c>
      <c r="B590" t="inlineStr">
        <is>
          <t>316626185935</t>
        </is>
      </c>
      <c r="C590" t="inlineStr">
        <is>
          <t>26-002</t>
        </is>
      </c>
      <c r="D590" t="inlineStr">
        <is>
          <t>CYBERSECURITY NIST GAP ANALYSIS</t>
        </is>
      </c>
      <c r="E590" t="inlineStr">
        <is>
          <t>Three Valleys Municipal Water District</t>
        </is>
      </c>
      <c r="F590" t="inlineStr">
        <is>
          <t>California</t>
        </is>
      </c>
      <c r="G590" t="inlineStr">
        <is>
          <t>Closed Lost</t>
        </is>
      </c>
      <c r="H590" t="inlineStr">
        <is>
          <t>No</t>
        </is>
      </c>
      <c r="J590" s="96" t="n">
        <v>46147</v>
      </c>
      <c r="K590" s="96" t="n">
        <v>46107</v>
      </c>
      <c r="M590" t="inlineStr">
        <is>
          <t>Audits and Assessment</t>
        </is>
      </c>
      <c r="N590" t="inlineStr">
        <is>
          <t>Portal</t>
        </is>
      </c>
      <c r="O590" t="inlineStr">
        <is>
          <t>Jyothsna Nanda kishore</t>
        </is>
      </c>
      <c r="Y590" t="inlineStr">
        <is>
          <t>2026-03-17</t>
        </is>
      </c>
      <c r="Z590" t="inlineStr">
        <is>
          <t>https://app.hubspot.com/contacts/243046792/record/0-3/316626185935</t>
        </is>
      </c>
    </row>
    <row r="591">
      <c r="A591" t="n">
        <v>590</v>
      </c>
      <c r="B591" t="inlineStr">
        <is>
          <t>291136345846</t>
        </is>
      </c>
      <c r="D591" t="inlineStr">
        <is>
          <t>2025 Citywide Information Technology (IT) Professionals RFQ</t>
        </is>
      </c>
      <c r="E591" t="inlineStr">
        <is>
          <t>City of Los Angeles (City) Information Technology Agency (ITA)</t>
        </is>
      </c>
      <c r="F591" t="inlineStr">
        <is>
          <t>California</t>
        </is>
      </c>
      <c r="G591" t="inlineStr">
        <is>
          <t>Closed Lost</t>
        </is>
      </c>
      <c r="H591" t="inlineStr">
        <is>
          <t>No</t>
        </is>
      </c>
      <c r="J591" s="96" t="n">
        <v>46223</v>
      </c>
      <c r="K591" s="96" t="n">
        <v>46108</v>
      </c>
      <c r="M591" t="inlineStr">
        <is>
          <t>Managed Services (MSP)</t>
        </is>
      </c>
      <c r="N591" t="inlineStr">
        <is>
          <t>Portal</t>
        </is>
      </c>
      <c r="O591" t="inlineStr">
        <is>
          <t>Jyothsna Nanda kishore</t>
        </is>
      </c>
      <c r="Y591" t="inlineStr">
        <is>
          <t>2026-02-09</t>
        </is>
      </c>
      <c r="Z591" t="inlineStr">
        <is>
          <t>https://app.hubspot.com/contacts/243046792/record/0-3/291136345846</t>
        </is>
      </c>
    </row>
    <row r="592">
      <c r="A592" t="n">
        <v>591</v>
      </c>
      <c r="B592" t="inlineStr">
        <is>
          <t>314639183583</t>
        </is>
      </c>
      <c r="C592" t="inlineStr">
        <is>
          <t>RFP No.: _001</t>
        </is>
      </c>
      <c r="D592" t="inlineStr">
        <is>
          <t>Information Technology Services</t>
        </is>
      </c>
      <c r="E592" t="inlineStr">
        <is>
          <t>Clear Creek School District No. RE-1</t>
        </is>
      </c>
      <c r="F592" t="inlineStr">
        <is>
          <t>Colorado</t>
        </is>
      </c>
      <c r="G592" t="inlineStr">
        <is>
          <t>Closed Lost</t>
        </is>
      </c>
      <c r="H592" t="inlineStr">
        <is>
          <t>Yes</t>
        </is>
      </c>
      <c r="I592" t="inlineStr">
        <is>
          <t>Interview</t>
        </is>
      </c>
      <c r="J592" s="96" t="n">
        <v>46143</v>
      </c>
      <c r="K592" s="96" t="n">
        <v>46108</v>
      </c>
      <c r="L592" s="65" t="n">
        <v>212330</v>
      </c>
      <c r="M592" t="inlineStr">
        <is>
          <t>Managed Services (MSP)</t>
        </is>
      </c>
      <c r="N592" t="inlineStr">
        <is>
          <t>Portal</t>
        </is>
      </c>
      <c r="O592" t="inlineStr">
        <is>
          <t>Ashutosh Chauhan</t>
        </is>
      </c>
      <c r="P592" t="inlineStr">
        <is>
          <t>Interview Scheduled</t>
        </is>
      </c>
      <c r="Q592" t="inlineStr">
        <is>
          <t>2026-04-14</t>
        </is>
      </c>
      <c r="Y592" t="inlineStr">
        <is>
          <t>2026-03-09</t>
        </is>
      </c>
      <c r="Z592" t="inlineStr">
        <is>
          <t>https://app.hubspot.com/contacts/243046792/record/0-3/314639183583</t>
        </is>
      </c>
    </row>
    <row r="593">
      <c r="A593" t="n">
        <v>592</v>
      </c>
      <c r="B593" t="inlineStr">
        <is>
          <t>316626307776</t>
        </is>
      </c>
      <c r="D593" t="inlineStr">
        <is>
          <t>IT Manager</t>
        </is>
      </c>
      <c r="E593" t="inlineStr">
        <is>
          <t>Meyer Memorial Trust</t>
        </is>
      </c>
      <c r="F593" t="inlineStr">
        <is>
          <t>Oregon</t>
        </is>
      </c>
      <c r="G593" t="inlineStr">
        <is>
          <t>Submitted</t>
        </is>
      </c>
      <c r="H593" t="inlineStr">
        <is>
          <t>No</t>
        </is>
      </c>
      <c r="J593" s="96" t="n">
        <v>46111</v>
      </c>
      <c r="K593" s="96" t="n">
        <v>46111</v>
      </c>
      <c r="M593" t="inlineStr">
        <is>
          <t>Staff Augmentation;Consulting</t>
        </is>
      </c>
      <c r="N593" t="inlineStr">
        <is>
          <t>Email</t>
        </is>
      </c>
      <c r="O593" t="inlineStr">
        <is>
          <t>Savya Atrey</t>
        </is>
      </c>
      <c r="Y593" t="inlineStr">
        <is>
          <t>2026-03-18</t>
        </is>
      </c>
      <c r="Z593" t="inlineStr">
        <is>
          <t>https://app.hubspot.com/contacts/243046792/record/0-3/316626307776</t>
        </is>
      </c>
    </row>
    <row r="594">
      <c r="A594" t="n">
        <v>593</v>
      </c>
      <c r="B594" t="inlineStr">
        <is>
          <t>317911780087</t>
        </is>
      </c>
      <c r="D594" t="inlineStr">
        <is>
          <t>OFF - Managed Technology Services</t>
        </is>
      </c>
      <c r="E594" t="inlineStr">
        <is>
          <t>Chillicothe R-II School District</t>
        </is>
      </c>
      <c r="F594" t="inlineStr">
        <is>
          <t>Missouri</t>
        </is>
      </c>
      <c r="G594" t="inlineStr">
        <is>
          <t>Closed Lost</t>
        </is>
      </c>
      <c r="H594" t="inlineStr">
        <is>
          <t>No</t>
        </is>
      </c>
      <c r="J594" s="96" t="n">
        <v>46202</v>
      </c>
      <c r="K594" s="96" t="n">
        <v>46111</v>
      </c>
      <c r="L594" t="n">
        <v>114000</v>
      </c>
      <c r="M594" t="inlineStr">
        <is>
          <t>Managed Services (MSP)</t>
        </is>
      </c>
      <c r="N594" t="inlineStr">
        <is>
          <t>Offline</t>
        </is>
      </c>
      <c r="O594" t="inlineStr">
        <is>
          <t>Ashutosh Chauhan</t>
        </is>
      </c>
      <c r="Y594" t="inlineStr">
        <is>
          <t>2026-03-26</t>
        </is>
      </c>
      <c r="Z594" t="inlineStr">
        <is>
          <t>https://app.hubspot.com/contacts/243046792/record/0-3/317911780087</t>
        </is>
      </c>
    </row>
    <row r="595">
      <c r="A595" t="n">
        <v>594</v>
      </c>
      <c r="B595" t="inlineStr">
        <is>
          <t>316077053638</t>
        </is>
      </c>
      <c r="C595" t="inlineStr">
        <is>
          <t>5400029438</t>
        </is>
      </c>
      <c r="D595" t="inlineStr">
        <is>
          <t>IT CONSULTING SERVICES</t>
        </is>
      </c>
      <c r="E595" t="inlineStr">
        <is>
          <t>Midlands Technical College</t>
        </is>
      </c>
      <c r="F595" t="inlineStr">
        <is>
          <t>South Carolina</t>
        </is>
      </c>
      <c r="G595" t="inlineStr">
        <is>
          <t>Submitted</t>
        </is>
      </c>
      <c r="H595" t="inlineStr">
        <is>
          <t>No</t>
        </is>
      </c>
      <c r="J595" s="96" t="n">
        <v>46114</v>
      </c>
      <c r="K595" s="96" t="n">
        <v>46111</v>
      </c>
      <c r="L595" s="65" t="n">
        <v>78500</v>
      </c>
      <c r="M595" t="inlineStr">
        <is>
          <t>Consulting</t>
        </is>
      </c>
      <c r="N595" t="inlineStr">
        <is>
          <t>Portal</t>
        </is>
      </c>
      <c r="O595" t="inlineStr">
        <is>
          <t>Jyothsna Nanda kishore</t>
        </is>
      </c>
      <c r="Y595" t="inlineStr">
        <is>
          <t>2026-03-12</t>
        </is>
      </c>
      <c r="Z595" t="inlineStr">
        <is>
          <t>https://app.hubspot.com/contacts/243046792/record/0-3/316077053638</t>
        </is>
      </c>
    </row>
    <row r="596">
      <c r="A596" t="n">
        <v>595</v>
      </c>
      <c r="B596" t="inlineStr">
        <is>
          <t>302813559527</t>
        </is>
      </c>
      <c r="D596" t="inlineStr">
        <is>
          <t>IT Policy Assessment and Development</t>
        </is>
      </c>
      <c r="E596" t="inlineStr">
        <is>
          <t>City of Gaithersburg</t>
        </is>
      </c>
      <c r="F596" t="inlineStr">
        <is>
          <t>Maryland</t>
        </is>
      </c>
      <c r="G596" t="inlineStr">
        <is>
          <t>Submitted</t>
        </is>
      </c>
      <c r="H596" t="inlineStr">
        <is>
          <t>No</t>
        </is>
      </c>
      <c r="J596" s="96" t="n">
        <v>46105</v>
      </c>
      <c r="K596" s="96" t="n">
        <v>46112</v>
      </c>
      <c r="M596" t="inlineStr">
        <is>
          <t>Audits and Assessment;Consulting</t>
        </is>
      </c>
      <c r="O596" t="inlineStr">
        <is>
          <t>Savya Atrey</t>
        </is>
      </c>
      <c r="Y596" t="inlineStr">
        <is>
          <t>2026-02-20</t>
        </is>
      </c>
      <c r="Z596" t="inlineStr">
        <is>
          <t>https://app.hubspot.com/contacts/243046792/record/0-3/302813559527</t>
        </is>
      </c>
    </row>
    <row r="597">
      <c r="A597" t="n">
        <v>596</v>
      </c>
      <c r="B597" t="inlineStr">
        <is>
          <t>310408180446</t>
        </is>
      </c>
      <c r="D597" t="inlineStr">
        <is>
          <t>Digital Transformation and Cybersecurity Solutions for Local Government</t>
        </is>
      </c>
      <c r="E597" t="inlineStr">
        <is>
          <t>Michigan Municipal Services Authority</t>
        </is>
      </c>
      <c r="F597" t="inlineStr">
        <is>
          <t>Michigan</t>
        </is>
      </c>
      <c r="G597" t="inlineStr">
        <is>
          <t>Submitted</t>
        </is>
      </c>
      <c r="H597" t="inlineStr">
        <is>
          <t>No</t>
        </is>
      </c>
      <c r="J597" s="96" t="n">
        <v>46112</v>
      </c>
      <c r="K597" s="96" t="n">
        <v>46112</v>
      </c>
      <c r="M597" t="inlineStr">
        <is>
          <t>Consulting</t>
        </is>
      </c>
      <c r="O597" t="inlineStr">
        <is>
          <t>Savya Atrey</t>
        </is>
      </c>
      <c r="Y597" t="inlineStr">
        <is>
          <t>2026-03-04</t>
        </is>
      </c>
      <c r="Z597" t="inlineStr">
        <is>
          <t>https://app.hubspot.com/contacts/243046792/record/0-3/310408180446</t>
        </is>
      </c>
    </row>
    <row r="598">
      <c r="A598" t="n">
        <v>597</v>
      </c>
      <c r="B598" t="inlineStr">
        <is>
          <t>316627027678</t>
        </is>
      </c>
      <c r="D598" t="inlineStr">
        <is>
          <t>Utility Network for Water System</t>
        </is>
      </c>
      <c r="E598" t="inlineStr">
        <is>
          <t>City of Beaverton</t>
        </is>
      </c>
      <c r="F598" t="inlineStr">
        <is>
          <t>Oregon</t>
        </is>
      </c>
      <c r="G598" t="inlineStr">
        <is>
          <t>Submitted</t>
        </is>
      </c>
      <c r="H598" t="inlineStr">
        <is>
          <t>No</t>
        </is>
      </c>
      <c r="J598" s="96" t="n">
        <v>46112</v>
      </c>
      <c r="K598" s="96" t="n">
        <v>46112</v>
      </c>
      <c r="M598" t="inlineStr">
        <is>
          <t>Consulting</t>
        </is>
      </c>
      <c r="N598" t="inlineStr">
        <is>
          <t>Portal</t>
        </is>
      </c>
      <c r="O598" t="inlineStr">
        <is>
          <t>Savya Atrey</t>
        </is>
      </c>
      <c r="Y598" t="inlineStr">
        <is>
          <t>2026-03-18</t>
        </is>
      </c>
      <c r="Z598" t="inlineStr">
        <is>
          <t>https://app.hubspot.com/contacts/243046792/record/0-3/316627027678</t>
        </is>
      </c>
    </row>
    <row r="599">
      <c r="A599" t="n">
        <v>598</v>
      </c>
      <c r="B599" t="inlineStr">
        <is>
          <t>316632796907</t>
        </is>
      </c>
      <c r="D599" t="inlineStr">
        <is>
          <t>City Information Technology Support Services</t>
        </is>
      </c>
      <c r="E599" t="inlineStr">
        <is>
          <t>City of Pacific</t>
        </is>
      </c>
      <c r="F599" t="inlineStr">
        <is>
          <t>Missouri</t>
        </is>
      </c>
      <c r="G599" t="inlineStr">
        <is>
          <t>Submitted</t>
        </is>
      </c>
      <c r="H599" t="inlineStr">
        <is>
          <t>No</t>
        </is>
      </c>
      <c r="J599" s="96" t="n">
        <v>46114</v>
      </c>
      <c r="K599" s="96" t="n">
        <v>46112</v>
      </c>
      <c r="M599" t="inlineStr">
        <is>
          <t>Managed Services (MSP)</t>
        </is>
      </c>
      <c r="O599" t="inlineStr">
        <is>
          <t>Savya Atrey</t>
        </is>
      </c>
      <c r="Y599" s="96" t="n">
        <v>46099</v>
      </c>
      <c r="Z599" t="inlineStr">
        <is>
          <t>https://app.hubspot.com/contacts/243046792/record/0-3/316632796907</t>
        </is>
      </c>
    </row>
    <row r="600">
      <c r="A600" t="n">
        <v>599</v>
      </c>
      <c r="B600" t="inlineStr">
        <is>
          <t>314883627730</t>
        </is>
      </c>
      <c r="D600" t="inlineStr">
        <is>
          <t>IMPLEMENTATION OF MICROSOFT’S IDENTITY &amp;ACCESS MANAGEMENT (IAM) SOLUTION</t>
        </is>
      </c>
      <c r="E600" t="inlineStr">
        <is>
          <t>County of San Mateo</t>
        </is>
      </c>
      <c r="F600" t="inlineStr">
        <is>
          <t>California</t>
        </is>
      </c>
      <c r="G600" t="inlineStr">
        <is>
          <t>RFx Cancelled</t>
        </is>
      </c>
      <c r="H600" t="inlineStr">
        <is>
          <t>No</t>
        </is>
      </c>
      <c r="J600" s="96" t="n">
        <v>46121</v>
      </c>
      <c r="K600" s="96" t="n">
        <v>46112</v>
      </c>
      <c r="L600" s="65" t="n">
        <v>4891925</v>
      </c>
      <c r="M600" t="inlineStr">
        <is>
          <t>Platform Implementation (ERP, CRMs)</t>
        </is>
      </c>
      <c r="O600" t="inlineStr">
        <is>
          <t>Ashutosh Chauhan</t>
        </is>
      </c>
      <c r="Y600" t="inlineStr">
        <is>
          <t>2026-03-09</t>
        </is>
      </c>
      <c r="Z600" t="inlineStr">
        <is>
          <t>https://app.hubspot.com/contacts/243046792/record/0-3/314883627730</t>
        </is>
      </c>
    </row>
    <row r="601">
      <c r="A601" t="n">
        <v>600</v>
      </c>
      <c r="B601" t="inlineStr">
        <is>
          <t>316334013169</t>
        </is>
      </c>
      <c r="D601" t="inlineStr">
        <is>
          <t>Technology/IT Coordinator (Part Time)</t>
        </is>
      </c>
      <c r="E601" t="inlineStr">
        <is>
          <t>Spero Academy</t>
        </is>
      </c>
      <c r="F601" t="inlineStr">
        <is>
          <t>Minnesota</t>
        </is>
      </c>
      <c r="G601" t="inlineStr">
        <is>
          <t>Closed Lost</t>
        </is>
      </c>
      <c r="H601" t="inlineStr">
        <is>
          <t>No</t>
        </is>
      </c>
      <c r="J601" s="96" t="n">
        <v>46136</v>
      </c>
      <c r="K601" s="96" t="n">
        <v>46112</v>
      </c>
      <c r="M601" t="inlineStr">
        <is>
          <t>Managed Services (MSP)</t>
        </is>
      </c>
      <c r="N601" t="inlineStr">
        <is>
          <t>Email</t>
        </is>
      </c>
      <c r="O601" t="inlineStr">
        <is>
          <t>Ashutosh Chauhan</t>
        </is>
      </c>
      <c r="Y601" t="inlineStr">
        <is>
          <t>2026-03-13</t>
        </is>
      </c>
      <c r="Z601" t="inlineStr">
        <is>
          <t>https://app.hubspot.com/contacts/243046792/record/0-3/316334013169</t>
        </is>
      </c>
    </row>
    <row r="602">
      <c r="A602" t="n">
        <v>601</v>
      </c>
      <c r="B602" t="inlineStr">
        <is>
          <t>316973467380</t>
        </is>
      </c>
      <c r="D602" t="inlineStr">
        <is>
          <t>Cybersecurity Services</t>
        </is>
      </c>
      <c r="E602" t="inlineStr">
        <is>
          <t>City of Meriden</t>
        </is>
      </c>
      <c r="F602" t="inlineStr">
        <is>
          <t>Connecticut</t>
        </is>
      </c>
      <c r="G602" t="inlineStr">
        <is>
          <t>Submitted</t>
        </is>
      </c>
      <c r="H602" t="inlineStr">
        <is>
          <t>No</t>
        </is>
      </c>
      <c r="J602" s="96" t="n">
        <v>46113</v>
      </c>
      <c r="K602" s="96" t="n">
        <v>46113</v>
      </c>
      <c r="L602" s="65" t="n">
        <v>1119000</v>
      </c>
      <c r="M602" t="inlineStr">
        <is>
          <t>Managed Services (MSP)</t>
        </is>
      </c>
      <c r="N602" t="inlineStr">
        <is>
          <t>Portal</t>
        </is>
      </c>
      <c r="O602" t="inlineStr">
        <is>
          <t>Jyothsna Nanda kishore</t>
        </is>
      </c>
      <c r="Y602" t="inlineStr">
        <is>
          <t>2026-03-19</t>
        </is>
      </c>
      <c r="Z602" t="inlineStr">
        <is>
          <t>https://app.hubspot.com/contacts/243046792/record/0-3/316973467380</t>
        </is>
      </c>
    </row>
    <row r="603">
      <c r="A603" t="n">
        <v>602</v>
      </c>
      <c r="B603" t="inlineStr">
        <is>
          <t>316331853561</t>
        </is>
      </c>
      <c r="C603" t="inlineStr">
        <is>
          <t>2026</t>
        </is>
      </c>
      <c r="D603" t="inlineStr">
        <is>
          <t>AI Pilot Project RFQ</t>
        </is>
      </c>
      <c r="E603" t="inlineStr">
        <is>
          <t>Grand County</t>
        </is>
      </c>
      <c r="F603" t="inlineStr">
        <is>
          <t>Colorado</t>
        </is>
      </c>
      <c r="G603" t="inlineStr">
        <is>
          <t>Submitted</t>
        </is>
      </c>
      <c r="H603" t="inlineStr">
        <is>
          <t>No</t>
        </is>
      </c>
      <c r="J603" s="96" t="n">
        <v>46114</v>
      </c>
      <c r="K603" s="96" t="n">
        <v>46114</v>
      </c>
      <c r="M603" t="inlineStr">
        <is>
          <t>Platform Implementation (ERP, CRMs)</t>
        </is>
      </c>
      <c r="O603" t="inlineStr">
        <is>
          <t>Ashutosh Chauhan</t>
        </is>
      </c>
      <c r="Y603" s="96" t="n">
        <v>46094</v>
      </c>
      <c r="Z603" t="inlineStr">
        <is>
          <t>https://app.hubspot.com/contacts/243046792/record/0-3/316331853561</t>
        </is>
      </c>
    </row>
    <row r="604">
      <c r="A604" t="n">
        <v>603</v>
      </c>
      <c r="B604" t="inlineStr">
        <is>
          <t>316076333770</t>
        </is>
      </c>
      <c r="C604" t="inlineStr">
        <is>
          <t>RP011-26</t>
        </is>
      </c>
      <c r="D604" t="inlineStr">
        <is>
          <t>Information Technology and Other Internal Auditing Services</t>
        </is>
      </c>
      <c r="E604" t="inlineStr">
        <is>
          <t>Gwinnett County</t>
        </is>
      </c>
      <c r="F604" t="inlineStr">
        <is>
          <t>Georgia</t>
        </is>
      </c>
      <c r="G604" t="inlineStr">
        <is>
          <t>Closed Lost</t>
        </is>
      </c>
      <c r="H604" t="inlineStr">
        <is>
          <t>No</t>
        </is>
      </c>
      <c r="J604" s="96" t="n">
        <v>46290</v>
      </c>
      <c r="K604" s="96" t="n">
        <v>46114</v>
      </c>
      <c r="L604" s="65" t="n">
        <v>127000</v>
      </c>
      <c r="M604" t="inlineStr">
        <is>
          <t>Audits and Assessment</t>
        </is>
      </c>
      <c r="N604" t="inlineStr">
        <is>
          <t>Offline</t>
        </is>
      </c>
      <c r="O604" t="inlineStr">
        <is>
          <t>Jyothsna Nanda kishore</t>
        </is>
      </c>
      <c r="Y604" t="inlineStr">
        <is>
          <t>2026-03-12</t>
        </is>
      </c>
      <c r="Z604" t="inlineStr">
        <is>
          <t>https://app.hubspot.com/contacts/243046792/record/0-3/316076333770</t>
        </is>
      </c>
    </row>
    <row r="605">
      <c r="A605" t="n">
        <v>604</v>
      </c>
      <c r="B605" t="inlineStr">
        <is>
          <t>316634152684</t>
        </is>
      </c>
      <c r="C605" t="inlineStr">
        <is>
          <t>RFP-2026-01-0-2026/JL</t>
        </is>
      </c>
      <c r="D605" t="inlineStr">
        <is>
          <t>Information Technology Services and Management</t>
        </is>
      </c>
      <c r="E605" t="inlineStr">
        <is>
          <t>Palm Beach Metropolitan Planning Organization</t>
        </is>
      </c>
      <c r="F605" t="inlineStr">
        <is>
          <t>Florida</t>
        </is>
      </c>
      <c r="G605" t="inlineStr">
        <is>
          <t>RFx Cancelled</t>
        </is>
      </c>
      <c r="H605" t="inlineStr">
        <is>
          <t>No</t>
        </is>
      </c>
      <c r="J605" s="96" t="n">
        <v>46115</v>
      </c>
      <c r="K605" s="96" t="n">
        <v>46115</v>
      </c>
      <c r="M605" t="inlineStr">
        <is>
          <t>Managed Services (MSP)</t>
        </is>
      </c>
      <c r="O605" t="inlineStr">
        <is>
          <t>Ashutosh Chauhan</t>
        </is>
      </c>
      <c r="Y605" t="inlineStr">
        <is>
          <t>2026-03-18</t>
        </is>
      </c>
      <c r="Z605" t="inlineStr">
        <is>
          <t>https://app.hubspot.com/contacts/243046792/record/0-3/316634152684</t>
        </is>
      </c>
    </row>
    <row r="606">
      <c r="A606" t="n">
        <v>605</v>
      </c>
      <c r="B606" t="inlineStr">
        <is>
          <t>317944745689</t>
        </is>
      </c>
      <c r="C606" t="inlineStr">
        <is>
          <t>0198-M</t>
        </is>
      </c>
      <c r="D606" t="inlineStr">
        <is>
          <t>Wyoming Digital Archives IT Support</t>
        </is>
      </c>
      <c r="E606" t="inlineStr">
        <is>
          <t>Wyoming Department of Administration &amp; Information</t>
        </is>
      </c>
      <c r="F606" t="inlineStr">
        <is>
          <t>Wyoming</t>
        </is>
      </c>
      <c r="G606" t="inlineStr">
        <is>
          <t>Submitted</t>
        </is>
      </c>
      <c r="H606" t="inlineStr">
        <is>
          <t>No</t>
        </is>
      </c>
      <c r="J606" s="96" t="n">
        <v>46121</v>
      </c>
      <c r="K606" s="96" t="n">
        <v>46115</v>
      </c>
      <c r="L606" s="65" t="n">
        <v>64800</v>
      </c>
      <c r="M606" t="inlineStr">
        <is>
          <t>Support &amp; Maintenance</t>
        </is>
      </c>
      <c r="N606" t="inlineStr">
        <is>
          <t>Portal</t>
        </is>
      </c>
      <c r="O606" t="inlineStr">
        <is>
          <t>Jyothsna Nanda kishore</t>
        </is>
      </c>
      <c r="Y606" s="96" t="n">
        <v>46107</v>
      </c>
      <c r="Z606" t="inlineStr">
        <is>
          <t>https://app.hubspot.com/contacts/243046792/record/0-3/317944745689</t>
        </is>
      </c>
    </row>
    <row r="607">
      <c r="A607" t="n">
        <v>606</v>
      </c>
      <c r="B607" t="inlineStr">
        <is>
          <t>323517591239</t>
        </is>
      </c>
      <c r="D607" t="inlineStr">
        <is>
          <t>Community Action Partnership of Kern - CAPK SOW 1 + AI Training</t>
        </is>
      </c>
      <c r="E607" t="inlineStr">
        <is>
          <t>Community Action Partnership of Kern</t>
        </is>
      </c>
      <c r="F607" t="inlineStr">
        <is>
          <t>California</t>
        </is>
      </c>
      <c r="G607" t="inlineStr">
        <is>
          <t>Closed Won</t>
        </is>
      </c>
      <c r="H607" t="inlineStr">
        <is>
          <t>No</t>
        </is>
      </c>
      <c r="J607" s="96" t="n">
        <v>46296</v>
      </c>
      <c r="K607" s="96" t="n">
        <v>46115</v>
      </c>
      <c r="L607" t="n">
        <v>35756.1</v>
      </c>
      <c r="M607" t="inlineStr">
        <is>
          <t>Consulting;Managed Services (MSP)</t>
        </is>
      </c>
      <c r="O607" t="inlineStr">
        <is>
          <t>Ashutosh Chauhan</t>
        </is>
      </c>
      <c r="S607" s="96" t="n">
        <v>46156</v>
      </c>
      <c r="U607" s="96" t="n">
        <v>46156</v>
      </c>
      <c r="Y607" t="inlineStr">
        <is>
          <t>2026-05-04</t>
        </is>
      </c>
      <c r="Z607" t="inlineStr">
        <is>
          <t>https://app.hubspot.com/contacts/243046792/record/0-3/323517591239</t>
        </is>
      </c>
    </row>
    <row r="608">
      <c r="A608" t="n">
        <v>607</v>
      </c>
      <c r="B608" t="inlineStr">
        <is>
          <t>316973421242</t>
        </is>
      </c>
      <c r="D608" t="inlineStr">
        <is>
          <t xml:space="preserve">As-Needed Cybersecurity Services </t>
        </is>
      </c>
      <c r="E608" t="inlineStr">
        <is>
          <t>Inland Empire Utilities Agency</t>
        </is>
      </c>
      <c r="F608" t="inlineStr">
        <is>
          <t>California</t>
        </is>
      </c>
      <c r="G608" t="inlineStr">
        <is>
          <t>Closed Lost</t>
        </is>
      </c>
      <c r="H608" t="inlineStr">
        <is>
          <t>No</t>
        </is>
      </c>
      <c r="J608" s="96" t="n">
        <v>46197</v>
      </c>
      <c r="K608" s="96" t="n">
        <v>46118</v>
      </c>
      <c r="M608" t="inlineStr">
        <is>
          <t>Managed Services (MSP)</t>
        </is>
      </c>
      <c r="N608" t="inlineStr">
        <is>
          <t>Portal</t>
        </is>
      </c>
      <c r="O608" t="inlineStr">
        <is>
          <t>Jyothsna Nanda kishore</t>
        </is>
      </c>
      <c r="Y608" t="inlineStr">
        <is>
          <t>2026-03-19</t>
        </is>
      </c>
      <c r="Z608" t="inlineStr">
        <is>
          <t>https://app.hubspot.com/contacts/243046792/record/0-3/316973421242</t>
        </is>
      </c>
    </row>
    <row r="609">
      <c r="A609" t="n">
        <v>608</v>
      </c>
      <c r="B609" t="inlineStr">
        <is>
          <t>316925843186</t>
        </is>
      </c>
      <c r="D609" t="inlineStr">
        <is>
          <t>IT SERVICES</t>
        </is>
      </c>
      <c r="E609" t="inlineStr">
        <is>
          <t>BUTLER COUNTY REGIONAL TRANSIT AUTHORITY</t>
        </is>
      </c>
      <c r="F609" t="inlineStr">
        <is>
          <t>Ohio</t>
        </is>
      </c>
      <c r="G609" t="inlineStr">
        <is>
          <t>Submitted</t>
        </is>
      </c>
      <c r="H609" t="inlineStr">
        <is>
          <t>No</t>
        </is>
      </c>
      <c r="J609" s="96" t="n">
        <v>46118</v>
      </c>
      <c r="K609" s="96" t="n">
        <v>46118</v>
      </c>
      <c r="M609" t="inlineStr">
        <is>
          <t>Managed Services (MSP)</t>
        </is>
      </c>
      <c r="O609" t="inlineStr">
        <is>
          <t>Savya Atrey</t>
        </is>
      </c>
      <c r="Y609" t="inlineStr">
        <is>
          <t>2026-03-18</t>
        </is>
      </c>
      <c r="Z609" t="inlineStr">
        <is>
          <t>https://app.hubspot.com/contacts/243046792/record/0-3/316925843186</t>
        </is>
      </c>
    </row>
    <row r="610">
      <c r="A610" t="n">
        <v>609</v>
      </c>
      <c r="B610" t="inlineStr">
        <is>
          <t>317195360975</t>
        </is>
      </c>
      <c r="D610" t="inlineStr">
        <is>
          <t xml:space="preserve">Information Technology Support Services </t>
        </is>
      </c>
      <c r="E610" t="inlineStr">
        <is>
          <t>Early Learning Coalition of Northwest Florida, Inc.</t>
        </is>
      </c>
      <c r="F610" t="inlineStr">
        <is>
          <t>Florida</t>
        </is>
      </c>
      <c r="G610" t="inlineStr">
        <is>
          <t>Submitted</t>
        </is>
      </c>
      <c r="H610" t="inlineStr">
        <is>
          <t>No</t>
        </is>
      </c>
      <c r="J610" s="96" t="n">
        <v>46119</v>
      </c>
      <c r="K610" s="96" t="n">
        <v>46118</v>
      </c>
      <c r="M610" t="inlineStr">
        <is>
          <t>Managed Services (MSP);Support &amp; Maintenance</t>
        </is>
      </c>
      <c r="O610" t="inlineStr">
        <is>
          <t>Savya Atrey</t>
        </is>
      </c>
      <c r="Y610" t="inlineStr">
        <is>
          <t>2026-03-20</t>
        </is>
      </c>
      <c r="Z610" t="inlineStr">
        <is>
          <t>https://app.hubspot.com/contacts/243046792/record/0-3/317195360975</t>
        </is>
      </c>
    </row>
    <row r="611">
      <c r="A611" t="n">
        <v>610</v>
      </c>
      <c r="B611" t="inlineStr">
        <is>
          <t>316930256598</t>
        </is>
      </c>
      <c r="D611" t="inlineStr">
        <is>
          <t>Information Technology Support and Managed IT Services</t>
        </is>
      </c>
      <c r="E611" t="inlineStr">
        <is>
          <t>Macon County</t>
        </is>
      </c>
      <c r="F611" t="inlineStr">
        <is>
          <t>Missouri</t>
        </is>
      </c>
      <c r="G611" t="inlineStr">
        <is>
          <t>Submitted</t>
        </is>
      </c>
      <c r="H611" t="inlineStr">
        <is>
          <t>No</t>
        </is>
      </c>
      <c r="J611" s="96" t="n">
        <v>46121</v>
      </c>
      <c r="K611" s="96" t="n">
        <v>46118</v>
      </c>
      <c r="L611" s="65" t="n">
        <v>16200</v>
      </c>
      <c r="M611" t="inlineStr">
        <is>
          <t>Managed Services (MSP)</t>
        </is>
      </c>
      <c r="N611" t="inlineStr">
        <is>
          <t>Offline</t>
        </is>
      </c>
      <c r="O611" t="inlineStr">
        <is>
          <t>Jyothsna Nanda kishore</t>
        </is>
      </c>
      <c r="Y611" t="inlineStr">
        <is>
          <t>2026-03-19</t>
        </is>
      </c>
      <c r="Z611" t="inlineStr">
        <is>
          <t>https://app.hubspot.com/contacts/243046792/record/0-3/316930256598</t>
        </is>
      </c>
    </row>
    <row r="612">
      <c r="A612" t="n">
        <v>611</v>
      </c>
      <c r="B612" t="inlineStr">
        <is>
          <t>316199248583</t>
        </is>
      </c>
      <c r="D612" t="inlineStr">
        <is>
          <t>RFP for IT Services Provider</t>
        </is>
      </c>
      <c r="E612" t="inlineStr">
        <is>
          <t>Port of Newport</t>
        </is>
      </c>
      <c r="F612" t="inlineStr">
        <is>
          <t>Oregon</t>
        </is>
      </c>
      <c r="G612" t="inlineStr">
        <is>
          <t>Submitted</t>
        </is>
      </c>
      <c r="H612" t="inlineStr">
        <is>
          <t>No</t>
        </is>
      </c>
      <c r="J612" s="96" t="n">
        <v>46119</v>
      </c>
      <c r="K612" s="96" t="n">
        <v>46119</v>
      </c>
      <c r="L612" s="65" t="n">
        <v>53900</v>
      </c>
      <c r="M612" t="inlineStr">
        <is>
          <t>Managed Services (MSP)</t>
        </is>
      </c>
      <c r="N612" t="inlineStr">
        <is>
          <t>Email</t>
        </is>
      </c>
      <c r="O612" t="inlineStr">
        <is>
          <t>Savya Atrey</t>
        </is>
      </c>
      <c r="Y612" t="inlineStr">
        <is>
          <t>2026-03-13</t>
        </is>
      </c>
      <c r="Z612" t="inlineStr">
        <is>
          <t>https://app.hubspot.com/contacts/243046792/record/0-3/316199248583</t>
        </is>
      </c>
    </row>
    <row r="613">
      <c r="A613" t="n">
        <v>612</v>
      </c>
      <c r="B613" t="inlineStr">
        <is>
          <t>302579423962</t>
        </is>
      </c>
      <c r="C613" t="inlineStr">
        <is>
          <t>26-165591</t>
        </is>
      </c>
      <c r="D613" t="inlineStr">
        <is>
          <t>Logging and NERC Compliance Automation Solution</t>
        </is>
      </c>
      <c r="E613" t="inlineStr">
        <is>
          <t>City of Farmington</t>
        </is>
      </c>
      <c r="F613" t="inlineStr">
        <is>
          <t>New Mexico</t>
        </is>
      </c>
      <c r="G613" t="inlineStr">
        <is>
          <t>RFx Cancelled</t>
        </is>
      </c>
      <c r="H613" t="inlineStr">
        <is>
          <t>No</t>
        </is>
      </c>
      <c r="J613" s="96" t="n">
        <v>46119</v>
      </c>
      <c r="K613" s="96" t="n">
        <v>46119</v>
      </c>
      <c r="L613" s="65" t="n">
        <v>389700</v>
      </c>
      <c r="M613" t="inlineStr">
        <is>
          <t>Platform Implementation (ERP, CRMs)</t>
        </is>
      </c>
      <c r="N613" t="inlineStr">
        <is>
          <t>Portal</t>
        </is>
      </c>
      <c r="O613" t="inlineStr">
        <is>
          <t>Savya Atrey</t>
        </is>
      </c>
      <c r="Y613" t="inlineStr">
        <is>
          <t>2026-02-20</t>
        </is>
      </c>
      <c r="Z613" t="inlineStr">
        <is>
          <t>https://app.hubspot.com/contacts/243046792/record/0-3/302579423962</t>
        </is>
      </c>
    </row>
    <row r="614">
      <c r="A614" t="n">
        <v>613</v>
      </c>
      <c r="B614" t="inlineStr">
        <is>
          <t>316932382432</t>
        </is>
      </c>
      <c r="D614" t="inlineStr">
        <is>
          <t xml:space="preserve">Information Technology Services </t>
        </is>
      </c>
      <c r="E614" t="inlineStr">
        <is>
          <t>North Bergen Housing Authority</t>
        </is>
      </c>
      <c r="F614" t="inlineStr">
        <is>
          <t>New Jersey</t>
        </is>
      </c>
      <c r="G614" t="inlineStr">
        <is>
          <t>Submitted</t>
        </is>
      </c>
      <c r="H614" t="inlineStr">
        <is>
          <t>No</t>
        </is>
      </c>
      <c r="J614" s="96" t="n">
        <v>46121</v>
      </c>
      <c r="K614" s="96" t="n">
        <v>46119</v>
      </c>
      <c r="L614" s="65" t="n">
        <v>76800</v>
      </c>
      <c r="M614" t="inlineStr">
        <is>
          <t>Consulting;Managed Services (MSP)</t>
        </is>
      </c>
      <c r="N614" t="inlineStr">
        <is>
          <t>Offline</t>
        </is>
      </c>
      <c r="O614" t="inlineStr">
        <is>
          <t>Jyothsna Nanda kishore</t>
        </is>
      </c>
      <c r="Y614" t="inlineStr">
        <is>
          <t>2026-03-19</t>
        </is>
      </c>
      <c r="Z614" t="inlineStr">
        <is>
          <t>https://app.hubspot.com/contacts/243046792/record/0-3/316932382432</t>
        </is>
      </c>
    </row>
    <row r="615">
      <c r="A615" t="n">
        <v>614</v>
      </c>
      <c r="B615" t="inlineStr">
        <is>
          <t>317791592158</t>
        </is>
      </c>
      <c r="D615" t="inlineStr">
        <is>
          <t>Vermont Education Data Visualizations Dashboard</t>
        </is>
      </c>
      <c r="E615" t="inlineStr">
        <is>
          <t>Vermont Agency of Education</t>
        </is>
      </c>
      <c r="F615" t="inlineStr">
        <is>
          <t>Vermont</t>
        </is>
      </c>
      <c r="G615" t="inlineStr">
        <is>
          <t>Closed Lost</t>
        </is>
      </c>
      <c r="H615" t="inlineStr">
        <is>
          <t>No</t>
        </is>
      </c>
      <c r="J615" s="96" t="n">
        <v>46303</v>
      </c>
      <c r="K615" s="96" t="n">
        <v>46120</v>
      </c>
      <c r="M615" t="inlineStr">
        <is>
          <t>Modernization / Migration;Platform Implementation (ERP, CRMs);Support &amp; Maintenance;Consulting</t>
        </is>
      </c>
      <c r="O615" t="inlineStr">
        <is>
          <t>Ashutosh Chauhan</t>
        </is>
      </c>
      <c r="Y615" t="inlineStr">
        <is>
          <t>2026-03-26</t>
        </is>
      </c>
      <c r="Z615" t="inlineStr">
        <is>
          <t>https://app.hubspot.com/contacts/243046792/record/0-3/317791592158</t>
        </is>
      </c>
    </row>
    <row r="616">
      <c r="A616" t="n">
        <v>615</v>
      </c>
      <c r="B616" t="inlineStr">
        <is>
          <t>304628097754</t>
        </is>
      </c>
      <c r="C616" t="inlineStr">
        <is>
          <t>WS5568983661</t>
        </is>
      </c>
      <c r="D616" t="inlineStr">
        <is>
          <t>151_Managed Detection and Response RFP</t>
        </is>
      </c>
      <c r="E616" t="inlineStr">
        <is>
          <t>Amtrak</t>
        </is>
      </c>
      <c r="F616" t="inlineStr">
        <is>
          <t>Washington</t>
        </is>
      </c>
      <c r="G616" t="inlineStr">
        <is>
          <t>Submitted</t>
        </is>
      </c>
      <c r="H616" t="inlineStr">
        <is>
          <t>No</t>
        </is>
      </c>
      <c r="J616" s="96" t="n">
        <v>46120</v>
      </c>
      <c r="K616" s="96" t="n">
        <v>46120</v>
      </c>
      <c r="M616" t="inlineStr">
        <is>
          <t>Managed Services (MSP)</t>
        </is>
      </c>
      <c r="O616" t="inlineStr">
        <is>
          <t>Ashutosh Chauhan</t>
        </is>
      </c>
      <c r="Y616" s="96" t="n">
        <v>46077</v>
      </c>
      <c r="Z616" t="inlineStr">
        <is>
          <t>https://app.hubspot.com/contacts/243046792/record/0-3/304628097754</t>
        </is>
      </c>
    </row>
    <row r="617">
      <c r="A617" t="n">
        <v>616</v>
      </c>
      <c r="B617" t="inlineStr">
        <is>
          <t>316837417711</t>
        </is>
      </c>
      <c r="D617" t="inlineStr">
        <is>
          <t>FY 25 Sun Cloud Statewide Implementation and Innovations AID Grant RFP</t>
        </is>
      </c>
      <c r="E617" t="inlineStr">
        <is>
          <t>Maricopa Association of Governments</t>
        </is>
      </c>
      <c r="F617" t="inlineStr">
        <is>
          <t>Arizona</t>
        </is>
      </c>
      <c r="G617" t="inlineStr">
        <is>
          <t>Submitted</t>
        </is>
      </c>
      <c r="H617" t="inlineStr">
        <is>
          <t>No</t>
        </is>
      </c>
      <c r="J617" s="96" t="n">
        <v>46120</v>
      </c>
      <c r="K617" s="96" t="n">
        <v>46120</v>
      </c>
      <c r="L617" s="65" t="n">
        <v>649998</v>
      </c>
      <c r="M617" t="inlineStr">
        <is>
          <t>Consulting</t>
        </is>
      </c>
      <c r="O617" t="inlineStr">
        <is>
          <t>Ashutosh Chauhan</t>
        </is>
      </c>
      <c r="Y617" t="inlineStr">
        <is>
          <t>2026-03-18</t>
        </is>
      </c>
      <c r="Z617" t="inlineStr">
        <is>
          <t>https://app.hubspot.com/contacts/243046792/record/0-3/316837417711</t>
        </is>
      </c>
    </row>
    <row r="618">
      <c r="A618" t="n">
        <v>617</v>
      </c>
      <c r="B618" t="inlineStr">
        <is>
          <t>316972747502</t>
        </is>
      </c>
      <c r="D618" t="inlineStr">
        <is>
          <t xml:space="preserve">ADVISORY SERVICES FOR ENTERPRISE RESOURCE PLANNING (ERP) SYSTEM SELECTION AND IMPLEMENTATION </t>
        </is>
      </c>
      <c r="E618" t="inlineStr">
        <is>
          <t>City of Pacific Grove</t>
        </is>
      </c>
      <c r="F618" t="inlineStr">
        <is>
          <t>California</t>
        </is>
      </c>
      <c r="G618" t="inlineStr">
        <is>
          <t>Closed Lost</t>
        </is>
      </c>
      <c r="H618" t="inlineStr">
        <is>
          <t>No</t>
        </is>
      </c>
      <c r="J618" s="96" t="n">
        <v>46294</v>
      </c>
      <c r="K618" s="96" t="n">
        <v>46120</v>
      </c>
      <c r="L618" s="65" t="n">
        <v>134400</v>
      </c>
      <c r="M618" t="inlineStr">
        <is>
          <t>Consulting</t>
        </is>
      </c>
      <c r="N618" t="inlineStr">
        <is>
          <t>Offline</t>
        </is>
      </c>
      <c r="O618" t="inlineStr">
        <is>
          <t>Jyothsna Nanda kishore</t>
        </is>
      </c>
      <c r="Y618" t="inlineStr">
        <is>
          <t>2026-03-19</t>
        </is>
      </c>
      <c r="Z618" t="inlineStr">
        <is>
          <t>https://app.hubspot.com/contacts/243046792/record/0-3/316972747502</t>
        </is>
      </c>
    </row>
    <row r="619">
      <c r="A619" t="n">
        <v>618</v>
      </c>
      <c r="B619" t="inlineStr">
        <is>
          <t>318907181813</t>
        </is>
      </c>
      <c r="D619" t="inlineStr">
        <is>
          <t>OFFLINE - Comprehensive Cyber Security Managed Services &amp; Equipment</t>
        </is>
      </c>
      <c r="E619" t="inlineStr">
        <is>
          <t>City of Dexter</t>
        </is>
      </c>
      <c r="F619" t="inlineStr">
        <is>
          <t>Missouri</t>
        </is>
      </c>
      <c r="G619" t="inlineStr">
        <is>
          <t>Submitted</t>
        </is>
      </c>
      <c r="H619" t="inlineStr">
        <is>
          <t>No</t>
        </is>
      </c>
      <c r="J619" s="96" t="n">
        <v>46122</v>
      </c>
      <c r="K619" s="96" t="n">
        <v>46120</v>
      </c>
      <c r="L619" s="65" t="n">
        <v>162200</v>
      </c>
      <c r="M619" t="inlineStr">
        <is>
          <t>Managed Services (MSP);Reseller</t>
        </is>
      </c>
      <c r="N619" t="inlineStr">
        <is>
          <t>Offline</t>
        </is>
      </c>
      <c r="O619" t="inlineStr">
        <is>
          <t>Savya Atrey</t>
        </is>
      </c>
      <c r="Y619" s="96" t="n">
        <v>46114</v>
      </c>
      <c r="Z619" t="inlineStr">
        <is>
          <t>https://app.hubspot.com/contacts/243046792/record/0-3/318907181813</t>
        </is>
      </c>
    </row>
    <row r="620">
      <c r="A620" t="n">
        <v>619</v>
      </c>
      <c r="B620" t="inlineStr">
        <is>
          <t>305111030499</t>
        </is>
      </c>
      <c r="D620" t="inlineStr">
        <is>
          <t>ITS Salesforce Center of Excellence (COE) Stand-up</t>
        </is>
      </c>
      <c r="E620" t="inlineStr">
        <is>
          <t>NYS Office of Information Technology Services</t>
        </is>
      </c>
      <c r="F620" t="inlineStr">
        <is>
          <t>New York</t>
        </is>
      </c>
      <c r="G620" t="inlineStr">
        <is>
          <t>Closed Lost</t>
        </is>
      </c>
      <c r="H620" t="inlineStr">
        <is>
          <t>No</t>
        </is>
      </c>
      <c r="J620" s="96" t="n">
        <v>46191</v>
      </c>
      <c r="K620" s="96" t="n">
        <v>46121</v>
      </c>
      <c r="M620" t="inlineStr">
        <is>
          <t>Consulting;Platform Implementation (ERP, CRMs)</t>
        </is>
      </c>
      <c r="O620" t="inlineStr">
        <is>
          <t>Jyothsna Nanda kishore</t>
        </is>
      </c>
      <c r="Y620" t="inlineStr">
        <is>
          <t>2026-02-25</t>
        </is>
      </c>
      <c r="Z620" t="inlineStr">
        <is>
          <t>https://app.hubspot.com/contacts/243046792/record/0-3/305111030499</t>
        </is>
      </c>
    </row>
    <row r="621">
      <c r="A621" t="n">
        <v>620</v>
      </c>
      <c r="B621" t="inlineStr">
        <is>
          <t>311299158740</t>
        </is>
      </c>
      <c r="D621" t="inlineStr">
        <is>
          <t xml:space="preserve">Support and Maintenance of Information Technology Systems for Virginia Outdoors Foundation (VOF)  </t>
        </is>
      </c>
      <c r="E621" t="inlineStr">
        <is>
          <t>Virginia Outdoors Foundation (VOF)</t>
        </is>
      </c>
      <c r="F621" t="inlineStr">
        <is>
          <t>Virginia</t>
        </is>
      </c>
      <c r="G621" t="inlineStr">
        <is>
          <t>Submitted</t>
        </is>
      </c>
      <c r="H621" t="inlineStr">
        <is>
          <t>No</t>
        </is>
      </c>
      <c r="J621" s="96" t="n">
        <v>46121</v>
      </c>
      <c r="K621" s="96" t="n">
        <v>46121</v>
      </c>
      <c r="M621" t="inlineStr">
        <is>
          <t>Managed Services (MSP)</t>
        </is>
      </c>
      <c r="O621" t="inlineStr">
        <is>
          <t>Savya Atrey</t>
        </is>
      </c>
      <c r="Y621" t="inlineStr">
        <is>
          <t>2026-03-04</t>
        </is>
      </c>
      <c r="Z621" t="inlineStr">
        <is>
          <t>https://app.hubspot.com/contacts/243046792/record/0-3/311299158740</t>
        </is>
      </c>
    </row>
    <row r="622">
      <c r="A622" t="n">
        <v>621</v>
      </c>
      <c r="B622" t="inlineStr">
        <is>
          <t>319105688274</t>
        </is>
      </c>
      <c r="D622" t="inlineStr">
        <is>
          <t>On-Premises AI Analytics Implementation Project</t>
        </is>
      </c>
      <c r="E622" t="inlineStr">
        <is>
          <t>Ferris State University</t>
        </is>
      </c>
      <c r="F622" t="inlineStr">
        <is>
          <t>Michigan</t>
        </is>
      </c>
      <c r="G622" t="inlineStr">
        <is>
          <t>Submitted</t>
        </is>
      </c>
      <c r="H622" t="inlineStr">
        <is>
          <t>No</t>
        </is>
      </c>
      <c r="J622" s="96" t="n">
        <v>46122</v>
      </c>
      <c r="K622" s="96" t="n">
        <v>46122</v>
      </c>
      <c r="M622" t="inlineStr">
        <is>
          <t>Custom development</t>
        </is>
      </c>
      <c r="O622" t="inlineStr">
        <is>
          <t>Savya Atrey</t>
        </is>
      </c>
      <c r="Y622" s="96" t="n">
        <v>46114</v>
      </c>
      <c r="Z622" t="inlineStr">
        <is>
          <t>https://app.hubspot.com/contacts/243046792/record/0-3/319105688274</t>
        </is>
      </c>
    </row>
    <row r="623">
      <c r="A623" t="n">
        <v>622</v>
      </c>
      <c r="B623" t="inlineStr">
        <is>
          <t>316631239404</t>
        </is>
      </c>
      <c r="C623" t="inlineStr">
        <is>
          <t>21260206151206</t>
        </is>
      </c>
      <c r="D623" t="inlineStr">
        <is>
          <t>Technical Support and Process Development for Collector Systems Units</t>
        </is>
      </c>
      <c r="E623" t="inlineStr">
        <is>
          <t>Philadelphia Water Department</t>
        </is>
      </c>
      <c r="F623" t="inlineStr">
        <is>
          <t>Pennsylvania</t>
        </is>
      </c>
      <c r="G623" t="inlineStr">
        <is>
          <t>Closed Lost</t>
        </is>
      </c>
      <c r="H623" t="inlineStr">
        <is>
          <t>No</t>
        </is>
      </c>
      <c r="J623" s="96" t="n">
        <v>46202</v>
      </c>
      <c r="K623" s="96" t="n">
        <v>46122</v>
      </c>
      <c r="L623" s="65" t="n">
        <v>441600</v>
      </c>
      <c r="M623" t="inlineStr">
        <is>
          <t>Consulting;Managed Services (MSP)</t>
        </is>
      </c>
      <c r="N623" t="inlineStr">
        <is>
          <t>Portal</t>
        </is>
      </c>
      <c r="O623" t="inlineStr">
        <is>
          <t>Ashutosh Chauhan</t>
        </is>
      </c>
      <c r="Y623" s="96" t="n">
        <v>46098</v>
      </c>
      <c r="Z623" t="inlineStr">
        <is>
          <t>https://app.hubspot.com/contacts/243046792/record/0-3/316631239404</t>
        </is>
      </c>
    </row>
    <row r="624">
      <c r="A624" t="n">
        <v>623</v>
      </c>
      <c r="B624" t="inlineStr">
        <is>
          <t>318902876904</t>
        </is>
      </c>
      <c r="D624" t="inlineStr">
        <is>
          <t>Managed Infrastructure Support Services</t>
        </is>
      </c>
      <c r="E624" t="inlineStr">
        <is>
          <t>City of Upper Arlington</t>
        </is>
      </c>
      <c r="F624" t="inlineStr">
        <is>
          <t>Ohio</t>
        </is>
      </c>
      <c r="G624" t="inlineStr">
        <is>
          <t>RFx Cancelled</t>
        </is>
      </c>
      <c r="H624" t="inlineStr">
        <is>
          <t>No</t>
        </is>
      </c>
      <c r="J624" s="96" t="n">
        <v>46125</v>
      </c>
      <c r="K624" s="96" t="n">
        <v>46125</v>
      </c>
      <c r="M624" t="inlineStr">
        <is>
          <t>Managed Services (MSP)</t>
        </is>
      </c>
      <c r="N624" t="inlineStr">
        <is>
          <t>Portal</t>
        </is>
      </c>
      <c r="O624" t="inlineStr">
        <is>
          <t>Jyothsna Nanda kishore</t>
        </is>
      </c>
      <c r="Y624" t="inlineStr">
        <is>
          <t>2026-04-01</t>
        </is>
      </c>
      <c r="Z624" t="inlineStr">
        <is>
          <t>https://app.hubspot.com/contacts/243046792/record/0-3/318902876904</t>
        </is>
      </c>
    </row>
    <row r="625">
      <c r="A625" t="n">
        <v>624</v>
      </c>
      <c r="B625" t="inlineStr">
        <is>
          <t>316633497326</t>
        </is>
      </c>
      <c r="D625" t="inlineStr">
        <is>
          <t>Information Technology Support Services</t>
        </is>
      </c>
      <c r="E625" t="inlineStr">
        <is>
          <t>CITY OF PIEDMONT</t>
        </is>
      </c>
      <c r="F625" t="inlineStr">
        <is>
          <t>California</t>
        </is>
      </c>
      <c r="G625" t="inlineStr">
        <is>
          <t>Submitted</t>
        </is>
      </c>
      <c r="H625" t="inlineStr">
        <is>
          <t>No</t>
        </is>
      </c>
      <c r="J625" s="96" t="n">
        <v>46125</v>
      </c>
      <c r="K625" s="96" t="n">
        <v>46125</v>
      </c>
      <c r="L625" s="65" t="n">
        <v>350500</v>
      </c>
      <c r="M625" t="inlineStr">
        <is>
          <t>Managed Services (MSP);Support &amp; Maintenance</t>
        </is>
      </c>
      <c r="O625" t="inlineStr">
        <is>
          <t>Ashutosh Chauhan</t>
        </is>
      </c>
      <c r="Y625" t="inlineStr">
        <is>
          <t>2026-03-18</t>
        </is>
      </c>
      <c r="Z625" t="inlineStr">
        <is>
          <t>https://app.hubspot.com/contacts/243046792/record/0-3/316633497326</t>
        </is>
      </c>
    </row>
    <row r="626">
      <c r="A626" t="n">
        <v>625</v>
      </c>
      <c r="B626" t="inlineStr">
        <is>
          <t>318902162116</t>
        </is>
      </c>
      <c r="D626" t="inlineStr">
        <is>
          <t>Information Technology (IT) Managed Services</t>
        </is>
      </c>
      <c r="E626" t="inlineStr">
        <is>
          <t>Town of Prospect</t>
        </is>
      </c>
      <c r="F626" t="inlineStr">
        <is>
          <t>Connecticut</t>
        </is>
      </c>
      <c r="G626" t="inlineStr">
        <is>
          <t>Closed Lost</t>
        </is>
      </c>
      <c r="H626" t="inlineStr">
        <is>
          <t>No</t>
        </is>
      </c>
      <c r="J626" s="96" t="n">
        <v>46153</v>
      </c>
      <c r="K626" s="96" t="n">
        <v>46125</v>
      </c>
      <c r="L626" s="65" t="n">
        <v>104400</v>
      </c>
      <c r="M626" t="inlineStr">
        <is>
          <t>Managed Services (MSP)</t>
        </is>
      </c>
      <c r="N626" t="inlineStr">
        <is>
          <t>Offline;Email</t>
        </is>
      </c>
      <c r="O626" t="inlineStr">
        <is>
          <t>Jyothsna Nanda kishore</t>
        </is>
      </c>
      <c r="Y626" t="inlineStr">
        <is>
          <t>2026-04-01</t>
        </is>
      </c>
      <c r="Z626" t="inlineStr">
        <is>
          <t>https://app.hubspot.com/contacts/243046792/record/0-3/318902162116</t>
        </is>
      </c>
    </row>
    <row r="627">
      <c r="A627" t="n">
        <v>626</v>
      </c>
      <c r="B627" t="inlineStr">
        <is>
          <t>316929505981</t>
        </is>
      </c>
      <c r="D627" t="inlineStr">
        <is>
          <t>Salesforce Professional Services</t>
        </is>
      </c>
      <c r="E627" t="inlineStr">
        <is>
          <t>City and County of San Francisco</t>
        </is>
      </c>
      <c r="F627" t="inlineStr">
        <is>
          <t>California</t>
        </is>
      </c>
      <c r="G627" t="inlineStr">
        <is>
          <t>Closed Lost</t>
        </is>
      </c>
      <c r="H627" t="inlineStr">
        <is>
          <t>No</t>
        </is>
      </c>
      <c r="J627" s="96" t="n">
        <v>46174</v>
      </c>
      <c r="K627" s="96" t="n">
        <v>46125</v>
      </c>
      <c r="M627" t="inlineStr">
        <is>
          <t>Staff Augmentation</t>
        </is>
      </c>
      <c r="O627" t="inlineStr">
        <is>
          <t>Jyothsna Nanda kishore</t>
        </is>
      </c>
      <c r="Y627" t="inlineStr">
        <is>
          <t>2026-03-19</t>
        </is>
      </c>
      <c r="Z627" t="inlineStr">
        <is>
          <t>https://app.hubspot.com/contacts/243046792/record/0-3/316929505981</t>
        </is>
      </c>
    </row>
    <row r="628">
      <c r="A628" t="n">
        <v>627</v>
      </c>
      <c r="B628" t="inlineStr">
        <is>
          <t>316199247586</t>
        </is>
      </c>
      <c r="D628" t="inlineStr">
        <is>
          <t>ITS Discretionary Procurement Salesforce</t>
        </is>
      </c>
      <c r="E628" t="inlineStr">
        <is>
          <t>NYS Office of Information Technology Services</t>
        </is>
      </c>
      <c r="F628" t="inlineStr">
        <is>
          <t>New York</t>
        </is>
      </c>
      <c r="G628" t="inlineStr">
        <is>
          <t>Submitted</t>
        </is>
      </c>
      <c r="H628" t="inlineStr">
        <is>
          <t>No</t>
        </is>
      </c>
      <c r="J628" s="96" t="n">
        <v>46126</v>
      </c>
      <c r="K628" s="96" t="n">
        <v>46126</v>
      </c>
      <c r="M628" t="inlineStr">
        <is>
          <t>Staff Augmentation;Consulting</t>
        </is>
      </c>
      <c r="O628" t="inlineStr">
        <is>
          <t>Savya Atrey</t>
        </is>
      </c>
      <c r="Y628" t="inlineStr">
        <is>
          <t>2026-03-13</t>
        </is>
      </c>
      <c r="Z628" t="inlineStr">
        <is>
          <t>https://app.hubspot.com/contacts/243046792/record/0-3/316199247586</t>
        </is>
      </c>
    </row>
    <row r="629">
      <c r="A629" t="n">
        <v>628</v>
      </c>
      <c r="B629" t="inlineStr">
        <is>
          <t>317943306990</t>
        </is>
      </c>
      <c r="D629" t="inlineStr">
        <is>
          <t>Website Hosting and Support Services</t>
        </is>
      </c>
      <c r="E629" t="inlineStr">
        <is>
          <t>Shasta Regional Transportation Agency</t>
        </is>
      </c>
      <c r="F629" t="inlineStr">
        <is>
          <t>California</t>
        </is>
      </c>
      <c r="G629" t="inlineStr">
        <is>
          <t>Submitted</t>
        </is>
      </c>
      <c r="H629" t="inlineStr">
        <is>
          <t>No</t>
        </is>
      </c>
      <c r="J629" s="96" t="n">
        <v>46126</v>
      </c>
      <c r="K629" s="96" t="n">
        <v>46126</v>
      </c>
      <c r="M629" t="inlineStr">
        <is>
          <t>Support &amp; Maintenance</t>
        </is>
      </c>
      <c r="O629" t="inlineStr">
        <is>
          <t>Savya Atrey</t>
        </is>
      </c>
      <c r="Y629" s="96" t="n">
        <v>46107</v>
      </c>
      <c r="Z629" t="inlineStr">
        <is>
          <t>https://app.hubspot.com/contacts/243046792/record/0-3/317943306990</t>
        </is>
      </c>
    </row>
    <row r="630">
      <c r="A630" t="n">
        <v>629</v>
      </c>
      <c r="B630" t="inlineStr">
        <is>
          <t>316928723643</t>
        </is>
      </c>
      <c r="D630" t="inlineStr">
        <is>
          <t>OFF - Information Technology Managed Services</t>
        </is>
      </c>
      <c r="E630" t="inlineStr">
        <is>
          <t>City of Leominster</t>
        </is>
      </c>
      <c r="F630" t="inlineStr">
        <is>
          <t>Masssachusetts</t>
        </is>
      </c>
      <c r="G630" t="inlineStr">
        <is>
          <t>Submitted</t>
        </is>
      </c>
      <c r="H630" t="inlineStr">
        <is>
          <t>No</t>
        </is>
      </c>
      <c r="J630" s="96" t="n">
        <v>46127</v>
      </c>
      <c r="K630" s="96" t="n">
        <v>46126</v>
      </c>
      <c r="M630" t="inlineStr">
        <is>
          <t>Managed Services (MSP)</t>
        </is>
      </c>
      <c r="O630" t="inlineStr">
        <is>
          <t>Savya Atrey</t>
        </is>
      </c>
      <c r="Y630" t="inlineStr">
        <is>
          <t>2026-03-18</t>
        </is>
      </c>
      <c r="Z630" t="inlineStr">
        <is>
          <t>https://app.hubspot.com/contacts/243046792/record/0-3/316928723643</t>
        </is>
      </c>
    </row>
    <row r="631">
      <c r="A631" t="n">
        <v>630</v>
      </c>
      <c r="B631" t="inlineStr">
        <is>
          <t>320490435282</t>
        </is>
      </c>
      <c r="D631" t="inlineStr">
        <is>
          <t>Microsoft Office 365</t>
        </is>
      </c>
      <c r="E631" t="inlineStr">
        <is>
          <t>City of Morristown</t>
        </is>
      </c>
      <c r="F631" t="inlineStr">
        <is>
          <t>Tennessee</t>
        </is>
      </c>
      <c r="G631" t="inlineStr">
        <is>
          <t>Closed Lost</t>
        </is>
      </c>
      <c r="H631" t="inlineStr">
        <is>
          <t>No</t>
        </is>
      </c>
      <c r="J631" s="96" t="n">
        <v>46184</v>
      </c>
      <c r="K631" s="96" t="n">
        <v>46126</v>
      </c>
      <c r="L631" s="65" t="n">
        <v>37782.48</v>
      </c>
      <c r="M631" t="inlineStr">
        <is>
          <t>Reseller</t>
        </is>
      </c>
      <c r="N631" t="inlineStr">
        <is>
          <t>Offline</t>
        </is>
      </c>
      <c r="O631" t="inlineStr">
        <is>
          <t>Ashutosh Chauhan</t>
        </is>
      </c>
      <c r="Y631" t="inlineStr">
        <is>
          <t>2026-04-10</t>
        </is>
      </c>
      <c r="Z631" t="inlineStr">
        <is>
          <t>https://app.hubspot.com/contacts/243046792/record/0-3/320490435282</t>
        </is>
      </c>
    </row>
    <row r="632">
      <c r="A632" t="n">
        <v>631</v>
      </c>
      <c r="B632" t="inlineStr">
        <is>
          <t>317997728482</t>
        </is>
      </c>
      <c r="D632" t="inlineStr">
        <is>
          <t>Veeam Software Subscription Renewal</t>
        </is>
      </c>
      <c r="E632" t="inlineStr">
        <is>
          <t>County of Riverside Purchasing &amp; Fleet Services Department</t>
        </is>
      </c>
      <c r="F632" t="inlineStr">
        <is>
          <t>California</t>
        </is>
      </c>
      <c r="G632" t="inlineStr">
        <is>
          <t>Submitted</t>
        </is>
      </c>
      <c r="H632" t="inlineStr">
        <is>
          <t>No</t>
        </is>
      </c>
      <c r="J632" s="96" t="n">
        <v>46127</v>
      </c>
      <c r="K632" s="96" t="n">
        <v>46127</v>
      </c>
      <c r="L632" s="65" t="n">
        <v>992387.88</v>
      </c>
      <c r="M632" t="inlineStr">
        <is>
          <t>Reseller</t>
        </is>
      </c>
      <c r="N632" t="inlineStr">
        <is>
          <t>Portal</t>
        </is>
      </c>
      <c r="O632" t="inlineStr">
        <is>
          <t>Jyothsna Nanda kishore</t>
        </is>
      </c>
      <c r="Y632" t="inlineStr">
        <is>
          <t>2026-03-27</t>
        </is>
      </c>
      <c r="Z632" t="inlineStr">
        <is>
          <t>https://app.hubspot.com/contacts/243046792/record/0-3/317997728482</t>
        </is>
      </c>
    </row>
    <row r="633">
      <c r="A633" t="n">
        <v>632</v>
      </c>
      <c r="B633" t="inlineStr">
        <is>
          <t>318930498283</t>
        </is>
      </c>
      <c r="D633" t="inlineStr">
        <is>
          <t>OFF - Data Strategy Project</t>
        </is>
      </c>
      <c r="E633" t="inlineStr">
        <is>
          <t>Region 16 Education Service Center</t>
        </is>
      </c>
      <c r="F633" t="inlineStr">
        <is>
          <t>Texas</t>
        </is>
      </c>
      <c r="G633" t="inlineStr">
        <is>
          <t>Submitted</t>
        </is>
      </c>
      <c r="H633" t="inlineStr">
        <is>
          <t>No</t>
        </is>
      </c>
      <c r="J633" s="96" t="n">
        <v>46129</v>
      </c>
      <c r="K633" s="96" t="n">
        <v>46127</v>
      </c>
      <c r="L633" s="65" t="n">
        <v>45760</v>
      </c>
      <c r="M633" t="inlineStr">
        <is>
          <t>Managed Services (MSP);Consulting;Audits and Assessment;Modernization / Migration</t>
        </is>
      </c>
      <c r="N633" t="inlineStr">
        <is>
          <t>Offline</t>
        </is>
      </c>
      <c r="O633" t="inlineStr">
        <is>
          <t>Ashutosh Chauhan</t>
        </is>
      </c>
      <c r="Y633" s="96" t="n">
        <v>46114</v>
      </c>
      <c r="Z633" t="inlineStr">
        <is>
          <t>https://app.hubspot.com/contacts/243046792/record/0-3/318930498283</t>
        </is>
      </c>
    </row>
    <row r="634">
      <c r="A634" t="n">
        <v>633</v>
      </c>
      <c r="B634" t="inlineStr">
        <is>
          <t>318905093818</t>
        </is>
      </c>
      <c r="D634" t="inlineStr">
        <is>
          <t xml:space="preserve">Information Technology Security Audit </t>
        </is>
      </c>
      <c r="E634" t="inlineStr">
        <is>
          <t>Northwestern Michigan College</t>
        </is>
      </c>
      <c r="F634" t="inlineStr">
        <is>
          <t>Michigan</t>
        </is>
      </c>
      <c r="G634" t="inlineStr">
        <is>
          <t>Submitted</t>
        </is>
      </c>
      <c r="H634" t="inlineStr">
        <is>
          <t>No</t>
        </is>
      </c>
      <c r="J634" s="96" t="n">
        <v>46129</v>
      </c>
      <c r="K634" s="96" t="n">
        <v>46129</v>
      </c>
      <c r="L634" s="65" t="n">
        <v>32070</v>
      </c>
      <c r="M634" t="inlineStr">
        <is>
          <t>Audits and Assessment</t>
        </is>
      </c>
      <c r="N634" t="inlineStr">
        <is>
          <t>Email</t>
        </is>
      </c>
      <c r="O634" t="inlineStr">
        <is>
          <t>Savya Atrey</t>
        </is>
      </c>
      <c r="Y634" t="inlineStr">
        <is>
          <t>2026-04-02</t>
        </is>
      </c>
      <c r="Z634" t="inlineStr">
        <is>
          <t>https://app.hubspot.com/contacts/243046792/record/0-3/318905093818</t>
        </is>
      </c>
    </row>
    <row r="635">
      <c r="A635" t="n">
        <v>634</v>
      </c>
      <c r="B635" t="inlineStr">
        <is>
          <t>318929810149</t>
        </is>
      </c>
      <c r="D635" t="inlineStr">
        <is>
          <t>First 5 Kids Santa Clara County - Outsourced IT Services</t>
        </is>
      </c>
      <c r="E635" t="inlineStr">
        <is>
          <t>First 5 Kids Santa Clara County</t>
        </is>
      </c>
      <c r="F635" t="inlineStr">
        <is>
          <t>California</t>
        </is>
      </c>
      <c r="G635" t="inlineStr">
        <is>
          <t>Closed Won</t>
        </is>
      </c>
      <c r="H635" t="inlineStr">
        <is>
          <t>Yes</t>
        </is>
      </c>
      <c r="I635" t="inlineStr">
        <is>
          <t>Interview Scheduled</t>
        </is>
      </c>
      <c r="J635" s="96" t="n">
        <v>46230</v>
      </c>
      <c r="K635" s="96" t="n">
        <v>46129</v>
      </c>
      <c r="L635" s="65" t="n">
        <v>139800</v>
      </c>
      <c r="M635" t="inlineStr">
        <is>
          <t>Managed Services (MSP)</t>
        </is>
      </c>
      <c r="O635" t="inlineStr">
        <is>
          <t>Jyothsna Nanda kishore</t>
        </is>
      </c>
      <c r="P635" t="inlineStr">
        <is>
          <t>Interview Scheduled</t>
        </is>
      </c>
      <c r="Q635" s="96" t="n">
        <v>46189</v>
      </c>
      <c r="S635" s="96" t="n">
        <v>46211</v>
      </c>
      <c r="U635" s="96" t="n">
        <v>46235</v>
      </c>
      <c r="Y635" s="96" t="n">
        <v>46114</v>
      </c>
      <c r="Z635" t="inlineStr">
        <is>
          <t>https://app.hubspot.com/contacts/243046792/record/0-3/318929810149</t>
        </is>
      </c>
    </row>
    <row r="636">
      <c r="A636" t="n">
        <v>635</v>
      </c>
      <c r="B636" t="inlineStr">
        <is>
          <t>319926000360</t>
        </is>
      </c>
      <c r="D636" t="inlineStr">
        <is>
          <t>Organizational File System Assessment &amp; Restructuring Services</t>
        </is>
      </c>
      <c r="E636" t="inlineStr">
        <is>
          <t>Dutchess County Workforce Investment Board (DCWIB)</t>
        </is>
      </c>
      <c r="F636" t="inlineStr">
        <is>
          <t>New York</t>
        </is>
      </c>
      <c r="G636" t="inlineStr">
        <is>
          <t>Submitted</t>
        </is>
      </c>
      <c r="H636" t="inlineStr">
        <is>
          <t>No</t>
        </is>
      </c>
      <c r="J636" s="96" t="n">
        <v>46132</v>
      </c>
      <c r="K636" s="96" t="n">
        <v>46132</v>
      </c>
      <c r="L636" s="65" t="n">
        <v>3990</v>
      </c>
      <c r="M636" t="inlineStr">
        <is>
          <t>Audits and Assessment</t>
        </is>
      </c>
      <c r="N636" t="inlineStr">
        <is>
          <t>Email</t>
        </is>
      </c>
      <c r="O636" t="inlineStr">
        <is>
          <t>Jyothsna Nanda kishore</t>
        </is>
      </c>
      <c r="Y636" t="inlineStr">
        <is>
          <t>2026-04-08</t>
        </is>
      </c>
      <c r="Z636" t="inlineStr">
        <is>
          <t>https://app.hubspot.com/contacts/243046792/record/0-3/319926000360</t>
        </is>
      </c>
    </row>
    <row r="637">
      <c r="A637" t="n">
        <v>636</v>
      </c>
      <c r="B637" t="inlineStr">
        <is>
          <t>317994793688</t>
        </is>
      </c>
      <c r="D637" t="inlineStr">
        <is>
          <t>Education Cloud Implementation</t>
        </is>
      </c>
      <c r="E637" t="inlineStr">
        <is>
          <t>Texas A&amp;M University</t>
        </is>
      </c>
      <c r="F637" t="inlineStr">
        <is>
          <t>Texas</t>
        </is>
      </c>
      <c r="G637" t="inlineStr">
        <is>
          <t>Closed Lost</t>
        </is>
      </c>
      <c r="H637" t="inlineStr">
        <is>
          <t>No</t>
        </is>
      </c>
      <c r="J637" s="96" t="n">
        <v>46251</v>
      </c>
      <c r="K637" s="96" t="n">
        <v>46132</v>
      </c>
      <c r="L637" s="65" t="n">
        <v>237000</v>
      </c>
      <c r="M637" t="inlineStr">
        <is>
          <t>Modernization / Migration</t>
        </is>
      </c>
      <c r="N637" t="inlineStr">
        <is>
          <t>Portal</t>
        </is>
      </c>
      <c r="O637" t="inlineStr">
        <is>
          <t>Jyothsna Nanda kishore</t>
        </is>
      </c>
      <c r="Y637" t="inlineStr">
        <is>
          <t>2026-03-26</t>
        </is>
      </c>
      <c r="Z637" t="inlineStr">
        <is>
          <t>https://app.hubspot.com/contacts/243046792/record/0-3/317994793688</t>
        </is>
      </c>
    </row>
    <row r="638">
      <c r="A638" t="n">
        <v>637</v>
      </c>
      <c r="B638" t="inlineStr">
        <is>
          <t>316125286091</t>
        </is>
      </c>
      <c r="C638" t="inlineStr">
        <is>
          <t>2026-09</t>
        </is>
      </c>
      <c r="D638" t="inlineStr">
        <is>
          <t>Website and Mobile App Replacement Services</t>
        </is>
      </c>
      <c r="E638" t="inlineStr">
        <is>
          <t>City of Menifee</t>
        </is>
      </c>
      <c r="F638" t="inlineStr">
        <is>
          <t>California</t>
        </is>
      </c>
      <c r="G638" t="inlineStr">
        <is>
          <t>Submitted</t>
        </is>
      </c>
      <c r="H638" t="inlineStr">
        <is>
          <t>No</t>
        </is>
      </c>
      <c r="J638" s="96" t="n">
        <v>46132</v>
      </c>
      <c r="K638" s="96" t="n">
        <v>46132</v>
      </c>
      <c r="L638" s="65" t="n">
        <v>618820</v>
      </c>
      <c r="M638" t="inlineStr">
        <is>
          <t>Custom development</t>
        </is>
      </c>
      <c r="N638" t="inlineStr">
        <is>
          <t>Portal</t>
        </is>
      </c>
      <c r="O638" t="inlineStr">
        <is>
          <t>Jyothsna Nanda kishore</t>
        </is>
      </c>
      <c r="Y638" t="inlineStr">
        <is>
          <t>2026-03-12</t>
        </is>
      </c>
      <c r="Z638" t="inlineStr">
        <is>
          <t>https://app.hubspot.com/contacts/243046792/record/0-3/316125286091</t>
        </is>
      </c>
    </row>
    <row r="639">
      <c r="A639" t="n">
        <v>638</v>
      </c>
      <c r="B639" t="inlineStr">
        <is>
          <t>320536008422</t>
        </is>
      </c>
      <c r="D639" t="inlineStr">
        <is>
          <t>RFP NO. 150684 - Outsourced Tier 1 Help Desk Services - Information Technology Department</t>
        </is>
      </c>
      <c r="E639" t="inlineStr">
        <is>
          <t>Superior Court of California - San Francisco County</t>
        </is>
      </c>
      <c r="F639" t="inlineStr">
        <is>
          <t>California</t>
        </is>
      </c>
      <c r="G639" t="inlineStr">
        <is>
          <t>Submitted</t>
        </is>
      </c>
      <c r="H639" t="inlineStr">
        <is>
          <t>No</t>
        </is>
      </c>
      <c r="J639" s="96" t="n">
        <v>46132</v>
      </c>
      <c r="K639" s="96" t="n">
        <v>46132</v>
      </c>
      <c r="M639" t="inlineStr">
        <is>
          <t>Support &amp; Maintenance</t>
        </is>
      </c>
      <c r="O639" t="inlineStr">
        <is>
          <t>Ashutosh Chauhan</t>
        </is>
      </c>
      <c r="Y639" t="inlineStr">
        <is>
          <t>2026-04-15</t>
        </is>
      </c>
      <c r="Z639" t="inlineStr">
        <is>
          <t>https://app.hubspot.com/contacts/243046792/record/0-3/320536008422</t>
        </is>
      </c>
    </row>
    <row r="640">
      <c r="A640" t="n">
        <v>639</v>
      </c>
      <c r="B640" t="inlineStr">
        <is>
          <t>320115663606</t>
        </is>
      </c>
      <c r="D640" t="inlineStr">
        <is>
          <t>1083617 SOFTWARE - SUBSCRIPTION - DISASTER RECOVERY</t>
        </is>
      </c>
      <c r="E640" t="inlineStr">
        <is>
          <t>LA County- Internal Services Department</t>
        </is>
      </c>
      <c r="F640" t="inlineStr">
        <is>
          <t>California</t>
        </is>
      </c>
      <c r="G640" t="inlineStr">
        <is>
          <t>Submitted</t>
        </is>
      </c>
      <c r="H640" t="inlineStr">
        <is>
          <t>No</t>
        </is>
      </c>
      <c r="J640" s="96" t="n">
        <v>46132</v>
      </c>
      <c r="K640" s="96" t="n">
        <v>46132</v>
      </c>
      <c r="L640" s="65" t="n">
        <v>744000</v>
      </c>
      <c r="M640" t="inlineStr">
        <is>
          <t>Reseller</t>
        </is>
      </c>
      <c r="N640" t="inlineStr">
        <is>
          <t>Portal</t>
        </is>
      </c>
      <c r="O640" t="inlineStr">
        <is>
          <t>Savya Atrey</t>
        </is>
      </c>
      <c r="Y640" t="inlineStr">
        <is>
          <t>2026-04-09</t>
        </is>
      </c>
      <c r="Z640" t="inlineStr">
        <is>
          <t>https://app.hubspot.com/contacts/243046792/record/0-3/320115663606</t>
        </is>
      </c>
    </row>
    <row r="641">
      <c r="A641" t="n">
        <v>640</v>
      </c>
      <c r="B641" t="inlineStr">
        <is>
          <t>317997672181</t>
        </is>
      </c>
      <c r="D641" t="inlineStr">
        <is>
          <t>SAP S/4 HANA SUPPORT SERVICES</t>
        </is>
      </c>
      <c r="E641" t="inlineStr">
        <is>
          <t>Charlottesville</t>
        </is>
      </c>
      <c r="F641" t="inlineStr">
        <is>
          <t>Virginia</t>
        </is>
      </c>
      <c r="G641" t="inlineStr">
        <is>
          <t>Submitted</t>
        </is>
      </c>
      <c r="H641" t="inlineStr">
        <is>
          <t>No</t>
        </is>
      </c>
      <c r="J641" s="96" t="n">
        <v>46133</v>
      </c>
      <c r="K641" s="96" t="n">
        <v>46133</v>
      </c>
      <c r="M641" t="inlineStr">
        <is>
          <t>Support &amp; Maintenance</t>
        </is>
      </c>
      <c r="N641" t="inlineStr">
        <is>
          <t>Portal</t>
        </is>
      </c>
      <c r="O641" t="inlineStr">
        <is>
          <t>Jyothsna Nanda kishore</t>
        </is>
      </c>
      <c r="Y641" t="inlineStr">
        <is>
          <t>2026-03-26</t>
        </is>
      </c>
      <c r="Z641" t="inlineStr">
        <is>
          <t>https://app.hubspot.com/contacts/243046792/record/0-3/317997672181</t>
        </is>
      </c>
    </row>
    <row r="642">
      <c r="A642" t="n">
        <v>641</v>
      </c>
      <c r="B642" t="inlineStr">
        <is>
          <t>316198616795</t>
        </is>
      </c>
      <c r="D642" t="inlineStr">
        <is>
          <t>[Offline] Low-Code Application Development Services</t>
        </is>
      </c>
      <c r="E642" t="inlineStr">
        <is>
          <t>Florida Department of Citrus (CIT) [FL]</t>
        </is>
      </c>
      <c r="F642" t="inlineStr">
        <is>
          <t>Florida</t>
        </is>
      </c>
      <c r="G642" t="inlineStr">
        <is>
          <t>Closed Lost</t>
        </is>
      </c>
      <c r="H642" t="inlineStr">
        <is>
          <t>No</t>
        </is>
      </c>
      <c r="J642" s="96" t="n">
        <v>46149</v>
      </c>
      <c r="K642" s="96" t="n">
        <v>46133</v>
      </c>
      <c r="M642" t="inlineStr">
        <is>
          <t>Support &amp; Maintenance;Custom development</t>
        </is>
      </c>
      <c r="N642" t="inlineStr">
        <is>
          <t>Offline</t>
        </is>
      </c>
      <c r="O642" t="inlineStr">
        <is>
          <t>Savya Atrey</t>
        </is>
      </c>
      <c r="Y642" t="inlineStr">
        <is>
          <t>2026-03-13</t>
        </is>
      </c>
      <c r="Z642" t="inlineStr">
        <is>
          <t>https://app.hubspot.com/contacts/243046792/record/0-3/316198616795</t>
        </is>
      </c>
    </row>
    <row r="643">
      <c r="A643" t="n">
        <v>642</v>
      </c>
      <c r="B643" t="inlineStr">
        <is>
          <t>317793033939</t>
        </is>
      </c>
      <c r="D643" t="inlineStr">
        <is>
          <t xml:space="preserve">OFF - Computer Services </t>
        </is>
      </c>
      <c r="E643" t="inlineStr">
        <is>
          <t>Town of Islip Affordable Housing Corp (TOIAHC)</t>
        </is>
      </c>
      <c r="F643" t="inlineStr">
        <is>
          <t>New York</t>
        </is>
      </c>
      <c r="G643" t="inlineStr">
        <is>
          <t>RFx Cancelled</t>
        </is>
      </c>
      <c r="H643" t="inlineStr">
        <is>
          <t>No</t>
        </is>
      </c>
      <c r="J643" s="96" t="n">
        <v>46134</v>
      </c>
      <c r="K643" s="96" t="n">
        <v>46134</v>
      </c>
      <c r="M643" t="inlineStr">
        <is>
          <t>Managed Services (MSP)</t>
        </is>
      </c>
      <c r="N643" t="inlineStr">
        <is>
          <t>Offline</t>
        </is>
      </c>
      <c r="O643" t="inlineStr">
        <is>
          <t>Ashutosh Chauhan</t>
        </is>
      </c>
      <c r="Y643" t="inlineStr">
        <is>
          <t>2026-03-26</t>
        </is>
      </c>
      <c r="Z643" t="inlineStr">
        <is>
          <t>https://app.hubspot.com/contacts/243046792/record/0-3/317793033939</t>
        </is>
      </c>
    </row>
    <row r="644">
      <c r="A644" t="n">
        <v>643</v>
      </c>
      <c r="B644" t="inlineStr">
        <is>
          <t>323528390341</t>
        </is>
      </c>
      <c r="D644" t="inlineStr">
        <is>
          <t>New Mexico Finance Authority (NMFA) - IT MSP &amp; NOC NMFA Additional SOW</t>
        </is>
      </c>
      <c r="E644" t="inlineStr">
        <is>
          <t xml:space="preserve">New Mexico Finance Authority (“NMFA”) </t>
        </is>
      </c>
      <c r="F644" t="inlineStr">
        <is>
          <t>New Mexico</t>
        </is>
      </c>
      <c r="G644" t="inlineStr">
        <is>
          <t>Closed Won</t>
        </is>
      </c>
      <c r="H644" t="inlineStr">
        <is>
          <t>No</t>
        </is>
      </c>
      <c r="J644" s="96" t="n">
        <v>46184</v>
      </c>
      <c r="K644" s="96" t="n">
        <v>46134</v>
      </c>
      <c r="L644" s="65" t="n">
        <v>67440</v>
      </c>
      <c r="M644" t="inlineStr">
        <is>
          <t>Managed Services (MSP)</t>
        </is>
      </c>
      <c r="O644" t="inlineStr">
        <is>
          <t>Ashutosh Chauhan</t>
        </is>
      </c>
      <c r="S644" t="inlineStr">
        <is>
          <t>2026-05-04</t>
        </is>
      </c>
      <c r="U644" t="inlineStr">
        <is>
          <t>2026-06-09</t>
        </is>
      </c>
      <c r="Y644" t="inlineStr">
        <is>
          <t>2026-05-04</t>
        </is>
      </c>
      <c r="Z644" t="inlineStr">
        <is>
          <t>https://app.hubspot.com/contacts/243046792/record/0-3/323528390341</t>
        </is>
      </c>
    </row>
    <row r="645">
      <c r="A645" t="n">
        <v>644</v>
      </c>
      <c r="B645" t="inlineStr">
        <is>
          <t>316123953854</t>
        </is>
      </c>
      <c r="D645" t="inlineStr">
        <is>
          <t>Executive Search and General Staffing Services</t>
        </is>
      </c>
      <c r="E645" t="inlineStr">
        <is>
          <t>Santa Clara Valley Transportation Authority</t>
        </is>
      </c>
      <c r="F645" t="inlineStr">
        <is>
          <t>California</t>
        </is>
      </c>
      <c r="G645" t="inlineStr">
        <is>
          <t>Submitted</t>
        </is>
      </c>
      <c r="H645" t="inlineStr">
        <is>
          <t>No</t>
        </is>
      </c>
      <c r="J645" s="96" t="n">
        <v>46135</v>
      </c>
      <c r="K645" s="96" t="n">
        <v>46135</v>
      </c>
      <c r="M645" t="inlineStr">
        <is>
          <t>Staff Augmentation</t>
        </is>
      </c>
      <c r="N645" t="inlineStr">
        <is>
          <t>Portal</t>
        </is>
      </c>
      <c r="O645" t="inlineStr">
        <is>
          <t>Ashutosh Chauhan</t>
        </is>
      </c>
      <c r="Y645" t="inlineStr">
        <is>
          <t>2026-03-13</t>
        </is>
      </c>
      <c r="Z645" t="inlineStr">
        <is>
          <t>https://app.hubspot.com/contacts/243046792/record/0-3/316123953854</t>
        </is>
      </c>
    </row>
    <row r="646">
      <c r="A646" t="n">
        <v>645</v>
      </c>
      <c r="B646" t="inlineStr">
        <is>
          <t>316972808892</t>
        </is>
      </c>
      <c r="D646" t="inlineStr">
        <is>
          <t>Bridges Library System Mobile App</t>
        </is>
      </c>
      <c r="E646" t="inlineStr">
        <is>
          <t>Waukesha County</t>
        </is>
      </c>
      <c r="F646" t="inlineStr">
        <is>
          <t>Wisconsin</t>
        </is>
      </c>
      <c r="G646" t="inlineStr">
        <is>
          <t>Submitted</t>
        </is>
      </c>
      <c r="H646" t="inlineStr">
        <is>
          <t>No</t>
        </is>
      </c>
      <c r="J646" s="96" t="n">
        <v>46135</v>
      </c>
      <c r="K646" s="96" t="n">
        <v>46135</v>
      </c>
      <c r="L646" s="65" t="n">
        <v>360200</v>
      </c>
      <c r="M646" t="inlineStr">
        <is>
          <t>Custom development</t>
        </is>
      </c>
      <c r="N646" t="inlineStr">
        <is>
          <t>Portal</t>
        </is>
      </c>
      <c r="O646" t="inlineStr">
        <is>
          <t>Savya Atrey</t>
        </is>
      </c>
      <c r="Y646" s="96" t="n">
        <v>46101</v>
      </c>
      <c r="Z646" t="inlineStr">
        <is>
          <t>https://app.hubspot.com/contacts/243046792/record/0-3/316972808892</t>
        </is>
      </c>
    </row>
    <row r="647">
      <c r="A647" t="n">
        <v>646</v>
      </c>
      <c r="B647" t="inlineStr">
        <is>
          <t>317946904258</t>
        </is>
      </c>
      <c r="C647" t="inlineStr">
        <is>
          <t>25-0245-IT</t>
        </is>
      </c>
      <c r="D647" t="inlineStr">
        <is>
          <t>Information Security Governance &amp; Policy Framework Development</t>
        </is>
      </c>
      <c r="E647" t="inlineStr">
        <is>
          <t>City of Florissant</t>
        </is>
      </c>
      <c r="F647" t="inlineStr">
        <is>
          <t>Missouri</t>
        </is>
      </c>
      <c r="G647" t="inlineStr">
        <is>
          <t>Closed Lost</t>
        </is>
      </c>
      <c r="H647" t="inlineStr">
        <is>
          <t>No</t>
        </is>
      </c>
      <c r="J647" s="96" t="n">
        <v>46238</v>
      </c>
      <c r="K647" s="96" t="n">
        <v>46135</v>
      </c>
      <c r="L647" s="65" t="n">
        <v>52560</v>
      </c>
      <c r="N647" t="inlineStr">
        <is>
          <t>Portal</t>
        </is>
      </c>
      <c r="O647" t="inlineStr">
        <is>
          <t>Jyothsna Nanda kishore</t>
        </is>
      </c>
      <c r="Y647" s="96" t="n">
        <v>46107</v>
      </c>
      <c r="Z647" t="inlineStr">
        <is>
          <t>https://app.hubspot.com/contacts/243046792/record/0-3/317946904258</t>
        </is>
      </c>
      <c r="AA647" t="inlineStr">
        <is>
          <t>Yes</t>
        </is>
      </c>
    </row>
    <row r="648">
      <c r="A648" t="n">
        <v>647</v>
      </c>
      <c r="B648" t="inlineStr">
        <is>
          <t>320043417335</t>
        </is>
      </c>
      <c r="D648" t="inlineStr">
        <is>
          <t>MICROSOFT OFFICE COMPUTER TRAININGS</t>
        </is>
      </c>
      <c r="E648" t="inlineStr">
        <is>
          <t>COUNTY OF LOS ANGELES DEPARTMENT OF HUMAN RESOURCES</t>
        </is>
      </c>
      <c r="F648" t="inlineStr">
        <is>
          <t>California</t>
        </is>
      </c>
      <c r="G648" t="inlineStr">
        <is>
          <t>Submitted</t>
        </is>
      </c>
      <c r="H648" t="inlineStr">
        <is>
          <t>No</t>
        </is>
      </c>
      <c r="J648" s="96" t="n">
        <v>46135</v>
      </c>
      <c r="K648" s="96" t="n">
        <v>46135</v>
      </c>
      <c r="M648" t="inlineStr">
        <is>
          <t>Training</t>
        </is>
      </c>
      <c r="N648" t="inlineStr">
        <is>
          <t>Portal</t>
        </is>
      </c>
      <c r="O648" t="inlineStr">
        <is>
          <t>Savya Atrey</t>
        </is>
      </c>
      <c r="Y648" t="inlineStr">
        <is>
          <t>2026-04-08</t>
        </is>
      </c>
      <c r="Z648" t="inlineStr">
        <is>
          <t>https://app.hubspot.com/contacts/243046792/record/0-3/320043417335</t>
        </is>
      </c>
    </row>
    <row r="649">
      <c r="A649" t="n">
        <v>648</v>
      </c>
      <c r="B649" t="inlineStr">
        <is>
          <t>316626212560</t>
        </is>
      </c>
      <c r="D649" t="inlineStr">
        <is>
          <t>INFORMATION TECHNOLOGY SERVICES</t>
        </is>
      </c>
      <c r="E649" t="inlineStr">
        <is>
          <t>Town of Irmo</t>
        </is>
      </c>
      <c r="F649" t="inlineStr">
        <is>
          <t>South Carolina</t>
        </is>
      </c>
      <c r="G649" t="inlineStr">
        <is>
          <t>Closed Lost</t>
        </is>
      </c>
      <c r="H649" t="inlineStr">
        <is>
          <t>No</t>
        </is>
      </c>
      <c r="J649" s="96" t="n">
        <v>46290</v>
      </c>
      <c r="K649" s="96" t="n">
        <v>46135</v>
      </c>
      <c r="L649" s="65" t="n">
        <v>405880</v>
      </c>
      <c r="M649" t="inlineStr">
        <is>
          <t>Managed Services (MSP)</t>
        </is>
      </c>
      <c r="N649" t="inlineStr">
        <is>
          <t>Offline</t>
        </is>
      </c>
      <c r="O649" t="inlineStr">
        <is>
          <t>Jyothsna Nanda kishore</t>
        </is>
      </c>
      <c r="Y649" t="inlineStr">
        <is>
          <t>2026-03-17</t>
        </is>
      </c>
      <c r="Z649" t="inlineStr">
        <is>
          <t>https://app.hubspot.com/contacts/243046792/record/0-3/316626212560</t>
        </is>
      </c>
    </row>
    <row r="650">
      <c r="A650" t="n">
        <v>649</v>
      </c>
      <c r="B650" t="inlineStr">
        <is>
          <t>320489741047</t>
        </is>
      </c>
      <c r="C650" t="inlineStr">
        <is>
          <t>RFQ #: 26-026-TK</t>
        </is>
      </c>
      <c r="D650" t="inlineStr">
        <is>
          <t>Community Health Assessment &amp; Improvements Plan for Data Dashboard</t>
        </is>
      </c>
      <c r="E650" t="inlineStr">
        <is>
          <t>Kane County Health Department</t>
        </is>
      </c>
      <c r="F650" t="inlineStr">
        <is>
          <t>Illinois</t>
        </is>
      </c>
      <c r="G650" t="inlineStr">
        <is>
          <t>Submitted</t>
        </is>
      </c>
      <c r="H650" t="inlineStr">
        <is>
          <t>No</t>
        </is>
      </c>
      <c r="J650" s="96" t="n">
        <v>46136</v>
      </c>
      <c r="K650" s="96" t="n">
        <v>46136</v>
      </c>
      <c r="L650" s="65" t="n">
        <v>121930</v>
      </c>
      <c r="M650" t="inlineStr">
        <is>
          <t>Consulting</t>
        </is>
      </c>
      <c r="N650" t="inlineStr">
        <is>
          <t>Portal</t>
        </is>
      </c>
      <c r="O650" t="inlineStr">
        <is>
          <t>Savya Atrey</t>
        </is>
      </c>
      <c r="Y650" t="inlineStr">
        <is>
          <t>2026-04-10</t>
        </is>
      </c>
      <c r="Z650" t="inlineStr">
        <is>
          <t>https://app.hubspot.com/contacts/243046792/record/0-3/320489741047</t>
        </is>
      </c>
    </row>
    <row r="651">
      <c r="A651" t="n">
        <v>650</v>
      </c>
      <c r="B651" t="inlineStr">
        <is>
          <t>319181385439</t>
        </is>
      </c>
      <c r="D651" t="inlineStr">
        <is>
          <t>IT Managed Services</t>
        </is>
      </c>
      <c r="E651" t="inlineStr">
        <is>
          <t>Emerald Coast Regional Council</t>
        </is>
      </c>
      <c r="F651" t="inlineStr">
        <is>
          <t>Florida</t>
        </is>
      </c>
      <c r="G651" t="inlineStr">
        <is>
          <t>Submitted</t>
        </is>
      </c>
      <c r="H651" t="inlineStr">
        <is>
          <t>No</t>
        </is>
      </c>
      <c r="J651" s="96" t="n">
        <v>46136</v>
      </c>
      <c r="K651" s="96" t="n">
        <v>46136</v>
      </c>
      <c r="M651" t="inlineStr">
        <is>
          <t>Managed Services (MSP)</t>
        </is>
      </c>
      <c r="O651" t="inlineStr">
        <is>
          <t>Ashutosh Chauhan</t>
        </is>
      </c>
      <c r="Y651" t="inlineStr">
        <is>
          <t>2026-04-03</t>
        </is>
      </c>
      <c r="Z651" t="inlineStr">
        <is>
          <t>https://app.hubspot.com/contacts/243046792/record/0-3/319181385439</t>
        </is>
      </c>
    </row>
    <row r="652">
      <c r="A652" t="n">
        <v>651</v>
      </c>
      <c r="B652" t="inlineStr">
        <is>
          <t>317828186810</t>
        </is>
      </c>
      <c r="D652" t="inlineStr">
        <is>
          <t>Cybersecurity Risk Assessment for Information Security</t>
        </is>
      </c>
      <c r="E652" t="inlineStr">
        <is>
          <t>The Administrative Office of the Courts (AOC)</t>
        </is>
      </c>
      <c r="F652" t="inlineStr">
        <is>
          <t>Maryland</t>
        </is>
      </c>
      <c r="G652" t="inlineStr">
        <is>
          <t>Submitted</t>
        </is>
      </c>
      <c r="H652" t="inlineStr">
        <is>
          <t>No</t>
        </is>
      </c>
      <c r="J652" s="96" t="n">
        <v>46136</v>
      </c>
      <c r="K652" s="96" t="n">
        <v>46136</v>
      </c>
      <c r="L652" s="65" t="n">
        <v>85000</v>
      </c>
      <c r="M652" t="inlineStr">
        <is>
          <t>Audits and Assessment</t>
        </is>
      </c>
      <c r="N652" t="inlineStr">
        <is>
          <t>Portal</t>
        </is>
      </c>
      <c r="O652" t="inlineStr">
        <is>
          <t>Ashutosh Chauhan</t>
        </is>
      </c>
      <c r="Y652" t="inlineStr">
        <is>
          <t>2026-03-26</t>
        </is>
      </c>
      <c r="Z652" t="inlineStr">
        <is>
          <t>https://app.hubspot.com/contacts/243046792/record/0-3/317828186810</t>
        </is>
      </c>
    </row>
    <row r="653">
      <c r="A653" t="n">
        <v>652</v>
      </c>
      <c r="B653" t="inlineStr">
        <is>
          <t>317166061283</t>
        </is>
      </c>
      <c r="D653" t="inlineStr">
        <is>
          <t xml:space="preserve">Request for Proposals Cybersecurity Assessment and Plan </t>
        </is>
      </c>
      <c r="E653" t="inlineStr">
        <is>
          <t>Pueblo of Laguna</t>
        </is>
      </c>
      <c r="F653" t="inlineStr">
        <is>
          <t>New Mexico</t>
        </is>
      </c>
      <c r="G653" t="inlineStr">
        <is>
          <t>Closed Lost</t>
        </is>
      </c>
      <c r="H653" t="inlineStr">
        <is>
          <t>No</t>
        </is>
      </c>
      <c r="J653" s="96" t="n">
        <v>46168</v>
      </c>
      <c r="K653" s="96" t="n">
        <v>46136</v>
      </c>
      <c r="M653" t="inlineStr">
        <is>
          <t>Consulting</t>
        </is>
      </c>
      <c r="O653" t="inlineStr">
        <is>
          <t>Ashutosh Chauhan</t>
        </is>
      </c>
      <c r="Y653" t="inlineStr">
        <is>
          <t>2026-03-20</t>
        </is>
      </c>
      <c r="Z653" t="inlineStr">
        <is>
          <t>https://app.hubspot.com/contacts/243046792/record/0-3/317166061283</t>
        </is>
      </c>
    </row>
    <row r="654">
      <c r="A654" t="n">
        <v>653</v>
      </c>
      <c r="B654" t="inlineStr">
        <is>
          <t>317793033962</t>
        </is>
      </c>
      <c r="D654" t="inlineStr">
        <is>
          <t>PeopleSoft Update Manager</t>
        </is>
      </c>
      <c r="E654" t="inlineStr">
        <is>
          <t>City and County of San Francisco</t>
        </is>
      </c>
      <c r="F654" t="inlineStr">
        <is>
          <t>California</t>
        </is>
      </c>
      <c r="G654" t="inlineStr">
        <is>
          <t>Closed Lost</t>
        </is>
      </c>
      <c r="H654" t="inlineStr">
        <is>
          <t>Yes</t>
        </is>
      </c>
      <c r="I654" t="inlineStr">
        <is>
          <t>Interview Scheduled</t>
        </is>
      </c>
      <c r="J654" s="96" t="n">
        <v>46210</v>
      </c>
      <c r="K654" s="96" t="n">
        <v>46136</v>
      </c>
      <c r="L654" s="65" t="n">
        <v>440510</v>
      </c>
      <c r="M654" t="inlineStr">
        <is>
          <t>Modernization / Migration</t>
        </is>
      </c>
      <c r="N654" t="inlineStr">
        <is>
          <t>Portal</t>
        </is>
      </c>
      <c r="O654" t="inlineStr">
        <is>
          <t>Ashutosh Chauhan</t>
        </is>
      </c>
      <c r="Q654" s="96" t="n">
        <v>46189</v>
      </c>
      <c r="Y654" s="96" t="n">
        <v>46107</v>
      </c>
      <c r="Z654" t="inlineStr">
        <is>
          <t>https://app.hubspot.com/contacts/243046792/record/0-3/317793033962</t>
        </is>
      </c>
    </row>
    <row r="655">
      <c r="A655" t="n">
        <v>654</v>
      </c>
      <c r="B655" t="inlineStr">
        <is>
          <t>294210815704</t>
        </is>
      </c>
      <c r="D655" t="inlineStr">
        <is>
          <t>offline Information Technology Services</t>
        </is>
      </c>
      <c r="E655" t="inlineStr">
        <is>
          <t>Danville Redevelopment and Housing Authority</t>
        </is>
      </c>
      <c r="F655" t="inlineStr">
        <is>
          <t>Virginia</t>
        </is>
      </c>
      <c r="G655" t="inlineStr">
        <is>
          <t>RFx Cancelled</t>
        </is>
      </c>
      <c r="H655" t="inlineStr">
        <is>
          <t>No</t>
        </is>
      </c>
      <c r="J655" s="96" t="n">
        <v>46139</v>
      </c>
      <c r="K655" s="96" t="n">
        <v>46136</v>
      </c>
      <c r="M655" t="inlineStr">
        <is>
          <t>Managed Services (MSP)</t>
        </is>
      </c>
      <c r="O655" t="inlineStr">
        <is>
          <t>Savya Atrey</t>
        </is>
      </c>
      <c r="Y655" t="inlineStr">
        <is>
          <t>2026-02-13</t>
        </is>
      </c>
      <c r="Z655" t="inlineStr">
        <is>
          <t>https://app.hubspot.com/contacts/243046792/record/0-3/294210815704</t>
        </is>
      </c>
    </row>
    <row r="656">
      <c r="A656" t="n">
        <v>655</v>
      </c>
      <c r="B656" t="inlineStr">
        <is>
          <t>323231785701</t>
        </is>
      </c>
      <c r="D656" t="inlineStr">
        <is>
          <t xml:space="preserve">FMLA Case Management System </t>
        </is>
      </c>
      <c r="E656" t="inlineStr">
        <is>
          <t>Tennessee Department of Human Resources</t>
        </is>
      </c>
      <c r="F656" t="inlineStr">
        <is>
          <t>Tennessee</t>
        </is>
      </c>
      <c r="G656" t="inlineStr">
        <is>
          <t>Submitted</t>
        </is>
      </c>
      <c r="H656" t="inlineStr">
        <is>
          <t>No</t>
        </is>
      </c>
      <c r="J656" s="96" t="n">
        <v>46148</v>
      </c>
      <c r="K656" s="96" t="n">
        <v>46136</v>
      </c>
      <c r="M656" t="inlineStr">
        <is>
          <t>Platform Implementation (ERP, CRMs);Consulting;Training</t>
        </is>
      </c>
      <c r="O656" t="inlineStr">
        <is>
          <t>Savya Atrey</t>
        </is>
      </c>
      <c r="Y656" s="96" t="n">
        <v>46142</v>
      </c>
      <c r="Z656" t="inlineStr">
        <is>
          <t>https://app.hubspot.com/contacts/243046792/record/0-3/323231785701</t>
        </is>
      </c>
    </row>
    <row r="657">
      <c r="A657" t="n">
        <v>656</v>
      </c>
      <c r="B657" t="inlineStr">
        <is>
          <t>321691657937</t>
        </is>
      </c>
      <c r="D657" t="inlineStr">
        <is>
          <t>Technology Support Services</t>
        </is>
      </c>
      <c r="E657" t="inlineStr">
        <is>
          <t xml:space="preserve">Parkway Schools </t>
        </is>
      </c>
      <c r="F657" t="inlineStr">
        <is>
          <t>Missouri</t>
        </is>
      </c>
      <c r="G657" t="inlineStr">
        <is>
          <t>Closed Lost</t>
        </is>
      </c>
      <c r="H657" t="inlineStr">
        <is>
          <t>No</t>
        </is>
      </c>
      <c r="J657" s="96" t="n">
        <v>46149</v>
      </c>
      <c r="K657" s="96" t="n">
        <v>46136</v>
      </c>
      <c r="M657" t="inlineStr">
        <is>
          <t>Support &amp; Maintenance</t>
        </is>
      </c>
      <c r="O657" t="inlineStr">
        <is>
          <t>Savya Atrey</t>
        </is>
      </c>
      <c r="Y657" t="inlineStr">
        <is>
          <t>2026-04-22</t>
        </is>
      </c>
      <c r="Z657" t="inlineStr">
        <is>
          <t>https://app.hubspot.com/contacts/243046792/record/0-3/321691657937</t>
        </is>
      </c>
    </row>
    <row r="658">
      <c r="A658" t="n">
        <v>657</v>
      </c>
      <c r="B658" t="inlineStr">
        <is>
          <t>319924556489</t>
        </is>
      </c>
      <c r="D658" t="inlineStr">
        <is>
          <t>Network Security Audit and Vulnerability Assessment</t>
        </is>
      </c>
      <c r="E658" t="inlineStr">
        <is>
          <t xml:space="preserve">Atlanta Regional Commission </t>
        </is>
      </c>
      <c r="F658" t="inlineStr">
        <is>
          <t>Georgia</t>
        </is>
      </c>
      <c r="G658" t="inlineStr">
        <is>
          <t>Submitted</t>
        </is>
      </c>
      <c r="H658" t="inlineStr">
        <is>
          <t>No</t>
        </is>
      </c>
      <c r="J658" s="96" t="n">
        <v>46139</v>
      </c>
      <c r="K658" s="96" t="n">
        <v>46139</v>
      </c>
      <c r="M658" t="inlineStr">
        <is>
          <t>Consulting;Audits and Assessment</t>
        </is>
      </c>
      <c r="O658" t="inlineStr">
        <is>
          <t>Ashutosh Chauhan</t>
        </is>
      </c>
      <c r="Y658" t="inlineStr">
        <is>
          <t>2026-04-08</t>
        </is>
      </c>
      <c r="Z658" t="inlineStr">
        <is>
          <t>https://app.hubspot.com/contacts/243046792/record/0-3/319924556489</t>
        </is>
      </c>
    </row>
    <row r="659">
      <c r="A659" t="n">
        <v>658</v>
      </c>
      <c r="B659" t="inlineStr">
        <is>
          <t>318902943445</t>
        </is>
      </c>
      <c r="D659" t="inlineStr">
        <is>
          <t>Technology Consultant for the Production Tracking System (PTS)</t>
        </is>
      </c>
      <c r="E659" t="inlineStr">
        <is>
          <t>Massachusetts Clean Energy Center (MassCEC)</t>
        </is>
      </c>
      <c r="F659" t="inlineStr">
        <is>
          <t>Massachusetts</t>
        </is>
      </c>
      <c r="G659" t="inlineStr">
        <is>
          <t>Closed Lost</t>
        </is>
      </c>
      <c r="H659" t="inlineStr">
        <is>
          <t>Yes</t>
        </is>
      </c>
      <c r="I659" t="inlineStr">
        <is>
          <t>Interview Scheduled</t>
        </is>
      </c>
      <c r="J659" s="96" t="n">
        <v>46210</v>
      </c>
      <c r="K659" s="96" t="n">
        <v>46139</v>
      </c>
      <c r="L659" s="65" t="n">
        <v>732660</v>
      </c>
      <c r="M659" t="inlineStr">
        <is>
          <t>Consulting</t>
        </is>
      </c>
      <c r="N659" t="inlineStr">
        <is>
          <t>Email</t>
        </is>
      </c>
      <c r="O659" t="inlineStr">
        <is>
          <t>Savya Atrey</t>
        </is>
      </c>
      <c r="Q659" s="96" t="n">
        <v>46170</v>
      </c>
      <c r="Y659" s="96" t="n">
        <v>46114</v>
      </c>
      <c r="Z659" t="inlineStr">
        <is>
          <t>https://app.hubspot.com/contacts/243046792/record/0-3/318902943445</t>
        </is>
      </c>
    </row>
    <row r="660">
      <c r="A660" t="n">
        <v>659</v>
      </c>
      <c r="B660" t="inlineStr">
        <is>
          <t>321924670199</t>
        </is>
      </c>
      <c r="D660" t="inlineStr">
        <is>
          <t>Management. Applications Development</t>
        </is>
      </c>
      <c r="E660" t="inlineStr">
        <is>
          <t>Florida Department of Health</t>
        </is>
      </c>
      <c r="F660" t="inlineStr">
        <is>
          <t>Florida</t>
        </is>
      </c>
      <c r="G660" t="inlineStr">
        <is>
          <t>Submitted</t>
        </is>
      </c>
      <c r="H660" t="inlineStr">
        <is>
          <t>No</t>
        </is>
      </c>
      <c r="J660" s="96" t="n">
        <v>46139</v>
      </c>
      <c r="K660" s="96" t="n">
        <v>46139</v>
      </c>
      <c r="M660" t="inlineStr">
        <is>
          <t>Staff Augmentation</t>
        </is>
      </c>
      <c r="O660" t="inlineStr">
        <is>
          <t>Savya Atrey</t>
        </is>
      </c>
      <c r="Y660" s="96" t="n">
        <v>46135</v>
      </c>
      <c r="Z660" t="inlineStr">
        <is>
          <t>https://app.hubspot.com/contacts/243046792/record/0-3/321924670199</t>
        </is>
      </c>
      <c r="AA660" t="inlineStr">
        <is>
          <t>Yes</t>
        </is>
      </c>
    </row>
    <row r="661">
      <c r="A661" t="n">
        <v>660</v>
      </c>
      <c r="B661" t="inlineStr">
        <is>
          <t>314835484352</t>
        </is>
      </c>
      <c r="D661" t="inlineStr">
        <is>
          <t xml:space="preserve">Professional Managed Services </t>
        </is>
      </c>
      <c r="E661" t="inlineStr">
        <is>
          <t xml:space="preserve">City of Virginia Beach </t>
        </is>
      </c>
      <c r="F661" t="inlineStr">
        <is>
          <t>Virginia</t>
        </is>
      </c>
      <c r="G661" t="inlineStr">
        <is>
          <t>Submitted</t>
        </is>
      </c>
      <c r="H661" t="inlineStr">
        <is>
          <t>No</t>
        </is>
      </c>
      <c r="J661" s="96" t="n">
        <v>46140</v>
      </c>
      <c r="K661" s="96" t="n">
        <v>46139</v>
      </c>
      <c r="M661" t="inlineStr">
        <is>
          <t>Managed Services (MSP)</t>
        </is>
      </c>
      <c r="O661" t="inlineStr">
        <is>
          <t>Ashutosh Chauhan</t>
        </is>
      </c>
      <c r="Y661" s="96" t="n">
        <v>46090</v>
      </c>
      <c r="Z661" t="inlineStr">
        <is>
          <t>https://app.hubspot.com/contacts/243046792/record/0-3/314835484352</t>
        </is>
      </c>
    </row>
    <row r="662">
      <c r="A662" t="n">
        <v>661</v>
      </c>
      <c r="B662" t="inlineStr">
        <is>
          <t>318654617301</t>
        </is>
      </c>
      <c r="D662" t="inlineStr">
        <is>
          <t>GRANT: Artificial Intelligence (AI) to Accelerate Charitable Giving</t>
        </is>
      </c>
      <c r="E662" t="inlineStr">
        <is>
          <t>Gates Foundation</t>
        </is>
      </c>
      <c r="F662" t="inlineStr">
        <is>
          <t>Washington, D.C.</t>
        </is>
      </c>
      <c r="G662" t="inlineStr">
        <is>
          <t>Submitted</t>
        </is>
      </c>
      <c r="H662" t="inlineStr">
        <is>
          <t>No</t>
        </is>
      </c>
      <c r="J662" s="96" t="n">
        <v>46175</v>
      </c>
      <c r="K662" s="96" t="n">
        <v>46175</v>
      </c>
      <c r="M662" t="inlineStr">
        <is>
          <t>Consulting</t>
        </is>
      </c>
      <c r="O662" t="inlineStr">
        <is>
          <t>Srikrishnadeva D</t>
        </is>
      </c>
      <c r="Y662" t="inlineStr">
        <is>
          <t>2026-03-31</t>
        </is>
      </c>
      <c r="Z662" t="inlineStr">
        <is>
          <t>https://app.hubspot.com/contacts/243046792/record/0-3/318654617301</t>
        </is>
      </c>
    </row>
    <row r="663">
      <c r="A663" t="n">
        <v>662</v>
      </c>
      <c r="B663" t="inlineStr">
        <is>
          <t>320213008064</t>
        </is>
      </c>
      <c r="D663" t="inlineStr">
        <is>
          <t>Alaska Department of Administration - ONLINE WEB-BASED TRAINING</t>
        </is>
      </c>
      <c r="E663" t="inlineStr">
        <is>
          <t>Alaska Department of Administration</t>
        </is>
      </c>
      <c r="F663" t="inlineStr">
        <is>
          <t>Alaska</t>
        </is>
      </c>
      <c r="G663" t="inlineStr">
        <is>
          <t>Closed Won</t>
        </is>
      </c>
      <c r="H663" t="inlineStr">
        <is>
          <t>No</t>
        </is>
      </c>
      <c r="J663" s="96" t="n">
        <v>46191</v>
      </c>
      <c r="K663" s="96" t="n">
        <v>46139</v>
      </c>
      <c r="L663" s="65" t="n">
        <v>37800</v>
      </c>
      <c r="M663" t="inlineStr">
        <is>
          <t>Training</t>
        </is>
      </c>
      <c r="O663" t="inlineStr">
        <is>
          <t>Jyothsna Nanda kishore</t>
        </is>
      </c>
      <c r="S663" t="inlineStr">
        <is>
          <t>2026-04-30</t>
        </is>
      </c>
      <c r="U663" t="inlineStr">
        <is>
          <t>2026-04-30</t>
        </is>
      </c>
      <c r="Y663" t="inlineStr">
        <is>
          <t>2026-04-09</t>
        </is>
      </c>
      <c r="Z663" t="inlineStr">
        <is>
          <t>https://app.hubspot.com/contacts/243046792/record/0-3/320213008064</t>
        </is>
      </c>
      <c r="AA663" t="inlineStr">
        <is>
          <t>Yes</t>
        </is>
      </c>
    </row>
    <row r="664">
      <c r="A664" t="n">
        <v>663</v>
      </c>
      <c r="B664" t="inlineStr">
        <is>
          <t>318905090784</t>
        </is>
      </c>
      <c r="D664" t="inlineStr">
        <is>
          <t>Information Technology Consulting Services</t>
        </is>
      </c>
      <c r="E664" t="inlineStr">
        <is>
          <t>City of Coronado</t>
        </is>
      </c>
      <c r="F664" t="inlineStr">
        <is>
          <t>California</t>
        </is>
      </c>
      <c r="G664" t="inlineStr">
        <is>
          <t>Submitted</t>
        </is>
      </c>
      <c r="H664" t="inlineStr">
        <is>
          <t>No</t>
        </is>
      </c>
      <c r="J664" s="96" t="n">
        <v>46140</v>
      </c>
      <c r="K664" s="96" t="n">
        <v>46140</v>
      </c>
      <c r="M664" t="inlineStr">
        <is>
          <t>Staff Augmentation</t>
        </is>
      </c>
      <c r="O664" t="inlineStr">
        <is>
          <t>Jyothsna Nanda kishore</t>
        </is>
      </c>
      <c r="Y664" s="96" t="n">
        <v>46114</v>
      </c>
      <c r="Z664" t="inlineStr">
        <is>
          <t>https://app.hubspot.com/contacts/243046792/record/0-3/318905090784</t>
        </is>
      </c>
    </row>
    <row r="665">
      <c r="A665" t="n">
        <v>664</v>
      </c>
      <c r="B665" t="inlineStr">
        <is>
          <t>318930494184</t>
        </is>
      </c>
      <c r="D665" t="inlineStr">
        <is>
          <t>OFF - ERP Consultant</t>
        </is>
      </c>
      <c r="E665" t="inlineStr">
        <is>
          <t>City of Westfield Gas and Electrics</t>
        </is>
      </c>
      <c r="F665" t="inlineStr">
        <is>
          <t>Massachussets</t>
        </is>
      </c>
      <c r="G665" t="inlineStr">
        <is>
          <t>Closed Lost</t>
        </is>
      </c>
      <c r="H665" t="inlineStr">
        <is>
          <t>No</t>
        </is>
      </c>
      <c r="J665" s="96" t="n">
        <v>46217</v>
      </c>
      <c r="K665" s="96" t="n">
        <v>46140</v>
      </c>
      <c r="M665" t="inlineStr">
        <is>
          <t>Consulting</t>
        </is>
      </c>
      <c r="O665" t="inlineStr">
        <is>
          <t>Ashutosh Chauhan</t>
        </is>
      </c>
      <c r="Y665" t="inlineStr">
        <is>
          <t>2026-04-02</t>
        </is>
      </c>
      <c r="Z665" t="inlineStr">
        <is>
          <t>https://app.hubspot.com/contacts/243046792/record/0-3/318930494184</t>
        </is>
      </c>
    </row>
    <row r="666">
      <c r="A666" t="n">
        <v>665</v>
      </c>
      <c r="B666" t="inlineStr">
        <is>
          <t>319925999318</t>
        </is>
      </c>
      <c r="D666" t="inlineStr">
        <is>
          <t>OFFLINE Information Technology Services, Including Cybersecurity</t>
        </is>
      </c>
      <c r="E666" t="inlineStr">
        <is>
          <t>Haddon Heights Borough</t>
        </is>
      </c>
      <c r="F666" t="inlineStr">
        <is>
          <t>New Jersey</t>
        </is>
      </c>
      <c r="G666" t="inlineStr">
        <is>
          <t>Submitted</t>
        </is>
      </c>
      <c r="H666" t="inlineStr">
        <is>
          <t>No</t>
        </is>
      </c>
      <c r="J666" s="96" t="n">
        <v>46141</v>
      </c>
      <c r="K666" s="96" t="n">
        <v>46141</v>
      </c>
      <c r="M666" t="inlineStr">
        <is>
          <t>Managed Services (MSP);Consulting</t>
        </is>
      </c>
      <c r="O666" t="inlineStr">
        <is>
          <t>Savya Atrey</t>
        </is>
      </c>
      <c r="Y666" t="inlineStr">
        <is>
          <t>2026-04-08</t>
        </is>
      </c>
      <c r="Z666" t="inlineStr">
        <is>
          <t>https://app.hubspot.com/contacts/243046792/record/0-3/319925999318</t>
        </is>
      </c>
    </row>
    <row r="667">
      <c r="A667" t="n">
        <v>666</v>
      </c>
      <c r="B667" t="inlineStr">
        <is>
          <t>320536008419</t>
        </is>
      </c>
      <c r="D667" t="inlineStr">
        <is>
          <t>INFORMATION TECHNOLOGY AND COMPUTER CONSULTING SERVICES FOR COMPUTERS, PROGRAMS AND PERIPHERAL COMPUTER EQUIPMENT THROUGHOUT THE DEPARTMENTS OF THE BOROUGH OF MIDDLESEX</t>
        </is>
      </c>
      <c r="E667" t="inlineStr">
        <is>
          <t>Borough of Middlesex</t>
        </is>
      </c>
      <c r="F667" t="inlineStr">
        <is>
          <t>New Jersey</t>
        </is>
      </c>
      <c r="G667" t="inlineStr">
        <is>
          <t>Submitted</t>
        </is>
      </c>
      <c r="H667" t="inlineStr">
        <is>
          <t>No</t>
        </is>
      </c>
      <c r="J667" s="96" t="n">
        <v>46141</v>
      </c>
      <c r="K667" s="96" t="n">
        <v>46141</v>
      </c>
      <c r="L667" s="65" t="n">
        <v>135360</v>
      </c>
      <c r="M667" t="inlineStr">
        <is>
          <t>Managed Services (MSP)</t>
        </is>
      </c>
      <c r="N667" t="inlineStr">
        <is>
          <t>Offline</t>
        </is>
      </c>
      <c r="O667" t="inlineStr">
        <is>
          <t>Jyothsna Nanda kishore</t>
        </is>
      </c>
      <c r="Y667" t="inlineStr">
        <is>
          <t>2026-04-15</t>
        </is>
      </c>
      <c r="Z667" t="inlineStr">
        <is>
          <t>https://app.hubspot.com/contacts/243046792/record/0-3/320536008419</t>
        </is>
      </c>
    </row>
    <row r="668">
      <c r="A668" t="n">
        <v>667</v>
      </c>
      <c r="B668" t="inlineStr">
        <is>
          <t>319104964317</t>
        </is>
      </c>
      <c r="D668" t="inlineStr">
        <is>
          <t xml:space="preserve">Migration from On-Premises Microsoft CRM to Microsoft Dynamics 365 Cloud </t>
        </is>
      </c>
      <c r="E668" t="inlineStr">
        <is>
          <t>Energy Trust of Oregon</t>
        </is>
      </c>
      <c r="F668" t="inlineStr">
        <is>
          <t>Oregon</t>
        </is>
      </c>
      <c r="G668" t="inlineStr">
        <is>
          <t>Submitted</t>
        </is>
      </c>
      <c r="H668" t="inlineStr">
        <is>
          <t>No</t>
        </is>
      </c>
      <c r="J668" s="96" t="n">
        <v>46141</v>
      </c>
      <c r="K668" s="96" t="n">
        <v>46141</v>
      </c>
      <c r="L668" s="65" t="n">
        <v>1189350</v>
      </c>
      <c r="M668" t="inlineStr">
        <is>
          <t>Modernization / Migration</t>
        </is>
      </c>
      <c r="N668" t="inlineStr">
        <is>
          <t>Email</t>
        </is>
      </c>
      <c r="O668" t="inlineStr">
        <is>
          <t>Jyothsna Nanda kishore</t>
        </is>
      </c>
      <c r="Y668" t="inlineStr">
        <is>
          <t>2026-04-02</t>
        </is>
      </c>
      <c r="Z668" t="inlineStr">
        <is>
          <t>https://app.hubspot.com/contacts/243046792/record/0-3/319104964317</t>
        </is>
      </c>
      <c r="AA668" t="inlineStr">
        <is>
          <t>Yes</t>
        </is>
      </c>
    </row>
    <row r="669">
      <c r="A669" t="n">
        <v>668</v>
      </c>
      <c r="B669" t="inlineStr">
        <is>
          <t>319925999345</t>
        </is>
      </c>
      <c r="D669" t="inlineStr">
        <is>
          <t>REQUEST FOR QUALIFICATIONS FOR INFORMATION TECHNOLOGY STRATEGIC CONSULTING SERVICES</t>
        </is>
      </c>
      <c r="E669" t="inlineStr">
        <is>
          <t>Susquehanna River Basin Commission (SRBC)</t>
        </is>
      </c>
      <c r="F669" t="inlineStr">
        <is>
          <t>Pennsylvania, New York, Maryland</t>
        </is>
      </c>
      <c r="G669" t="inlineStr">
        <is>
          <t>Submitted</t>
        </is>
      </c>
      <c r="H669" t="inlineStr">
        <is>
          <t>No</t>
        </is>
      </c>
      <c r="J669" s="96" t="n">
        <v>46141</v>
      </c>
      <c r="K669" s="96" t="n">
        <v>46141</v>
      </c>
      <c r="M669" t="inlineStr">
        <is>
          <t>Consulting</t>
        </is>
      </c>
      <c r="O669" t="inlineStr">
        <is>
          <t>Savya Atrey</t>
        </is>
      </c>
      <c r="Y669" t="inlineStr">
        <is>
          <t>2026-04-08</t>
        </is>
      </c>
      <c r="Z669" t="inlineStr">
        <is>
          <t>https://app.hubspot.com/contacts/243046792/record/0-3/319925999345</t>
        </is>
      </c>
    </row>
    <row r="670">
      <c r="A670" t="n">
        <v>669</v>
      </c>
      <c r="B670" t="inlineStr">
        <is>
          <t>320623193837</t>
        </is>
      </c>
      <c r="D670" t="inlineStr">
        <is>
          <t>offline RFP IT SUPPORT SERVICES FOR SCCDA</t>
        </is>
      </c>
      <c r="E670" t="inlineStr">
        <is>
          <t>City of Quincy</t>
        </is>
      </c>
      <c r="F670" t="inlineStr">
        <is>
          <t>Massachusetts</t>
        </is>
      </c>
      <c r="G670" t="inlineStr">
        <is>
          <t>Submitted</t>
        </is>
      </c>
      <c r="H670" t="inlineStr">
        <is>
          <t>No</t>
        </is>
      </c>
      <c r="J670" s="96" t="n">
        <v>46142</v>
      </c>
      <c r="K670" s="96" t="n">
        <v>46141</v>
      </c>
      <c r="M670" t="inlineStr">
        <is>
          <t>Managed Services (MSP)</t>
        </is>
      </c>
      <c r="O670" t="inlineStr">
        <is>
          <t>Savya Atrey</t>
        </is>
      </c>
      <c r="Y670" t="inlineStr">
        <is>
          <t>2026-04-15</t>
        </is>
      </c>
      <c r="Z670" t="inlineStr">
        <is>
          <t>https://app.hubspot.com/contacts/243046792/record/0-3/320623193837</t>
        </is>
      </c>
    </row>
    <row r="671">
      <c r="A671" t="n">
        <v>670</v>
      </c>
      <c r="B671" t="inlineStr">
        <is>
          <t>322269405882</t>
        </is>
      </c>
      <c r="D671" t="inlineStr">
        <is>
          <t>2026 Veeam License Renewal</t>
        </is>
      </c>
      <c r="E671" t="inlineStr">
        <is>
          <t>Village of Schaumburg</t>
        </is>
      </c>
      <c r="F671" t="inlineStr">
        <is>
          <t>Illinois</t>
        </is>
      </c>
      <c r="G671" t="inlineStr">
        <is>
          <t>Submitted</t>
        </is>
      </c>
      <c r="H671" t="inlineStr">
        <is>
          <t>No</t>
        </is>
      </c>
      <c r="J671" s="96" t="n">
        <v>46143</v>
      </c>
      <c r="K671" s="96" t="n">
        <v>46141</v>
      </c>
      <c r="L671" s="65" t="n">
        <v>54186.88</v>
      </c>
      <c r="N671" t="inlineStr">
        <is>
          <t>Portal</t>
        </is>
      </c>
      <c r="O671" t="inlineStr">
        <is>
          <t>Jyothsna Nanda kishore</t>
        </is>
      </c>
      <c r="Y671" s="96" t="n">
        <v>46136</v>
      </c>
      <c r="Z671" t="inlineStr">
        <is>
          <t>https://app.hubspot.com/contacts/243046792/record/0-3/322269405882</t>
        </is>
      </c>
    </row>
    <row r="672">
      <c r="A672" t="n">
        <v>671</v>
      </c>
      <c r="B672" t="inlineStr">
        <is>
          <t>319926717149</t>
        </is>
      </c>
      <c r="C672" t="inlineStr">
        <is>
          <t>COW2026-02</t>
        </is>
      </c>
      <c r="D672" t="inlineStr">
        <is>
          <t>Information Technology and GIS Support Services</t>
        </is>
      </c>
      <c r="E672" t="inlineStr">
        <is>
          <t>City of Wildomar</t>
        </is>
      </c>
      <c r="F672" t="inlineStr">
        <is>
          <t>California</t>
        </is>
      </c>
      <c r="G672" t="inlineStr">
        <is>
          <t>Submitted</t>
        </is>
      </c>
      <c r="H672" t="inlineStr">
        <is>
          <t>No</t>
        </is>
      </c>
      <c r="J672" s="96" t="n">
        <v>46142</v>
      </c>
      <c r="K672" s="96" t="n">
        <v>46142</v>
      </c>
      <c r="L672" s="65" t="n">
        <v>210000</v>
      </c>
      <c r="M672" t="inlineStr">
        <is>
          <t>Consulting;Staff Augmentation;Audits and Assessment</t>
        </is>
      </c>
      <c r="N672" t="inlineStr">
        <is>
          <t>Portal</t>
        </is>
      </c>
      <c r="O672" t="inlineStr">
        <is>
          <t>Ashutosh Chauhan</t>
        </is>
      </c>
      <c r="Y672" s="96" t="n">
        <v>46120</v>
      </c>
      <c r="Z672" t="inlineStr">
        <is>
          <t>https://app.hubspot.com/contacts/243046792/record/0-3/319926717149</t>
        </is>
      </c>
    </row>
    <row r="673">
      <c r="A673" t="n">
        <v>672</v>
      </c>
      <c r="B673" t="inlineStr">
        <is>
          <t>320834566889</t>
        </is>
      </c>
      <c r="C673" t="inlineStr">
        <is>
          <t>2026-002 REBID</t>
        </is>
      </c>
      <c r="D673" t="inlineStr">
        <is>
          <t>MICROSOFT DYNAMICS GP MIGRATION TO BUSINESS CENTRAL 365</t>
        </is>
      </c>
      <c r="E673" t="inlineStr">
        <is>
          <t>Detroit Wayne Integrated Health Network</t>
        </is>
      </c>
      <c r="F673" t="inlineStr">
        <is>
          <t>Michigan</t>
        </is>
      </c>
      <c r="G673" t="inlineStr">
        <is>
          <t>Closed Lost</t>
        </is>
      </c>
      <c r="H673" t="inlineStr">
        <is>
          <t>No</t>
        </is>
      </c>
      <c r="J673" s="96" t="n">
        <v>46196</v>
      </c>
      <c r="K673" s="96" t="n">
        <v>46142</v>
      </c>
      <c r="L673" s="65" t="n">
        <v>135830</v>
      </c>
      <c r="M673" t="inlineStr">
        <is>
          <t>Modernization / Migration</t>
        </is>
      </c>
      <c r="N673" t="inlineStr">
        <is>
          <t>Portal</t>
        </is>
      </c>
      <c r="O673" t="inlineStr">
        <is>
          <t>Ashutosh Chauhan</t>
        </is>
      </c>
      <c r="Y673" t="inlineStr">
        <is>
          <t>2026-04-15</t>
        </is>
      </c>
      <c r="Z673" t="inlineStr">
        <is>
          <t>https://app.hubspot.com/contacts/243046792/record/0-3/320834566889</t>
        </is>
      </c>
    </row>
    <row r="674">
      <c r="A674" t="n">
        <v>673</v>
      </c>
      <c r="B674" t="inlineStr">
        <is>
          <t>323231105770</t>
        </is>
      </c>
      <c r="D674" t="inlineStr">
        <is>
          <t>Consulting and Professional Services Master Agreement (CAPSMA)</t>
        </is>
      </c>
      <c r="E674" t="inlineStr">
        <is>
          <t>Los Angeles County - Board of Supervisors</t>
        </is>
      </c>
      <c r="F674" t="inlineStr">
        <is>
          <t>California</t>
        </is>
      </c>
      <c r="G674" t="inlineStr">
        <is>
          <t>Intent to Award</t>
        </is>
      </c>
      <c r="H674" t="inlineStr">
        <is>
          <t>No</t>
        </is>
      </c>
      <c r="J674" s="96" t="n">
        <v>46290</v>
      </c>
      <c r="K674" s="96" t="n">
        <v>46142</v>
      </c>
      <c r="M674" t="inlineStr">
        <is>
          <t>Consulting</t>
        </is>
      </c>
      <c r="N674" t="inlineStr">
        <is>
          <t>Email</t>
        </is>
      </c>
      <c r="O674" t="inlineStr">
        <is>
          <t>Jyothsna Nanda kishore</t>
        </is>
      </c>
      <c r="S674" s="96" t="n">
        <v>46296</v>
      </c>
      <c r="Y674" s="96" t="n">
        <v>46143</v>
      </c>
      <c r="Z674" t="inlineStr">
        <is>
          <t>https://app.hubspot.com/contacts/243046792/record/0-3/323231105770</t>
        </is>
      </c>
    </row>
    <row r="675">
      <c r="A675" t="n">
        <v>674</v>
      </c>
      <c r="B675" t="inlineStr">
        <is>
          <t>318930495177</t>
        </is>
      </c>
      <c r="D675" t="inlineStr">
        <is>
          <t>Request for Services (RFS) for Consulting Services to Enhance Education Information Sharing Processes and Data Systems for Systems-Involved Youth</t>
        </is>
      </c>
      <c r="E675" t="inlineStr">
        <is>
          <t>Los Angeles County - Board of Supervisors</t>
        </is>
      </c>
      <c r="F675" t="inlineStr">
        <is>
          <t>California</t>
        </is>
      </c>
      <c r="G675" t="inlineStr">
        <is>
          <t>Submitted</t>
        </is>
      </c>
      <c r="H675" t="inlineStr">
        <is>
          <t>No</t>
        </is>
      </c>
      <c r="J675" s="96" t="n">
        <v>46142</v>
      </c>
      <c r="K675" s="96" t="n">
        <v>46142</v>
      </c>
      <c r="M675" t="inlineStr">
        <is>
          <t>Consulting</t>
        </is>
      </c>
      <c r="N675" t="inlineStr">
        <is>
          <t>Email</t>
        </is>
      </c>
      <c r="O675" t="inlineStr">
        <is>
          <t>Jyothsna Nanda kishore</t>
        </is>
      </c>
      <c r="Y675" t="inlineStr">
        <is>
          <t>2026-04-02</t>
        </is>
      </c>
      <c r="Z675" t="inlineStr">
        <is>
          <t>https://app.hubspot.com/contacts/243046792/record/0-3/318930495177</t>
        </is>
      </c>
    </row>
    <row r="676">
      <c r="A676" t="n">
        <v>675</v>
      </c>
      <c r="B676" t="inlineStr">
        <is>
          <t>319925282512</t>
        </is>
      </c>
      <c r="D676" t="inlineStr">
        <is>
          <t>MANAGED SERVICE PROVIDER (MSP)</t>
        </is>
      </c>
      <c r="E676" t="inlineStr">
        <is>
          <t>Freire Schools</t>
        </is>
      </c>
      <c r="F676" t="inlineStr">
        <is>
          <t>Pennsylvania</t>
        </is>
      </c>
      <c r="G676" t="inlineStr">
        <is>
          <t>Closed Lost</t>
        </is>
      </c>
      <c r="H676" t="inlineStr">
        <is>
          <t>No</t>
        </is>
      </c>
      <c r="J676" s="96" t="n">
        <v>46293</v>
      </c>
      <c r="K676" s="96" t="n">
        <v>46142</v>
      </c>
      <c r="L676" s="65" t="n">
        <v>199960</v>
      </c>
      <c r="M676" t="inlineStr">
        <is>
          <t>Managed Services (MSP)</t>
        </is>
      </c>
      <c r="O676" t="inlineStr">
        <is>
          <t>Jyothsna Nanda kishore</t>
        </is>
      </c>
      <c r="Y676" s="96" t="n">
        <v>46120</v>
      </c>
      <c r="Z676" t="inlineStr">
        <is>
          <t>https://app.hubspot.com/contacts/243046792/record/0-3/319925282512</t>
        </is>
      </c>
    </row>
    <row r="677">
      <c r="A677" t="n">
        <v>676</v>
      </c>
      <c r="B677" t="inlineStr">
        <is>
          <t>321688802026</t>
        </is>
      </c>
      <c r="D677" t="inlineStr">
        <is>
          <t>(Offline) RFP ACCOUNTING &amp; HUMAN RESOURCES ERP SYSTEM</t>
        </is>
      </c>
      <c r="E677" t="inlineStr">
        <is>
          <t>NORMANDY SCHOOLS COLLABORATIVE</t>
        </is>
      </c>
      <c r="F677" t="inlineStr">
        <is>
          <t>Missouri</t>
        </is>
      </c>
      <c r="G677" t="inlineStr">
        <is>
          <t>Submitted</t>
        </is>
      </c>
      <c r="H677" t="inlineStr">
        <is>
          <t>No</t>
        </is>
      </c>
      <c r="J677" s="96" t="n">
        <v>46143</v>
      </c>
      <c r="K677" s="96" t="n">
        <v>46142</v>
      </c>
      <c r="M677" t="inlineStr">
        <is>
          <t>Platform Implementation (ERP, CRMs)</t>
        </is>
      </c>
      <c r="O677" t="inlineStr">
        <is>
          <t>Savya Atrey</t>
        </is>
      </c>
      <c r="Y677" t="inlineStr">
        <is>
          <t>2026-04-22</t>
        </is>
      </c>
      <c r="Z677" t="inlineStr">
        <is>
          <t>https://app.hubspot.com/contacts/243046792/record/0-3/321688802026</t>
        </is>
      </c>
    </row>
    <row r="678">
      <c r="A678" t="n">
        <v>677</v>
      </c>
      <c r="B678" t="inlineStr">
        <is>
          <t>318905084658</t>
        </is>
      </c>
      <c r="D678" t="inlineStr">
        <is>
          <t>On-Call As-Needed Temporary Information Technology Staffing Services</t>
        </is>
      </c>
      <c r="E678" t="inlineStr">
        <is>
          <t>East Bay Municipal Utility District</t>
        </is>
      </c>
      <c r="F678" t="inlineStr">
        <is>
          <t>California</t>
        </is>
      </c>
      <c r="G678" t="inlineStr">
        <is>
          <t>Submitted</t>
        </is>
      </c>
      <c r="H678" t="inlineStr">
        <is>
          <t>No</t>
        </is>
      </c>
      <c r="J678" s="96" t="n">
        <v>46143</v>
      </c>
      <c r="K678" s="96" t="n">
        <v>46142</v>
      </c>
      <c r="M678" t="inlineStr">
        <is>
          <t>Staff Augmentation</t>
        </is>
      </c>
      <c r="O678" t="inlineStr">
        <is>
          <t>Savya Atrey</t>
        </is>
      </c>
      <c r="Y678" s="96" t="n">
        <v>46114</v>
      </c>
      <c r="Z678" t="inlineStr">
        <is>
          <t>https://app.hubspot.com/contacts/243046792/record/0-3/318905084658</t>
        </is>
      </c>
    </row>
    <row r="679">
      <c r="A679" t="n">
        <v>678</v>
      </c>
      <c r="B679" t="inlineStr">
        <is>
          <t>323230348993</t>
        </is>
      </c>
      <c r="D679" t="inlineStr">
        <is>
          <t>Computerized Maintenance Management System</t>
        </is>
      </c>
      <c r="E679" t="inlineStr">
        <is>
          <t>University of California</t>
        </is>
      </c>
      <c r="F679" t="inlineStr">
        <is>
          <t>California</t>
        </is>
      </c>
      <c r="G679" t="inlineStr">
        <is>
          <t>Submitted</t>
        </is>
      </c>
      <c r="H679" t="inlineStr">
        <is>
          <t>No</t>
        </is>
      </c>
      <c r="J679" s="96" t="n">
        <v>46146</v>
      </c>
      <c r="K679" s="96" t="n">
        <v>46142</v>
      </c>
      <c r="M679" t="inlineStr">
        <is>
          <t>Platform Implementation (ERP, CRMs)</t>
        </is>
      </c>
      <c r="O679" t="inlineStr">
        <is>
          <t>Savya Atrey</t>
        </is>
      </c>
      <c r="Y679" s="96" t="n">
        <v>46142</v>
      </c>
      <c r="Z679" t="inlineStr">
        <is>
          <t>https://app.hubspot.com/contacts/243046792/record/0-3/323230348993</t>
        </is>
      </c>
    </row>
    <row r="680">
      <c r="A680" t="n">
        <v>679</v>
      </c>
      <c r="B680" t="inlineStr">
        <is>
          <t>321190312662</t>
        </is>
      </c>
      <c r="D680" t="inlineStr">
        <is>
          <t xml:space="preserve">On-Call Data Modernization and Analytics Consulting Services </t>
        </is>
      </c>
      <c r="E680" t="inlineStr">
        <is>
          <t>Seattle Public Utilities (SPU)</t>
        </is>
      </c>
      <c r="F680" t="inlineStr">
        <is>
          <t>Washington</t>
        </is>
      </c>
      <c r="G680" t="inlineStr">
        <is>
          <t>Closed Lost</t>
        </is>
      </c>
      <c r="H680" t="inlineStr">
        <is>
          <t>No</t>
        </is>
      </c>
      <c r="J680" s="96" t="n">
        <v>46273</v>
      </c>
      <c r="K680" s="96" t="n">
        <v>46142</v>
      </c>
      <c r="M680" t="inlineStr">
        <is>
          <t>Staff Augmentation</t>
        </is>
      </c>
      <c r="O680" t="inlineStr">
        <is>
          <t>Savya Atrey</t>
        </is>
      </c>
      <c r="Y680" t="inlineStr">
        <is>
          <t>2026-04-17</t>
        </is>
      </c>
      <c r="Z680" t="inlineStr">
        <is>
          <t>https://app.hubspot.com/contacts/243046792/record/0-3/321190312662</t>
        </is>
      </c>
    </row>
    <row r="681">
      <c r="A681" t="n">
        <v>680</v>
      </c>
      <c r="B681" t="inlineStr">
        <is>
          <t>320835245763</t>
        </is>
      </c>
      <c r="D681" t="inlineStr">
        <is>
          <t>SECURITY OPERATIONS CENTER SOLUTION</t>
        </is>
      </c>
      <c r="E681" t="inlineStr">
        <is>
          <t>NEW YORK eHEALTH COLLABORATIVE</t>
        </is>
      </c>
      <c r="F681" t="inlineStr">
        <is>
          <t>New York</t>
        </is>
      </c>
      <c r="G681" t="inlineStr">
        <is>
          <t>Submitted</t>
        </is>
      </c>
      <c r="H681" t="inlineStr">
        <is>
          <t>No</t>
        </is>
      </c>
      <c r="J681" s="96" t="n">
        <v>46143</v>
      </c>
      <c r="K681" s="96" t="n">
        <v>46143</v>
      </c>
      <c r="L681" s="65" t="n">
        <v>528000</v>
      </c>
      <c r="M681" t="inlineStr">
        <is>
          <t>Audits and Assessment;Managed Services (MSP)</t>
        </is>
      </c>
      <c r="N681" t="inlineStr">
        <is>
          <t>Email</t>
        </is>
      </c>
      <c r="O681" t="inlineStr">
        <is>
          <t>Ashutosh Chauhan</t>
        </is>
      </c>
      <c r="Y681" t="inlineStr">
        <is>
          <t>2026-04-15</t>
        </is>
      </c>
      <c r="Z681" t="inlineStr">
        <is>
          <t>https://app.hubspot.com/contacts/243046792/record/0-3/320835245763</t>
        </is>
      </c>
    </row>
    <row r="682">
      <c r="A682" t="n">
        <v>681</v>
      </c>
      <c r="B682" t="inlineStr">
        <is>
          <t>321688803002</t>
        </is>
      </c>
      <c r="D682" t="inlineStr">
        <is>
          <t>IMRF IFB - 2026 Penetration Testing and Red Teaming Services</t>
        </is>
      </c>
      <c r="E682" t="inlineStr">
        <is>
          <t>ILLINOIS MUNICIPAL RETIREMENT FUND</t>
        </is>
      </c>
      <c r="F682" t="inlineStr">
        <is>
          <t>Illinois</t>
        </is>
      </c>
      <c r="G682" t="inlineStr">
        <is>
          <t>Closed Lost</t>
        </is>
      </c>
      <c r="H682" t="inlineStr">
        <is>
          <t>No</t>
        </is>
      </c>
      <c r="J682" s="96" t="n">
        <v>46171</v>
      </c>
      <c r="K682" s="96" t="n">
        <v>46143</v>
      </c>
      <c r="L682" s="65" t="n">
        <v>142500</v>
      </c>
      <c r="M682" t="inlineStr">
        <is>
          <t>Audits and Assessment</t>
        </is>
      </c>
      <c r="N682" t="inlineStr">
        <is>
          <t>Email</t>
        </is>
      </c>
      <c r="O682" t="inlineStr">
        <is>
          <t>Ashutosh Chauhan</t>
        </is>
      </c>
      <c r="Y682" t="inlineStr">
        <is>
          <t>2026-04-22</t>
        </is>
      </c>
      <c r="Z682" t="inlineStr">
        <is>
          <t>https://app.hubspot.com/contacts/243046792/record/0-3/321688803002</t>
        </is>
      </c>
    </row>
    <row r="683">
      <c r="A683" t="n">
        <v>682</v>
      </c>
      <c r="B683" t="inlineStr">
        <is>
          <t>275293787895</t>
        </is>
      </c>
      <c r="C683" t="inlineStr">
        <is>
          <t># 26-10</t>
        </is>
      </c>
      <c r="D683" t="inlineStr">
        <is>
          <t>OFF-Digital Transformation Products and Services</t>
        </is>
      </c>
      <c r="E683" t="inlineStr">
        <is>
          <t>Upper Occoquan Service Authority</t>
        </is>
      </c>
      <c r="F683" t="inlineStr">
        <is>
          <t>Virginia</t>
        </is>
      </c>
      <c r="G683" t="inlineStr">
        <is>
          <t>Submitted</t>
        </is>
      </c>
      <c r="H683" t="inlineStr">
        <is>
          <t>No</t>
        </is>
      </c>
      <c r="J683" s="96" t="n">
        <v>46143</v>
      </c>
      <c r="K683" s="96" t="n">
        <v>46143</v>
      </c>
      <c r="M683" t="inlineStr">
        <is>
          <t>Consulting</t>
        </is>
      </c>
      <c r="O683" t="inlineStr">
        <is>
          <t>Ashutosh Chauhan</t>
        </is>
      </c>
      <c r="Y683" s="96" t="n">
        <v>46049</v>
      </c>
      <c r="Z683" t="inlineStr">
        <is>
          <t>https://app.hubspot.com/contacts/243046792/record/0-3/275293787895</t>
        </is>
      </c>
    </row>
    <row r="684">
      <c r="A684" t="n">
        <v>683</v>
      </c>
      <c r="B684" t="inlineStr">
        <is>
          <t>316930943726</t>
        </is>
      </c>
      <c r="D684" t="inlineStr">
        <is>
          <t>OFF: INFORMATION TECHNOLOGY SERVICES</t>
        </is>
      </c>
      <c r="E684" t="inlineStr">
        <is>
          <t>MetroWest Regional Transit Authority</t>
        </is>
      </c>
      <c r="F684" t="inlineStr">
        <is>
          <t>California</t>
        </is>
      </c>
      <c r="G684" t="inlineStr">
        <is>
          <t>Submitted</t>
        </is>
      </c>
      <c r="H684" t="inlineStr">
        <is>
          <t>No</t>
        </is>
      </c>
      <c r="J684" s="96" t="n">
        <v>46143</v>
      </c>
      <c r="K684" s="96" t="n">
        <v>46143</v>
      </c>
      <c r="M684" t="inlineStr">
        <is>
          <t>Managed Services (MSP)</t>
        </is>
      </c>
      <c r="N684" t="inlineStr">
        <is>
          <t>Offline</t>
        </is>
      </c>
      <c r="O684" t="inlineStr">
        <is>
          <t>Ashutosh Chauhan</t>
        </is>
      </c>
      <c r="Y684" t="inlineStr">
        <is>
          <t>2026-03-19</t>
        </is>
      </c>
      <c r="Z684" t="inlineStr">
        <is>
          <t>https://app.hubspot.com/contacts/243046792/record/0-3/316930943726</t>
        </is>
      </c>
    </row>
    <row r="685">
      <c r="A685" t="n">
        <v>684</v>
      </c>
      <c r="B685" t="inlineStr">
        <is>
          <t>327371636470</t>
        </is>
      </c>
      <c r="D685" t="inlineStr">
        <is>
          <t>MC Fusion Post Go-Live Production Support</t>
        </is>
      </c>
      <c r="E685" t="inlineStr">
        <is>
          <t>Marion County</t>
        </is>
      </c>
      <c r="F685" t="inlineStr">
        <is>
          <t>Oregon</t>
        </is>
      </c>
      <c r="G685" t="inlineStr">
        <is>
          <t>Submitted</t>
        </is>
      </c>
      <c r="H685" t="inlineStr">
        <is>
          <t>No</t>
        </is>
      </c>
      <c r="J685" s="96" t="n">
        <v>46153</v>
      </c>
      <c r="K685" s="96" t="n">
        <v>46143</v>
      </c>
      <c r="L685" s="65" t="n">
        <v>241540</v>
      </c>
      <c r="M685" t="inlineStr">
        <is>
          <t>Support &amp; Maintenance</t>
        </is>
      </c>
      <c r="N685" t="inlineStr">
        <is>
          <t>Email</t>
        </is>
      </c>
      <c r="O685" t="inlineStr">
        <is>
          <t>Jyothsna Nanda kishore</t>
        </is>
      </c>
      <c r="Y685" s="96" t="n">
        <v>46174</v>
      </c>
      <c r="Z685" t="inlineStr">
        <is>
          <t>https://app.hubspot.com/contacts/243046792/record/0-3/327371636470</t>
        </is>
      </c>
    </row>
    <row r="686">
      <c r="A686" t="n">
        <v>685</v>
      </c>
      <c r="B686" t="inlineStr">
        <is>
          <t>320837491424</t>
        </is>
      </c>
      <c r="D686" t="inlineStr">
        <is>
          <t>Cybersecurity Assessment</t>
        </is>
      </c>
      <c r="E686" t="inlineStr">
        <is>
          <t xml:space="preserve">City of Big Rapids </t>
        </is>
      </c>
      <c r="F686" t="inlineStr">
        <is>
          <t>Michigan</t>
        </is>
      </c>
      <c r="G686" t="inlineStr">
        <is>
          <t>Closed Lost</t>
        </is>
      </c>
      <c r="H686" t="inlineStr">
        <is>
          <t>No</t>
        </is>
      </c>
      <c r="J686" s="96" t="n">
        <v>46202</v>
      </c>
      <c r="K686" s="96" t="n">
        <v>46146</v>
      </c>
      <c r="L686" s="65" t="n">
        <v>10000</v>
      </c>
      <c r="M686" t="inlineStr">
        <is>
          <t>Audits and Assessment</t>
        </is>
      </c>
      <c r="O686" t="inlineStr">
        <is>
          <t>Ashutosh Chauhan</t>
        </is>
      </c>
      <c r="Y686" s="96" t="n">
        <v>46128</v>
      </c>
      <c r="Z686" t="inlineStr">
        <is>
          <t>https://app.hubspot.com/contacts/243046792/record/0-3/320837491424</t>
        </is>
      </c>
    </row>
    <row r="687">
      <c r="A687" t="n">
        <v>686</v>
      </c>
      <c r="B687" t="inlineStr">
        <is>
          <t>321691656932</t>
        </is>
      </c>
      <c r="D687" t="inlineStr">
        <is>
          <t>IT Services' Contract</t>
        </is>
      </c>
      <c r="E687" t="inlineStr">
        <is>
          <t xml:space="preserve">Holt County- Sheriffs Office </t>
        </is>
      </c>
      <c r="F687" t="inlineStr">
        <is>
          <t>Nebraska</t>
        </is>
      </c>
      <c r="G687" t="inlineStr">
        <is>
          <t>Submitted</t>
        </is>
      </c>
      <c r="H687" t="inlineStr">
        <is>
          <t>No</t>
        </is>
      </c>
      <c r="J687" s="96" t="n">
        <v>46146</v>
      </c>
      <c r="K687" s="96" t="n">
        <v>46146</v>
      </c>
      <c r="L687" s="65" t="n">
        <v>87900</v>
      </c>
      <c r="M687" t="inlineStr">
        <is>
          <t>Managed Services (MSP)</t>
        </is>
      </c>
      <c r="O687" t="inlineStr">
        <is>
          <t>Jyothsna Nanda kishore</t>
        </is>
      </c>
      <c r="Y687" s="96" t="n">
        <v>46134</v>
      </c>
      <c r="Z687" t="inlineStr">
        <is>
          <t>https://app.hubspot.com/contacts/243046792/record/0-3/321691656932</t>
        </is>
      </c>
    </row>
    <row r="688">
      <c r="A688" t="n">
        <v>687</v>
      </c>
      <c r="B688" t="inlineStr">
        <is>
          <t>319177778875</t>
        </is>
      </c>
      <c r="D688" t="inlineStr">
        <is>
          <t>SAP BTP &amp; Integration Suite Implementation</t>
        </is>
      </c>
      <c r="E688" t="inlineStr">
        <is>
          <t>Lincoln Electric System</t>
        </is>
      </c>
      <c r="F688" t="inlineStr">
        <is>
          <t>Nebraska</t>
        </is>
      </c>
      <c r="G688" t="inlineStr">
        <is>
          <t>Closed Lost</t>
        </is>
      </c>
      <c r="H688" t="inlineStr">
        <is>
          <t>No</t>
        </is>
      </c>
      <c r="J688" s="96" t="n">
        <v>46293</v>
      </c>
      <c r="K688" s="96" t="n">
        <v>46146</v>
      </c>
      <c r="L688" s="65" t="n">
        <v>124320</v>
      </c>
      <c r="M688" t="inlineStr">
        <is>
          <t>Modernization / Migration</t>
        </is>
      </c>
      <c r="N688" t="inlineStr">
        <is>
          <t>Portal</t>
        </is>
      </c>
      <c r="O688" t="inlineStr">
        <is>
          <t>Jyothsna Nanda kishore</t>
        </is>
      </c>
      <c r="Y688" s="96" t="n">
        <v>46115</v>
      </c>
      <c r="Z688" t="inlineStr">
        <is>
          <t>https://app.hubspot.com/contacts/243046792/record/0-3/319177778875</t>
        </is>
      </c>
    </row>
    <row r="689">
      <c r="A689" t="n">
        <v>688</v>
      </c>
      <c r="B689" t="inlineStr">
        <is>
          <t>321911416540</t>
        </is>
      </c>
      <c r="D689" t="inlineStr">
        <is>
          <t>City of Odonnell - IT Infrastructure and Related Services</t>
        </is>
      </c>
      <c r="E689" t="inlineStr">
        <is>
          <t>City of Odonnell</t>
        </is>
      </c>
      <c r="F689" t="inlineStr">
        <is>
          <t>Texas</t>
        </is>
      </c>
      <c r="G689" t="inlineStr">
        <is>
          <t>Intent to Award</t>
        </is>
      </c>
      <c r="H689" t="inlineStr">
        <is>
          <t>No</t>
        </is>
      </c>
      <c r="J689" s="96" t="n">
        <v>46147</v>
      </c>
      <c r="K689" s="96" t="n">
        <v>46147</v>
      </c>
      <c r="M689" t="inlineStr">
        <is>
          <t>Consulting;Staff Augmentation</t>
        </is>
      </c>
      <c r="O689" t="inlineStr">
        <is>
          <t>Ashutosh Chauhan</t>
        </is>
      </c>
      <c r="S689" s="96" t="n">
        <v>46174</v>
      </c>
      <c r="Y689" s="96" t="n">
        <v>46135</v>
      </c>
      <c r="Z689" t="inlineStr">
        <is>
          <t>https://app.hubspot.com/contacts/243046792/record/0-3/321911416540</t>
        </is>
      </c>
    </row>
    <row r="690">
      <c r="A690" t="n">
        <v>689</v>
      </c>
      <c r="B690" t="inlineStr">
        <is>
          <t>318930504398</t>
        </is>
      </c>
      <c r="C690" t="inlineStr">
        <is>
          <t>RFP-RC-2026-013</t>
        </is>
      </c>
      <c r="D690" t="inlineStr">
        <is>
          <t>Confidential Network, Cyber Security and Technology Advisor Services</t>
        </is>
      </c>
      <c r="E690" t="inlineStr">
        <is>
          <t>County of Rockland</t>
        </is>
      </c>
      <c r="F690" t="inlineStr">
        <is>
          <t>New York</t>
        </is>
      </c>
      <c r="G690" t="inlineStr">
        <is>
          <t>Submitted</t>
        </is>
      </c>
      <c r="H690" t="inlineStr">
        <is>
          <t>No</t>
        </is>
      </c>
      <c r="J690" s="96" t="n">
        <v>46147</v>
      </c>
      <c r="K690" s="96" t="n">
        <v>46147</v>
      </c>
      <c r="L690" s="65" t="n">
        <v>297600</v>
      </c>
      <c r="M690" t="inlineStr">
        <is>
          <t>Consulting;Staff Augmentation</t>
        </is>
      </c>
      <c r="N690" t="inlineStr">
        <is>
          <t>Portal</t>
        </is>
      </c>
      <c r="O690" t="inlineStr">
        <is>
          <t>Savya Atrey</t>
        </is>
      </c>
      <c r="Y690" s="96" t="n">
        <v>46114</v>
      </c>
      <c r="Z690" t="inlineStr">
        <is>
          <t>https://app.hubspot.com/contacts/243046792/record/0-3/318930504398</t>
        </is>
      </c>
    </row>
    <row r="691">
      <c r="A691" t="n">
        <v>690</v>
      </c>
      <c r="B691" t="inlineStr">
        <is>
          <t>321765371610</t>
        </is>
      </c>
      <c r="D691" t="inlineStr">
        <is>
          <t>ServiceNow Professional Services</t>
        </is>
      </c>
      <c r="E691" t="inlineStr">
        <is>
          <t>City of Sacramento</t>
        </is>
      </c>
      <c r="F691" t="inlineStr">
        <is>
          <t>California</t>
        </is>
      </c>
      <c r="G691" t="inlineStr">
        <is>
          <t>Submitted</t>
        </is>
      </c>
      <c r="H691" t="inlineStr">
        <is>
          <t>No</t>
        </is>
      </c>
      <c r="J691" s="96" t="n">
        <v>46148</v>
      </c>
      <c r="K691" s="96" t="n">
        <v>46148</v>
      </c>
      <c r="M691" t="inlineStr">
        <is>
          <t>Staff Augmentation</t>
        </is>
      </c>
      <c r="N691" t="inlineStr">
        <is>
          <t>Portal</t>
        </is>
      </c>
      <c r="O691" t="inlineStr">
        <is>
          <t>Jyothsna Nanda kishore</t>
        </is>
      </c>
      <c r="Y691" s="96" t="n">
        <v>46134</v>
      </c>
      <c r="Z691" t="inlineStr">
        <is>
          <t>https://app.hubspot.com/contacts/243046792/record/0-3/321765371610</t>
        </is>
      </c>
    </row>
    <row r="692">
      <c r="A692" t="n">
        <v>691</v>
      </c>
      <c r="B692" t="inlineStr">
        <is>
          <t>320114224857</t>
        </is>
      </c>
      <c r="D692" t="inlineStr">
        <is>
          <t>Microsoft 365/Azure Security Policies</t>
        </is>
      </c>
      <c r="E692" t="inlineStr">
        <is>
          <t>Stark Metropolitan Housing Authority</t>
        </is>
      </c>
      <c r="F692" t="inlineStr">
        <is>
          <t>Ohio</t>
        </is>
      </c>
      <c r="G692" t="inlineStr">
        <is>
          <t>Interview</t>
        </is>
      </c>
      <c r="H692" t="inlineStr">
        <is>
          <t>Yes</t>
        </is>
      </c>
      <c r="J692" s="96" t="n">
        <v>46148</v>
      </c>
      <c r="K692" s="96" t="n">
        <v>46148</v>
      </c>
      <c r="L692" s="65" t="n">
        <v>14000</v>
      </c>
      <c r="M692" t="inlineStr">
        <is>
          <t>Modernization / Migration</t>
        </is>
      </c>
      <c r="O692" t="inlineStr">
        <is>
          <t>Jyothsna Nanda kishore</t>
        </is>
      </c>
      <c r="Q692" s="96" t="n">
        <v>46294</v>
      </c>
      <c r="Y692" s="96" t="n">
        <v>46121</v>
      </c>
      <c r="Z692" t="inlineStr">
        <is>
          <t>https://app.hubspot.com/contacts/243046792/record/0-3/320114224857</t>
        </is>
      </c>
    </row>
    <row r="693">
      <c r="A693" t="n">
        <v>692</v>
      </c>
      <c r="B693" t="inlineStr">
        <is>
          <t>321905742529</t>
        </is>
      </c>
      <c r="D693" t="inlineStr">
        <is>
          <t>Dynamics CRM Migration Support, Portal Development, &amp; Train-the-Trainer</t>
        </is>
      </c>
      <c r="E693" t="inlineStr">
        <is>
          <t>Governor's Office of Business and Economic Development (GO-Biz)</t>
        </is>
      </c>
      <c r="F693" t="inlineStr">
        <is>
          <t>California</t>
        </is>
      </c>
      <c r="G693" t="inlineStr">
        <is>
          <t>Closed Lost</t>
        </is>
      </c>
      <c r="H693" t="inlineStr">
        <is>
          <t>No</t>
        </is>
      </c>
      <c r="J693" s="96" t="n">
        <v>46155</v>
      </c>
      <c r="K693" s="96" t="n">
        <v>46148</v>
      </c>
      <c r="L693" s="65" t="n">
        <v>173290</v>
      </c>
      <c r="M693" t="inlineStr">
        <is>
          <t>Platform Implementation (ERP, CRMs);Training</t>
        </is>
      </c>
      <c r="N693" t="inlineStr">
        <is>
          <t>Email</t>
        </is>
      </c>
      <c r="O693" t="inlineStr">
        <is>
          <t>Ashutosh Chauhan</t>
        </is>
      </c>
      <c r="Y693" t="inlineStr">
        <is>
          <t>2026-04-23</t>
        </is>
      </c>
      <c r="Z693" t="inlineStr">
        <is>
          <t>https://app.hubspot.com/contacts/243046792/record/0-3/321905742529</t>
        </is>
      </c>
    </row>
    <row r="694">
      <c r="A694" t="n">
        <v>693</v>
      </c>
      <c r="B694" t="inlineStr">
        <is>
          <t>320114224858</t>
        </is>
      </c>
      <c r="D694" t="inlineStr">
        <is>
          <t>Information Technology Strategic Plan</t>
        </is>
      </c>
      <c r="E694" t="inlineStr">
        <is>
          <t>City of Richmond</t>
        </is>
      </c>
      <c r="F694" t="inlineStr">
        <is>
          <t>California</t>
        </is>
      </c>
      <c r="G694" t="inlineStr">
        <is>
          <t>Submitted</t>
        </is>
      </c>
      <c r="H694" t="inlineStr">
        <is>
          <t>No</t>
        </is>
      </c>
      <c r="J694" s="96" t="n">
        <v>46148</v>
      </c>
      <c r="K694" s="96" t="n">
        <v>46148</v>
      </c>
      <c r="M694" t="inlineStr">
        <is>
          <t>Consulting</t>
        </is>
      </c>
      <c r="N694" t="inlineStr">
        <is>
          <t>Portal</t>
        </is>
      </c>
      <c r="O694" t="inlineStr">
        <is>
          <t>Ashutosh Chauhan</t>
        </is>
      </c>
      <c r="Y694" s="96" t="n">
        <v>46121</v>
      </c>
      <c r="Z694" t="inlineStr">
        <is>
          <t>https://app.hubspot.com/contacts/243046792/record/0-3/320114224858</t>
        </is>
      </c>
    </row>
    <row r="695">
      <c r="A695" t="n">
        <v>694</v>
      </c>
      <c r="B695" t="inlineStr">
        <is>
          <t>319866591968</t>
        </is>
      </c>
      <c r="C695" t="inlineStr">
        <is>
          <t>RFP260304</t>
        </is>
      </c>
      <c r="D695" t="inlineStr">
        <is>
          <t>Full Stack WordPress Developer (part-time)</t>
        </is>
      </c>
      <c r="E695" t="inlineStr">
        <is>
          <t>Seattle Public Schools</t>
        </is>
      </c>
      <c r="F695" t="inlineStr">
        <is>
          <t>Washington</t>
        </is>
      </c>
      <c r="G695" t="inlineStr">
        <is>
          <t>Closed Lost</t>
        </is>
      </c>
      <c r="H695" t="inlineStr">
        <is>
          <t>No</t>
        </is>
      </c>
      <c r="J695" s="96" t="n">
        <v>46161</v>
      </c>
      <c r="K695" s="96" t="n">
        <v>46148</v>
      </c>
      <c r="L695" s="65" t="n">
        <v>65000</v>
      </c>
      <c r="M695" t="inlineStr">
        <is>
          <t>Staff Augmentation</t>
        </is>
      </c>
      <c r="N695" t="inlineStr">
        <is>
          <t>Portal</t>
        </is>
      </c>
      <c r="O695" t="inlineStr">
        <is>
          <t>Ashutosh Chauhan</t>
        </is>
      </c>
      <c r="Y695" t="inlineStr">
        <is>
          <t>2026-04-08</t>
        </is>
      </c>
      <c r="Z695" t="inlineStr">
        <is>
          <t>https://app.hubspot.com/contacts/243046792/record/0-3/319866591968</t>
        </is>
      </c>
    </row>
    <row r="696">
      <c r="A696" t="n">
        <v>695</v>
      </c>
      <c r="B696" t="inlineStr">
        <is>
          <t>319311117011</t>
        </is>
      </c>
      <c r="D696" t="inlineStr">
        <is>
          <t>IT SECURITY ASSESSMENT</t>
        </is>
      </c>
      <c r="E696" t="inlineStr">
        <is>
          <t>City of Rockville</t>
        </is>
      </c>
      <c r="F696" t="inlineStr">
        <is>
          <t>Maryland</t>
        </is>
      </c>
      <c r="G696" t="inlineStr">
        <is>
          <t>Submitted</t>
        </is>
      </c>
      <c r="H696" t="inlineStr">
        <is>
          <t>No</t>
        </is>
      </c>
      <c r="J696" s="96" t="n">
        <v>46149</v>
      </c>
      <c r="K696" s="96" t="n">
        <v>46149</v>
      </c>
      <c r="M696" t="inlineStr">
        <is>
          <t>Audits and Assessment</t>
        </is>
      </c>
      <c r="O696" t="inlineStr">
        <is>
          <t>Savya Atrey</t>
        </is>
      </c>
      <c r="Y696" s="96" t="n">
        <v>46115</v>
      </c>
      <c r="Z696" t="inlineStr">
        <is>
          <t>https://app.hubspot.com/contacts/243046792/record/0-3/319311117011</t>
        </is>
      </c>
    </row>
    <row r="697">
      <c r="A697" t="n">
        <v>696</v>
      </c>
      <c r="B697" t="inlineStr">
        <is>
          <t>321010534088</t>
        </is>
      </c>
      <c r="D697" t="inlineStr">
        <is>
          <t>IT MANAGED SERVICES PROVIDER</t>
        </is>
      </c>
      <c r="E697" t="inlineStr">
        <is>
          <t>City of Ferndale</t>
        </is>
      </c>
      <c r="F697" t="inlineStr">
        <is>
          <t>Michigan</t>
        </is>
      </c>
      <c r="G697" t="inlineStr">
        <is>
          <t>Submitted</t>
        </is>
      </c>
      <c r="H697" t="inlineStr">
        <is>
          <t>No</t>
        </is>
      </c>
      <c r="J697" s="96" t="n">
        <v>46149</v>
      </c>
      <c r="K697" s="96" t="n">
        <v>46149</v>
      </c>
      <c r="L697" s="65" t="n">
        <v>373572</v>
      </c>
      <c r="M697" t="inlineStr">
        <is>
          <t>Managed Services (MSP)</t>
        </is>
      </c>
      <c r="N697" t="inlineStr">
        <is>
          <t>Email</t>
        </is>
      </c>
      <c r="O697" t="inlineStr">
        <is>
          <t>Savya Atrey</t>
        </is>
      </c>
      <c r="Y697" t="inlineStr">
        <is>
          <t>2026-04-16</t>
        </is>
      </c>
      <c r="Z697" t="inlineStr">
        <is>
          <t>https://app.hubspot.com/contacts/243046792/record/0-3/321010534088</t>
        </is>
      </c>
    </row>
    <row r="698">
      <c r="A698" t="n">
        <v>697</v>
      </c>
      <c r="B698" t="inlineStr">
        <is>
          <t>322911466218</t>
        </is>
      </c>
      <c r="C698" t="inlineStr">
        <is>
          <t>6100015191</t>
        </is>
      </c>
      <c r="D698" t="inlineStr">
        <is>
          <t>Security and Infrastructure Support Work Order Services</t>
        </is>
      </c>
      <c r="E698" t="inlineStr">
        <is>
          <t>Pennsylvania Turnpike Commission</t>
        </is>
      </c>
      <c r="F698" t="inlineStr">
        <is>
          <t>Pennsylvania</t>
        </is>
      </c>
      <c r="G698" t="inlineStr">
        <is>
          <t>Submitted</t>
        </is>
      </c>
      <c r="H698" t="inlineStr">
        <is>
          <t>No</t>
        </is>
      </c>
      <c r="J698" s="96" t="n">
        <v>46149</v>
      </c>
      <c r="K698" s="96" t="n">
        <v>46149</v>
      </c>
      <c r="M698" t="inlineStr">
        <is>
          <t>Staff Augmentation;Consulting</t>
        </is>
      </c>
      <c r="N698" t="inlineStr">
        <is>
          <t>Portal</t>
        </is>
      </c>
      <c r="O698" t="inlineStr">
        <is>
          <t>Jyothsna Nanda kishore</t>
        </is>
      </c>
      <c r="Y698" s="96" t="n">
        <v>46141</v>
      </c>
      <c r="Z698" t="inlineStr">
        <is>
          <t>https://app.hubspot.com/contacts/243046792/record/0-3/322911466218</t>
        </is>
      </c>
    </row>
    <row r="699">
      <c r="A699" t="n">
        <v>698</v>
      </c>
      <c r="B699" t="inlineStr">
        <is>
          <t>324699843267</t>
        </is>
      </c>
      <c r="D699" t="inlineStr">
        <is>
          <t>Microsoft 365 GCC Licensing Quote</t>
        </is>
      </c>
      <c r="E699" t="inlineStr">
        <is>
          <t xml:space="preserve">New Mexico Finance Authority (“NMFA”) </t>
        </is>
      </c>
      <c r="F699" t="inlineStr">
        <is>
          <t>New Mexico</t>
        </is>
      </c>
      <c r="G699" t="inlineStr">
        <is>
          <t>Closed Lost</t>
        </is>
      </c>
      <c r="H699" t="inlineStr">
        <is>
          <t>No</t>
        </is>
      </c>
      <c r="J699" s="96" t="n">
        <v>46153</v>
      </c>
      <c r="K699" s="96" t="n">
        <v>46149</v>
      </c>
      <c r="L699" s="65" t="n">
        <v>57658.61</v>
      </c>
      <c r="M699" t="inlineStr">
        <is>
          <t>Reseller</t>
        </is>
      </c>
      <c r="N699" t="inlineStr">
        <is>
          <t>Email</t>
        </is>
      </c>
      <c r="O699" t="inlineStr">
        <is>
          <t>Ashutosh Chauhan</t>
        </is>
      </c>
      <c r="Y699" t="inlineStr">
        <is>
          <t>2026-05-11</t>
        </is>
      </c>
      <c r="Z699" t="inlineStr">
        <is>
          <t>https://app.hubspot.com/contacts/243046792/record/0-3/324699843267</t>
        </is>
      </c>
    </row>
    <row r="700">
      <c r="A700" t="n">
        <v>699</v>
      </c>
      <c r="B700" t="inlineStr">
        <is>
          <t>321711121139</t>
        </is>
      </c>
      <c r="D700" t="inlineStr">
        <is>
          <t>Information Technology Managed Services: IT Service Desk</t>
        </is>
      </c>
      <c r="E700" t="inlineStr">
        <is>
          <t>Brunswick County</t>
        </is>
      </c>
      <c r="F700" t="inlineStr">
        <is>
          <t>North Carolina</t>
        </is>
      </c>
      <c r="G700" t="inlineStr">
        <is>
          <t>Interview</t>
        </is>
      </c>
      <c r="H700" t="inlineStr">
        <is>
          <t>Yes</t>
        </is>
      </c>
      <c r="I700" t="inlineStr">
        <is>
          <t>Interview Scheduled</t>
        </is>
      </c>
      <c r="J700" s="96" t="n">
        <v>46153</v>
      </c>
      <c r="K700" s="96" t="n">
        <v>46149</v>
      </c>
      <c r="L700" s="65" t="n">
        <v>92560</v>
      </c>
      <c r="M700" t="inlineStr">
        <is>
          <t>Managed Services (MSP)</t>
        </is>
      </c>
      <c r="N700" t="inlineStr">
        <is>
          <t>Offline</t>
        </is>
      </c>
      <c r="O700" t="inlineStr">
        <is>
          <t>Jyothsna Nanda kishore</t>
        </is>
      </c>
      <c r="P700" t="inlineStr">
        <is>
          <t>Interview Scheduled</t>
        </is>
      </c>
      <c r="Q700" s="96" t="n">
        <v>46183</v>
      </c>
      <c r="Y700" s="96" t="n">
        <v>46134</v>
      </c>
      <c r="Z700" t="inlineStr">
        <is>
          <t>https://app.hubspot.com/contacts/243046792/record/0-3/321711121139</t>
        </is>
      </c>
    </row>
    <row r="701">
      <c r="A701" t="n">
        <v>700</v>
      </c>
      <c r="B701" t="inlineStr">
        <is>
          <t>320489731795</t>
        </is>
      </c>
      <c r="C701" t="inlineStr">
        <is>
          <t>CR#: 2133336</t>
        </is>
      </c>
      <c r="D701" t="inlineStr">
        <is>
          <t>Technical Consultant</t>
        </is>
      </c>
      <c r="E701" t="inlineStr">
        <is>
          <t>NYS Division of Criminal Justice Services</t>
        </is>
      </c>
      <c r="F701" t="inlineStr">
        <is>
          <t>New York</t>
        </is>
      </c>
      <c r="G701" t="inlineStr">
        <is>
          <t>RFx Cancelled</t>
        </is>
      </c>
      <c r="H701" t="inlineStr">
        <is>
          <t>No</t>
        </is>
      </c>
      <c r="J701" s="96" t="n">
        <v>46150</v>
      </c>
      <c r="K701" s="96" t="n">
        <v>46150</v>
      </c>
      <c r="L701" s="65" t="n">
        <v>49500</v>
      </c>
      <c r="M701" t="inlineStr">
        <is>
          <t>Consulting;Staff Augmentation</t>
        </is>
      </c>
      <c r="N701" t="inlineStr">
        <is>
          <t>Email</t>
        </is>
      </c>
      <c r="O701" t="inlineStr">
        <is>
          <t>Ashutosh Chauhan</t>
        </is>
      </c>
      <c r="Y701" s="96" t="n">
        <v>46122</v>
      </c>
      <c r="Z701" t="inlineStr">
        <is>
          <t>https://app.hubspot.com/contacts/243046792/record/0-3/320489731795</t>
        </is>
      </c>
    </row>
    <row r="702">
      <c r="A702" t="n">
        <v>701</v>
      </c>
      <c r="B702" t="inlineStr">
        <is>
          <t>319309140723</t>
        </is>
      </c>
      <c r="C702" t="inlineStr">
        <is>
          <t>RFP 019-0-2026/HM</t>
        </is>
      </c>
      <c r="D702" t="inlineStr">
        <is>
          <t>Cybersecurity Penetration &amp; Vulnerability Testing Services</t>
        </is>
      </c>
      <c r="E702" t="inlineStr">
        <is>
          <t>Newport News Public Schools [VA]</t>
        </is>
      </c>
      <c r="F702" t="inlineStr">
        <is>
          <t>Virginia</t>
        </is>
      </c>
      <c r="G702" t="inlineStr">
        <is>
          <t>RFx Cancelled</t>
        </is>
      </c>
      <c r="H702" t="inlineStr">
        <is>
          <t>No</t>
        </is>
      </c>
      <c r="J702" s="96" t="n">
        <v>46150</v>
      </c>
      <c r="K702" s="96" t="n">
        <v>46150</v>
      </c>
      <c r="L702" s="65" t="n">
        <v>66096</v>
      </c>
      <c r="M702" t="inlineStr">
        <is>
          <t>Audits and Assessment</t>
        </is>
      </c>
      <c r="N702" t="inlineStr">
        <is>
          <t>Portal</t>
        </is>
      </c>
      <c r="O702" t="inlineStr">
        <is>
          <t>Ashutosh Chauhan</t>
        </is>
      </c>
      <c r="Y702" t="inlineStr">
        <is>
          <t>2026-04-03</t>
        </is>
      </c>
      <c r="Z702" t="inlineStr">
        <is>
          <t>https://app.hubspot.com/contacts/243046792/record/0-3/319309140723</t>
        </is>
      </c>
    </row>
    <row r="703">
      <c r="A703" t="n">
        <v>702</v>
      </c>
      <c r="B703" t="inlineStr">
        <is>
          <t>320834007772</t>
        </is>
      </c>
      <c r="D703" t="inlineStr">
        <is>
          <t>OFF - IT Managed Services</t>
        </is>
      </c>
      <c r="E703" t="inlineStr">
        <is>
          <t>Assabet Valley Collaborative</t>
        </is>
      </c>
      <c r="F703" t="inlineStr">
        <is>
          <t>Massachusetts</t>
        </is>
      </c>
      <c r="G703" t="inlineStr">
        <is>
          <t>Closed Lost</t>
        </is>
      </c>
      <c r="H703" t="inlineStr">
        <is>
          <t>No</t>
        </is>
      </c>
      <c r="J703" s="96" t="n">
        <v>46190</v>
      </c>
      <c r="K703" s="96" t="n">
        <v>46150</v>
      </c>
      <c r="L703" s="65" t="n">
        <v>565800</v>
      </c>
      <c r="M703" t="inlineStr">
        <is>
          <t>Managed Services (MSP)</t>
        </is>
      </c>
      <c r="N703" t="inlineStr">
        <is>
          <t>Offline</t>
        </is>
      </c>
      <c r="O703" t="inlineStr">
        <is>
          <t>Ashutosh Chauhan</t>
        </is>
      </c>
      <c r="Y703" t="inlineStr">
        <is>
          <t>2026-04-15</t>
        </is>
      </c>
      <c r="Z703" t="inlineStr">
        <is>
          <t>https://app.hubspot.com/contacts/243046792/record/0-3/320834007772</t>
        </is>
      </c>
    </row>
    <row r="704">
      <c r="A704" t="n">
        <v>703</v>
      </c>
      <c r="B704" t="inlineStr">
        <is>
          <t>322356230853</t>
        </is>
      </c>
      <c r="D704" t="inlineStr">
        <is>
          <t>AI Professional Development for Administration,Staff, and Training for Students</t>
        </is>
      </c>
      <c r="E704" t="inlineStr">
        <is>
          <t>GROSSMONT UNION HIGH SCHOOL DISTRICT</t>
        </is>
      </c>
      <c r="F704" t="inlineStr">
        <is>
          <t>California</t>
        </is>
      </c>
      <c r="G704" t="inlineStr">
        <is>
          <t>Closed Lost</t>
        </is>
      </c>
      <c r="H704" t="inlineStr">
        <is>
          <t>Yes</t>
        </is>
      </c>
      <c r="I704" t="inlineStr">
        <is>
          <t>Interview</t>
        </is>
      </c>
      <c r="J704" s="96" t="n">
        <v>46178</v>
      </c>
      <c r="K704" s="96" t="n">
        <v>46150</v>
      </c>
      <c r="L704" s="65" t="n">
        <v>225400</v>
      </c>
      <c r="M704" t="inlineStr">
        <is>
          <t>Training</t>
        </is>
      </c>
      <c r="N704" t="inlineStr">
        <is>
          <t>Offline</t>
        </is>
      </c>
      <c r="O704" t="inlineStr">
        <is>
          <t>Jyothsna Nanda kishore</t>
        </is>
      </c>
      <c r="P704" t="inlineStr">
        <is>
          <t>Interview Scheduled</t>
        </is>
      </c>
      <c r="Q704" t="inlineStr">
        <is>
          <t>2026-05-18</t>
        </is>
      </c>
      <c r="Y704" t="inlineStr">
        <is>
          <t>2026-04-24</t>
        </is>
      </c>
      <c r="Z704" t="inlineStr">
        <is>
          <t>https://app.hubspot.com/contacts/243046792/record/0-3/322356230853</t>
        </is>
      </c>
    </row>
    <row r="705">
      <c r="A705" t="n">
        <v>704</v>
      </c>
      <c r="B705" t="inlineStr">
        <is>
          <t>317911783129</t>
        </is>
      </c>
      <c r="C705" t="inlineStr">
        <is>
          <t>PBCHA-RFP-2026-08</t>
        </is>
      </c>
      <c r="D705" t="inlineStr">
        <is>
          <t>Palm Beach County Housing Authority - Information Technology (IT) Managed Services</t>
        </is>
      </c>
      <c r="E705" t="inlineStr">
        <is>
          <t>Palm Beach County Housing Authority</t>
        </is>
      </c>
      <c r="F705" t="inlineStr">
        <is>
          <t>Florida</t>
        </is>
      </c>
      <c r="G705" t="inlineStr">
        <is>
          <t>Closed Won</t>
        </is>
      </c>
      <c r="H705" t="inlineStr">
        <is>
          <t>Yes</t>
        </is>
      </c>
      <c r="I705" t="inlineStr">
        <is>
          <t>Interview Scheduled</t>
        </is>
      </c>
      <c r="J705" s="96" t="n">
        <v>46244</v>
      </c>
      <c r="K705" s="96" t="n">
        <v>46153</v>
      </c>
      <c r="L705" s="65" t="n">
        <v>493500</v>
      </c>
      <c r="M705" t="inlineStr">
        <is>
          <t>Managed Services (MSP)</t>
        </is>
      </c>
      <c r="N705" t="inlineStr">
        <is>
          <t>Offline</t>
        </is>
      </c>
      <c r="O705" t="inlineStr">
        <is>
          <t>Ashutosh Chauhan</t>
        </is>
      </c>
      <c r="P705" t="inlineStr">
        <is>
          <t>Interview Scheduled</t>
        </is>
      </c>
      <c r="Q705" s="96" t="n">
        <v>46190</v>
      </c>
      <c r="S705" s="96" t="n">
        <v>46213</v>
      </c>
      <c r="U705" s="96" t="n">
        <v>46240</v>
      </c>
      <c r="Y705" s="96" t="n">
        <v>46107</v>
      </c>
      <c r="Z705" t="inlineStr">
        <is>
          <t>https://app.hubspot.com/contacts/243046792/record/0-3/317911783129</t>
        </is>
      </c>
    </row>
    <row r="706">
      <c r="A706" t="n">
        <v>705</v>
      </c>
      <c r="B706" t="inlineStr">
        <is>
          <t>320623193832</t>
        </is>
      </c>
      <c r="C706" t="inlineStr">
        <is>
          <t>213924802</t>
        </is>
      </c>
      <c r="D706" t="inlineStr">
        <is>
          <t>Clemson LIFE Program Management System</t>
        </is>
      </c>
      <c r="E706" t="inlineStr">
        <is>
          <t>Clemson University</t>
        </is>
      </c>
      <c r="F706" t="inlineStr">
        <is>
          <t>South Carolina</t>
        </is>
      </c>
      <c r="G706" t="inlineStr">
        <is>
          <t>Closed Lost</t>
        </is>
      </c>
      <c r="H706" t="inlineStr">
        <is>
          <t>No</t>
        </is>
      </c>
      <c r="J706" s="96" t="n">
        <v>46237</v>
      </c>
      <c r="K706" s="96" t="n">
        <v>46154</v>
      </c>
      <c r="L706" s="65" t="n">
        <v>572000</v>
      </c>
      <c r="N706" t="inlineStr">
        <is>
          <t>Portal</t>
        </is>
      </c>
      <c r="O706" t="inlineStr">
        <is>
          <t>Ashutosh Chauhan</t>
        </is>
      </c>
      <c r="Y706" s="96" t="n">
        <v>46127</v>
      </c>
      <c r="Z706" t="inlineStr">
        <is>
          <t>https://app.hubspot.com/contacts/243046792/record/0-3/320623193832</t>
        </is>
      </c>
    </row>
    <row r="707">
      <c r="A707" t="n">
        <v>706</v>
      </c>
      <c r="B707" t="inlineStr">
        <is>
          <t>317946186441</t>
        </is>
      </c>
      <c r="C707" t="inlineStr">
        <is>
          <t>6483</t>
        </is>
      </c>
      <c r="D707" t="inlineStr">
        <is>
          <t>Network Penetration Testing Services</t>
        </is>
      </c>
      <c r="E707" t="inlineStr">
        <is>
          <t>Kent County</t>
        </is>
      </c>
      <c r="F707" t="inlineStr">
        <is>
          <t>Michigan</t>
        </is>
      </c>
      <c r="G707" t="inlineStr">
        <is>
          <t>Closed Lost</t>
        </is>
      </c>
      <c r="H707" t="inlineStr">
        <is>
          <t>Yes</t>
        </is>
      </c>
      <c r="I707" t="inlineStr">
        <is>
          <t>Interview Scheduled</t>
        </is>
      </c>
      <c r="J707" s="96" t="n">
        <v>46246</v>
      </c>
      <c r="K707" s="96" t="n">
        <v>46154</v>
      </c>
      <c r="L707" s="65" t="n">
        <v>29390</v>
      </c>
      <c r="M707" t="inlineStr">
        <is>
          <t>Consulting</t>
        </is>
      </c>
      <c r="N707" t="inlineStr">
        <is>
          <t>Portal</t>
        </is>
      </c>
      <c r="O707" t="inlineStr">
        <is>
          <t>Savya Atrey</t>
        </is>
      </c>
      <c r="Q707" s="96" t="n">
        <v>46202</v>
      </c>
      <c r="Y707" s="96" t="n">
        <v>46107</v>
      </c>
      <c r="Z707" t="inlineStr">
        <is>
          <t>https://app.hubspot.com/contacts/243046792/record/0-3/317946186441</t>
        </is>
      </c>
    </row>
    <row r="708">
      <c r="A708" t="n">
        <v>707</v>
      </c>
      <c r="B708" t="inlineStr">
        <is>
          <t>321691658976</t>
        </is>
      </c>
      <c r="D708" t="inlineStr">
        <is>
          <t>OFF - Managed Service Provider (MSP) – IT &amp; Microsoft Cloud Services</t>
        </is>
      </c>
      <c r="E708" t="inlineStr">
        <is>
          <t>Phelps County Sheriff’s Department (PCSD)</t>
        </is>
      </c>
      <c r="F708" t="inlineStr">
        <is>
          <t>Missouri</t>
        </is>
      </c>
      <c r="G708" t="inlineStr">
        <is>
          <t>Submitted</t>
        </is>
      </c>
      <c r="H708" t="inlineStr">
        <is>
          <t>No</t>
        </is>
      </c>
      <c r="J708" s="96" t="n">
        <v>46155</v>
      </c>
      <c r="K708" s="96" t="n">
        <v>46155</v>
      </c>
      <c r="L708" s="65" t="n">
        <v>173400</v>
      </c>
      <c r="M708" t="inlineStr">
        <is>
          <t>Managed Services (MSP)</t>
        </is>
      </c>
      <c r="N708" t="inlineStr">
        <is>
          <t>Offline;Email</t>
        </is>
      </c>
      <c r="O708" t="inlineStr">
        <is>
          <t>Ashutosh Chauhan</t>
        </is>
      </c>
      <c r="Y708" t="inlineStr">
        <is>
          <t>2026-04-22</t>
        </is>
      </c>
      <c r="Z708" t="inlineStr">
        <is>
          <t>https://app.hubspot.com/contacts/243046792/record/0-3/321691658976</t>
        </is>
      </c>
    </row>
    <row r="709">
      <c r="A709" t="n">
        <v>708</v>
      </c>
      <c r="B709" t="inlineStr">
        <is>
          <t>320137093859</t>
        </is>
      </c>
      <c r="D709" t="inlineStr">
        <is>
          <t>OFFLINE Annual Contract For Managed It Services For Youth Lab</t>
        </is>
      </c>
      <c r="E709" t="inlineStr">
        <is>
          <t>City of Visalia</t>
        </is>
      </c>
      <c r="F709" t="inlineStr">
        <is>
          <t>California</t>
        </is>
      </c>
      <c r="G709" t="inlineStr">
        <is>
          <t>Submitted</t>
        </is>
      </c>
      <c r="H709" t="inlineStr">
        <is>
          <t>No</t>
        </is>
      </c>
      <c r="J709" s="96" t="n">
        <v>46156</v>
      </c>
      <c r="K709" s="96" t="n">
        <v>46155</v>
      </c>
      <c r="M709" t="inlineStr">
        <is>
          <t>Managed Services (MSP)</t>
        </is>
      </c>
      <c r="O709" t="inlineStr">
        <is>
          <t>Savya Atrey</t>
        </is>
      </c>
      <c r="Y709" t="inlineStr">
        <is>
          <t>2026-04-09</t>
        </is>
      </c>
      <c r="Z709" t="inlineStr">
        <is>
          <t>https://app.hubspot.com/contacts/243046792/record/0-3/320137093859</t>
        </is>
      </c>
    </row>
    <row r="710">
      <c r="A710" t="n">
        <v>709</v>
      </c>
      <c r="B710" t="inlineStr">
        <is>
          <t>321010642622</t>
        </is>
      </c>
      <c r="D710" t="inlineStr">
        <is>
          <t>IT Services</t>
        </is>
      </c>
      <c r="E710" t="inlineStr">
        <is>
          <t>I-195 Redevelopment District</t>
        </is>
      </c>
      <c r="F710" t="inlineStr">
        <is>
          <t>Rhode Island</t>
        </is>
      </c>
      <c r="G710" t="inlineStr">
        <is>
          <t>Closed Lost</t>
        </is>
      </c>
      <c r="H710" t="inlineStr">
        <is>
          <t>No</t>
        </is>
      </c>
      <c r="J710" s="96" t="n">
        <v>46294</v>
      </c>
      <c r="K710" s="96" t="n">
        <v>46155</v>
      </c>
      <c r="L710" s="65" t="n">
        <v>78900</v>
      </c>
      <c r="M710" t="inlineStr">
        <is>
          <t>Managed Services (MSP)</t>
        </is>
      </c>
      <c r="N710" t="inlineStr">
        <is>
          <t>Offline</t>
        </is>
      </c>
      <c r="O710" t="inlineStr">
        <is>
          <t>Jyothsna Nanda kishore</t>
        </is>
      </c>
      <c r="Y710" t="inlineStr">
        <is>
          <t>2026-04-17</t>
        </is>
      </c>
      <c r="Z710" t="inlineStr">
        <is>
          <t>https://app.hubspot.com/contacts/243046792/record/0-3/321010642622</t>
        </is>
      </c>
    </row>
    <row r="711">
      <c r="A711" t="n">
        <v>710</v>
      </c>
      <c r="B711" t="inlineStr">
        <is>
          <t>321905741541</t>
        </is>
      </c>
      <c r="D711" t="inlineStr">
        <is>
          <t>AI Powered Government Research Assistant</t>
        </is>
      </c>
      <c r="E711" t="inlineStr">
        <is>
          <t>Town of Coventry</t>
        </is>
      </c>
      <c r="F711" t="inlineStr">
        <is>
          <t>Connecticut</t>
        </is>
      </c>
      <c r="G711" t="inlineStr">
        <is>
          <t>Closed Lost</t>
        </is>
      </c>
      <c r="H711" t="inlineStr">
        <is>
          <t>No</t>
        </is>
      </c>
      <c r="J711" s="96" t="n">
        <v>46293</v>
      </c>
      <c r="K711" s="96" t="n">
        <v>46155</v>
      </c>
      <c r="L711" s="65" t="n">
        <v>114870</v>
      </c>
      <c r="M711" t="inlineStr">
        <is>
          <t>Platform Implementation (ERP, CRMs)</t>
        </is>
      </c>
      <c r="N711" t="inlineStr">
        <is>
          <t>Offline</t>
        </is>
      </c>
      <c r="O711" t="inlineStr">
        <is>
          <t>Jyothsna Nanda kishore</t>
        </is>
      </c>
      <c r="Y711" s="96" t="n">
        <v>46135</v>
      </c>
      <c r="Z711" t="inlineStr">
        <is>
          <t>https://app.hubspot.com/contacts/243046792/record/0-3/321905741541</t>
        </is>
      </c>
    </row>
    <row r="712">
      <c r="A712" t="n">
        <v>711</v>
      </c>
      <c r="B712" t="inlineStr">
        <is>
          <t>321688803051</t>
        </is>
      </c>
      <c r="C712" t="inlineStr">
        <is>
          <t>RFP 2026-02</t>
        </is>
      </c>
      <c r="D712" t="inlineStr">
        <is>
          <t>OFF - IT Services (ReBid)</t>
        </is>
      </c>
      <c r="E712" t="inlineStr">
        <is>
          <t>Springfield Housing Authority</t>
        </is>
      </c>
      <c r="F712" t="inlineStr">
        <is>
          <t>Illinois</t>
        </is>
      </c>
      <c r="G712" t="inlineStr">
        <is>
          <t>Closed Lost</t>
        </is>
      </c>
      <c r="H712" t="inlineStr">
        <is>
          <t>No</t>
        </is>
      </c>
      <c r="J712" s="96" t="n">
        <v>46202</v>
      </c>
      <c r="K712" s="96" t="n">
        <v>46156</v>
      </c>
      <c r="M712" t="inlineStr">
        <is>
          <t>Managed Services (MSP)</t>
        </is>
      </c>
      <c r="N712" t="inlineStr">
        <is>
          <t>Offline</t>
        </is>
      </c>
      <c r="O712" t="inlineStr">
        <is>
          <t>Ashutosh Chauhan</t>
        </is>
      </c>
      <c r="Y712" t="inlineStr">
        <is>
          <t>2026-04-22</t>
        </is>
      </c>
      <c r="Z712" t="inlineStr">
        <is>
          <t>https://app.hubspot.com/contacts/243046792/record/0-3/321688803051</t>
        </is>
      </c>
    </row>
    <row r="713">
      <c r="A713" t="n">
        <v>712</v>
      </c>
      <c r="B713" t="inlineStr">
        <is>
          <t>322924493553</t>
        </is>
      </c>
      <c r="D713" t="inlineStr">
        <is>
          <t>WORKDAY APPLICATION MANAGEMENT SERVICES (AMS) SUPPORT</t>
        </is>
      </c>
      <c r="E713" t="inlineStr">
        <is>
          <t>Orange County Transportation Authority</t>
        </is>
      </c>
      <c r="F713" t="inlineStr">
        <is>
          <t>California</t>
        </is>
      </c>
      <c r="G713" t="inlineStr">
        <is>
          <t>Closed Lost</t>
        </is>
      </c>
      <c r="H713" t="inlineStr">
        <is>
          <t>No</t>
        </is>
      </c>
      <c r="J713" s="96" t="n">
        <v>46195</v>
      </c>
      <c r="K713" s="96" t="n">
        <v>46156</v>
      </c>
      <c r="N713" t="inlineStr">
        <is>
          <t>Portal</t>
        </is>
      </c>
      <c r="O713" t="inlineStr">
        <is>
          <t>Jyothsna Nanda kishore</t>
        </is>
      </c>
      <c r="Y713" t="inlineStr">
        <is>
          <t>2026-04-29</t>
        </is>
      </c>
      <c r="Z713" t="inlineStr">
        <is>
          <t>https://app.hubspot.com/contacts/243046792/record/0-3/322924493553</t>
        </is>
      </c>
    </row>
    <row r="714">
      <c r="A714" t="n">
        <v>713</v>
      </c>
      <c r="B714" t="inlineStr">
        <is>
          <t>324282026710</t>
        </is>
      </c>
      <c r="D714" t="inlineStr">
        <is>
          <t>IBM SOFTWARE SUBSCRIPTION AND SUPPORT RENEWAL</t>
        </is>
      </c>
      <c r="E714" t="inlineStr">
        <is>
          <t>City of Glendale</t>
        </is>
      </c>
      <c r="F714" t="inlineStr">
        <is>
          <t>California</t>
        </is>
      </c>
      <c r="G714" t="inlineStr">
        <is>
          <t>Submitted</t>
        </is>
      </c>
      <c r="H714" t="inlineStr">
        <is>
          <t>No</t>
        </is>
      </c>
      <c r="J714" s="96" t="n">
        <v>46157</v>
      </c>
      <c r="K714" s="96" t="n">
        <v>46156</v>
      </c>
      <c r="L714" s="65" t="n">
        <v>94846.5</v>
      </c>
      <c r="M714" t="inlineStr">
        <is>
          <t>Reseller</t>
        </is>
      </c>
      <c r="N714" t="inlineStr">
        <is>
          <t>Portal</t>
        </is>
      </c>
      <c r="O714" t="inlineStr">
        <is>
          <t>Jyothsna Nanda kishore</t>
        </is>
      </c>
      <c r="Y714" t="inlineStr">
        <is>
          <t>2026-05-08</t>
        </is>
      </c>
      <c r="Z714" t="inlineStr">
        <is>
          <t>https://app.hubspot.com/contacts/243046792/record/0-3/324282026710</t>
        </is>
      </c>
    </row>
    <row r="715">
      <c r="A715" t="n">
        <v>714</v>
      </c>
      <c r="B715" t="inlineStr">
        <is>
          <t>321765372642</t>
        </is>
      </c>
      <c r="D715" t="inlineStr">
        <is>
          <t>Unified Endpoint Management (UEM) Managed Services Program</t>
        </is>
      </c>
      <c r="E715" t="inlineStr">
        <is>
          <t>Southeastern Pennsylvania Transportation Authority</t>
        </is>
      </c>
      <c r="F715" t="inlineStr">
        <is>
          <t>Pennsylvania</t>
        </is>
      </c>
      <c r="G715" t="inlineStr">
        <is>
          <t>Submitted</t>
        </is>
      </c>
      <c r="H715" t="inlineStr">
        <is>
          <t>No</t>
        </is>
      </c>
      <c r="J715" s="96" t="n">
        <v>46157</v>
      </c>
      <c r="K715" s="96" t="n">
        <v>46157</v>
      </c>
      <c r="M715" t="inlineStr">
        <is>
          <t>Managed Services (MSP)</t>
        </is>
      </c>
      <c r="N715" t="inlineStr">
        <is>
          <t>Email</t>
        </is>
      </c>
      <c r="O715" t="inlineStr">
        <is>
          <t>Ashutosh Chauhan</t>
        </is>
      </c>
      <c r="Y715" t="inlineStr">
        <is>
          <t>2026-04-22</t>
        </is>
      </c>
      <c r="Z715" t="inlineStr">
        <is>
          <t>https://app.hubspot.com/contacts/243046792/record/0-3/321765372642</t>
        </is>
      </c>
    </row>
    <row r="716">
      <c r="A716" t="n">
        <v>715</v>
      </c>
      <c r="B716" t="inlineStr">
        <is>
          <t>321690935004</t>
        </is>
      </c>
      <c r="D716" t="inlineStr">
        <is>
          <t>CoManaged Managed Service Provider (MSP) Services</t>
        </is>
      </c>
      <c r="E716" t="inlineStr">
        <is>
          <t>Foothills Regional Housing</t>
        </is>
      </c>
      <c r="F716" t="inlineStr">
        <is>
          <t>Colorado</t>
        </is>
      </c>
      <c r="G716" t="inlineStr">
        <is>
          <t>Submitted</t>
        </is>
      </c>
      <c r="H716" t="inlineStr">
        <is>
          <t>No</t>
        </is>
      </c>
      <c r="J716" s="96" t="n">
        <v>46157</v>
      </c>
      <c r="K716" s="96" t="n">
        <v>46157</v>
      </c>
      <c r="M716" t="inlineStr">
        <is>
          <t>Managed Services (MSP)</t>
        </is>
      </c>
      <c r="O716" t="inlineStr">
        <is>
          <t>Savya Atrey</t>
        </is>
      </c>
      <c r="Y716" s="96" t="n">
        <v>46134</v>
      </c>
      <c r="Z716" t="inlineStr">
        <is>
          <t>https://app.hubspot.com/contacts/243046792/record/0-3/321690935004</t>
        </is>
      </c>
    </row>
    <row r="717">
      <c r="A717" t="n">
        <v>716</v>
      </c>
      <c r="B717" t="inlineStr">
        <is>
          <t>321688802039</t>
        </is>
      </c>
      <c r="C717" t="inlineStr">
        <is>
          <t>RFP No. 25-R08</t>
        </is>
      </c>
      <c r="D717" t="inlineStr">
        <is>
          <t>Professional Information Technology Services</t>
        </is>
      </c>
      <c r="E717" t="inlineStr">
        <is>
          <t>Stanislaus Council of Governments</t>
        </is>
      </c>
      <c r="F717" t="inlineStr">
        <is>
          <t>California</t>
        </is>
      </c>
      <c r="G717" t="inlineStr">
        <is>
          <t>Submitted</t>
        </is>
      </c>
      <c r="H717" t="inlineStr">
        <is>
          <t>No</t>
        </is>
      </c>
      <c r="J717" s="96" t="n">
        <v>46157</v>
      </c>
      <c r="K717" s="96" t="n">
        <v>46157</v>
      </c>
      <c r="L717" s="65" t="n">
        <v>522000</v>
      </c>
      <c r="M717" t="inlineStr">
        <is>
          <t>Managed Services (MSP)</t>
        </is>
      </c>
      <c r="N717" t="inlineStr">
        <is>
          <t>Portal</t>
        </is>
      </c>
      <c r="O717" t="inlineStr">
        <is>
          <t>Ashutosh Chauhan</t>
        </is>
      </c>
      <c r="Y717" s="96" t="n">
        <v>46134</v>
      </c>
      <c r="Z717" t="inlineStr">
        <is>
          <t>https://app.hubspot.com/contacts/243046792/record/0-3/321688802039</t>
        </is>
      </c>
    </row>
    <row r="718">
      <c r="A718" t="n">
        <v>717</v>
      </c>
      <c r="B718" t="inlineStr">
        <is>
          <t>322924491505</t>
        </is>
      </c>
      <c r="C718" t="inlineStr">
        <is>
          <t>#01526NAHAC</t>
        </is>
      </c>
      <c r="D718" t="inlineStr">
        <is>
          <t>IT SUPPORT SERVICES</t>
        </is>
      </c>
      <c r="E718" t="inlineStr">
        <is>
          <t>Nevada Affordable Housing Assistance Corporation</t>
        </is>
      </c>
      <c r="F718" t="inlineStr">
        <is>
          <t>Nevada</t>
        </is>
      </c>
      <c r="G718" t="inlineStr">
        <is>
          <t>Closed Lost</t>
        </is>
      </c>
      <c r="H718" t="inlineStr">
        <is>
          <t>No</t>
        </is>
      </c>
      <c r="J718" s="96" t="n">
        <v>46204</v>
      </c>
      <c r="K718" s="96" t="n">
        <v>46157</v>
      </c>
      <c r="M718" t="inlineStr">
        <is>
          <t>Managed Services (MSP)</t>
        </is>
      </c>
      <c r="N718" t="inlineStr">
        <is>
          <t>Email</t>
        </is>
      </c>
      <c r="O718" t="inlineStr">
        <is>
          <t>Ashutosh Chauhan</t>
        </is>
      </c>
      <c r="Y718" t="inlineStr">
        <is>
          <t>2026-04-29</t>
        </is>
      </c>
      <c r="Z718" t="inlineStr">
        <is>
          <t>https://app.hubspot.com/contacts/243046792/record/0-3/322924491505</t>
        </is>
      </c>
    </row>
    <row r="719">
      <c r="A719" t="n">
        <v>718</v>
      </c>
      <c r="B719" t="inlineStr">
        <is>
          <t>322910744291</t>
        </is>
      </c>
      <c r="D719" t="inlineStr">
        <is>
          <t>Managed IT Services, Cybersecurity, Infrastructure Development, and Centralized CRM Support</t>
        </is>
      </c>
      <c r="E719" t="inlineStr">
        <is>
          <t>Bebashi – Transition to Hope</t>
        </is>
      </c>
      <c r="F719" t="inlineStr">
        <is>
          <t>Pennsylvania</t>
        </is>
      </c>
      <c r="G719" t="inlineStr">
        <is>
          <t>Submitted</t>
        </is>
      </c>
      <c r="H719" t="inlineStr">
        <is>
          <t>No</t>
        </is>
      </c>
      <c r="J719" s="96" t="n">
        <v>46157</v>
      </c>
      <c r="K719" s="96" t="n">
        <v>46157</v>
      </c>
      <c r="M719" t="inlineStr">
        <is>
          <t>Managed Services (MSP)</t>
        </is>
      </c>
      <c r="N719" t="inlineStr">
        <is>
          <t>Email</t>
        </is>
      </c>
      <c r="O719" t="inlineStr">
        <is>
          <t>Savya Atrey</t>
        </is>
      </c>
      <c r="Y719" t="inlineStr">
        <is>
          <t>2026-04-29</t>
        </is>
      </c>
      <c r="Z719" t="inlineStr">
        <is>
          <t>https://app.hubspot.com/contacts/243046792/record/0-3/322910744291</t>
        </is>
      </c>
    </row>
    <row r="720">
      <c r="A720" t="n">
        <v>719</v>
      </c>
      <c r="B720" t="inlineStr">
        <is>
          <t>323240487670</t>
        </is>
      </c>
      <c r="C720" t="inlineStr">
        <is>
          <t>DASI0526</t>
        </is>
      </c>
      <c r="D720" t="inlineStr">
        <is>
          <t>District-Wide Automation, Systems Integration, and Innovation Consulting Services</t>
        </is>
      </c>
      <c r="E720" t="inlineStr">
        <is>
          <t>Harlingen Consolidated Independent School District</t>
        </is>
      </c>
      <c r="F720" t="inlineStr">
        <is>
          <t>Texas</t>
        </is>
      </c>
      <c r="G720" t="inlineStr">
        <is>
          <t>Submitted</t>
        </is>
      </c>
      <c r="H720" t="inlineStr">
        <is>
          <t>No</t>
        </is>
      </c>
      <c r="J720" s="96" t="n">
        <v>46157</v>
      </c>
      <c r="K720" s="96" t="n">
        <v>46157</v>
      </c>
      <c r="M720" t="inlineStr">
        <is>
          <t>Consulting</t>
        </is>
      </c>
      <c r="N720" t="inlineStr">
        <is>
          <t>Portal</t>
        </is>
      </c>
      <c r="O720" t="inlineStr">
        <is>
          <t>Savya Atrey</t>
        </is>
      </c>
      <c r="Y720" t="inlineStr">
        <is>
          <t>2026-05-01</t>
        </is>
      </c>
      <c r="Z720" t="inlineStr">
        <is>
          <t>https://app.hubspot.com/contacts/243046792/record/0-3/323240487670</t>
        </is>
      </c>
    </row>
    <row r="721">
      <c r="A721" t="n">
        <v>720</v>
      </c>
      <c r="B721" t="inlineStr">
        <is>
          <t>319866591986</t>
        </is>
      </c>
      <c r="D721" t="inlineStr">
        <is>
          <t>OFF - Information Technology (IT) Project Management Service For Land Management Software Implementation</t>
        </is>
      </c>
      <c r="E721" t="inlineStr">
        <is>
          <t>County of Palm Beach</t>
        </is>
      </c>
      <c r="F721" t="inlineStr">
        <is>
          <t>Florida</t>
        </is>
      </c>
      <c r="G721" t="inlineStr">
        <is>
          <t>Submitted</t>
        </is>
      </c>
      <c r="H721" t="inlineStr">
        <is>
          <t>No</t>
        </is>
      </c>
      <c r="J721" s="96" t="n">
        <v>46157</v>
      </c>
      <c r="K721" s="96" t="n">
        <v>46157</v>
      </c>
      <c r="M721" t="inlineStr">
        <is>
          <t>Consulting;Staff Augmentation</t>
        </is>
      </c>
      <c r="O721" t="inlineStr">
        <is>
          <t>Ashutosh Chauhan</t>
        </is>
      </c>
      <c r="Y721" s="96" t="n">
        <v>46120</v>
      </c>
      <c r="Z721" t="inlineStr">
        <is>
          <t>https://app.hubspot.com/contacts/243046792/record/0-3/319866591986</t>
        </is>
      </c>
    </row>
    <row r="722">
      <c r="A722" t="n">
        <v>721</v>
      </c>
      <c r="B722" t="inlineStr">
        <is>
          <t>323237511900</t>
        </is>
      </c>
      <c r="D722" t="inlineStr">
        <is>
          <t>Workday On-Demand Support Services  &amp; Workday Managed Services - RFI</t>
        </is>
      </c>
      <c r="E722" t="inlineStr">
        <is>
          <t>Bexar County</t>
        </is>
      </c>
      <c r="F722" t="inlineStr">
        <is>
          <t>Texas</t>
        </is>
      </c>
      <c r="G722" t="inlineStr">
        <is>
          <t>Submitted</t>
        </is>
      </c>
      <c r="H722" t="inlineStr">
        <is>
          <t>No</t>
        </is>
      </c>
      <c r="J722" s="96" t="n">
        <v>46160</v>
      </c>
      <c r="K722" s="96" t="n">
        <v>46157</v>
      </c>
      <c r="M722" t="inlineStr">
        <is>
          <t>Consulting</t>
        </is>
      </c>
      <c r="O722" t="inlineStr">
        <is>
          <t>Srikrishnadeva D</t>
        </is>
      </c>
      <c r="Y722" t="inlineStr">
        <is>
          <t>2026-04-30</t>
        </is>
      </c>
      <c r="Z722" t="inlineStr">
        <is>
          <t>https://app.hubspot.com/contacts/243046792/record/0-3/323237511900</t>
        </is>
      </c>
    </row>
    <row r="723">
      <c r="A723" t="n">
        <v>722</v>
      </c>
      <c r="B723" t="inlineStr">
        <is>
          <t>321711122109</t>
        </is>
      </c>
      <c r="D723" t="inlineStr">
        <is>
          <t>Managed Information Technology Services</t>
        </is>
      </c>
      <c r="E723" t="inlineStr">
        <is>
          <t>The Education Cooperative</t>
        </is>
      </c>
      <c r="F723" t="inlineStr">
        <is>
          <t>Massachusetts</t>
        </is>
      </c>
      <c r="G723" t="inlineStr">
        <is>
          <t>Closed Lost</t>
        </is>
      </c>
      <c r="H723" t="inlineStr">
        <is>
          <t>No</t>
        </is>
      </c>
      <c r="J723" s="96" t="n">
        <v>46296</v>
      </c>
      <c r="K723" s="96" t="n">
        <v>46160</v>
      </c>
      <c r="L723" s="65" t="n">
        <v>727300</v>
      </c>
      <c r="M723" t="inlineStr">
        <is>
          <t>Managed Services (MSP)</t>
        </is>
      </c>
      <c r="N723" t="inlineStr">
        <is>
          <t>Email</t>
        </is>
      </c>
      <c r="O723" t="inlineStr">
        <is>
          <t>Jyothsna Nanda kishore</t>
        </is>
      </c>
      <c r="Y723" s="96" t="n">
        <v>46134</v>
      </c>
      <c r="Z723" t="inlineStr">
        <is>
          <t>https://app.hubspot.com/contacts/243046792/record/0-3/321711122109</t>
        </is>
      </c>
    </row>
    <row r="724">
      <c r="A724" t="n">
        <v>723</v>
      </c>
      <c r="B724" t="inlineStr">
        <is>
          <t>321926821572</t>
        </is>
      </c>
      <c r="C724" t="inlineStr">
        <is>
          <t>2026-RFP-00380</t>
        </is>
      </c>
      <c r="D724" t="inlineStr">
        <is>
          <t xml:space="preserve">Sheriff's Office Website Hosting Services and Maintenance Support </t>
        </is>
      </c>
      <c r="E724" t="inlineStr">
        <is>
          <t>County of San Mateo</t>
        </is>
      </c>
      <c r="F724" t="inlineStr">
        <is>
          <t>California</t>
        </is>
      </c>
      <c r="G724" t="inlineStr">
        <is>
          <t>Closed Lost</t>
        </is>
      </c>
      <c r="H724" t="inlineStr">
        <is>
          <t>No</t>
        </is>
      </c>
      <c r="J724" s="96" t="n">
        <v>46218</v>
      </c>
      <c r="K724" s="96" t="n">
        <v>46160</v>
      </c>
      <c r="L724" s="65" t="n">
        <v>210600</v>
      </c>
      <c r="M724" t="inlineStr">
        <is>
          <t>Support &amp; Maintenance</t>
        </is>
      </c>
      <c r="N724" t="inlineStr">
        <is>
          <t>Portal</t>
        </is>
      </c>
      <c r="O724" t="inlineStr">
        <is>
          <t>Ashutosh Chauhan</t>
        </is>
      </c>
      <c r="Y724" s="96" t="n">
        <v>46135</v>
      </c>
      <c r="Z724" t="inlineStr">
        <is>
          <t>https://app.hubspot.com/contacts/243046792/record/0-3/321926821572</t>
        </is>
      </c>
    </row>
    <row r="725">
      <c r="A725" t="n">
        <v>724</v>
      </c>
      <c r="B725" t="inlineStr">
        <is>
          <t>318224753363</t>
        </is>
      </c>
      <c r="C725" t="inlineStr">
        <is>
          <t>K26-0051-25</t>
        </is>
      </c>
      <c r="D725" t="inlineStr">
        <is>
          <t>Drupal Maintenance and Development</t>
        </is>
      </c>
      <c r="E725" t="inlineStr">
        <is>
          <t>The Administrative Office of the Courts (AOC)</t>
        </is>
      </c>
      <c r="F725" t="inlineStr">
        <is>
          <t>Maryland</t>
        </is>
      </c>
      <c r="G725" t="inlineStr">
        <is>
          <t>Submitted</t>
        </is>
      </c>
      <c r="H725" t="inlineStr">
        <is>
          <t>No</t>
        </is>
      </c>
      <c r="J725" s="96" t="n">
        <v>46160</v>
      </c>
      <c r="K725" s="96" t="n">
        <v>46160</v>
      </c>
      <c r="L725" s="65" t="n">
        <v>160000</v>
      </c>
      <c r="M725" t="inlineStr">
        <is>
          <t>Consulting;Support &amp; Maintenance</t>
        </is>
      </c>
      <c r="N725" t="inlineStr">
        <is>
          <t>Portal</t>
        </is>
      </c>
      <c r="O725" t="inlineStr">
        <is>
          <t>Savya Atrey</t>
        </is>
      </c>
      <c r="Y725" t="inlineStr">
        <is>
          <t>2026-03-27</t>
        </is>
      </c>
      <c r="Z725" t="inlineStr">
        <is>
          <t>https://app.hubspot.com/contacts/243046792/record/0-3/318224753363</t>
        </is>
      </c>
    </row>
    <row r="726">
      <c r="A726" t="n">
        <v>725</v>
      </c>
      <c r="B726" t="inlineStr">
        <is>
          <t>323518611139</t>
        </is>
      </c>
      <c r="D726" t="inlineStr">
        <is>
          <t>Request for Proposals Information Technology (IT) Managed Services &amp; Strategic Support</t>
        </is>
      </c>
      <c r="E726" t="inlineStr">
        <is>
          <t xml:space="preserve">City of Flagler Beach </t>
        </is>
      </c>
      <c r="F726" t="inlineStr">
        <is>
          <t>Florida</t>
        </is>
      </c>
      <c r="G726" t="inlineStr">
        <is>
          <t>Submitted</t>
        </is>
      </c>
      <c r="H726" t="inlineStr">
        <is>
          <t>No</t>
        </is>
      </c>
      <c r="J726" s="96" t="n">
        <v>46162</v>
      </c>
      <c r="K726" s="96" t="n">
        <v>46160</v>
      </c>
      <c r="L726" t="n">
        <v>142613</v>
      </c>
      <c r="M726" t="inlineStr">
        <is>
          <t>Managed Services (MSP)</t>
        </is>
      </c>
      <c r="N726" t="inlineStr">
        <is>
          <t>Offline</t>
        </is>
      </c>
      <c r="O726" t="inlineStr">
        <is>
          <t>Jyothsna Nanda kishore</t>
        </is>
      </c>
      <c r="Y726" t="inlineStr">
        <is>
          <t>2026-05-07</t>
        </is>
      </c>
      <c r="Z726" t="inlineStr">
        <is>
          <t>https://app.hubspot.com/contacts/243046792/record/0-3/323518611139</t>
        </is>
      </c>
    </row>
    <row r="727">
      <c r="A727" t="n">
        <v>726</v>
      </c>
      <c r="B727" t="inlineStr">
        <is>
          <t>323230410428</t>
        </is>
      </c>
      <c r="C727" t="inlineStr">
        <is>
          <t>CC/RFP 27-01</t>
        </is>
      </c>
      <c r="D727" t="inlineStr">
        <is>
          <t>INFORMATION TECHNOLOGY SERVICES</t>
        </is>
      </c>
      <c r="E727" t="inlineStr">
        <is>
          <t>Brigantine Board of Education</t>
        </is>
      </c>
      <c r="F727" t="inlineStr">
        <is>
          <t>New Jersey</t>
        </is>
      </c>
      <c r="G727" t="inlineStr">
        <is>
          <t>Closed Lost</t>
        </is>
      </c>
      <c r="H727" t="inlineStr">
        <is>
          <t>No</t>
        </is>
      </c>
      <c r="J727" s="96" t="n">
        <v>46202</v>
      </c>
      <c r="K727" s="96" t="n">
        <v>46160</v>
      </c>
      <c r="L727" t="n">
        <v>28288</v>
      </c>
      <c r="M727" t="inlineStr">
        <is>
          <t>Managed Services (MSP)</t>
        </is>
      </c>
      <c r="O727" t="inlineStr">
        <is>
          <t>Jyothsna Nanda kishore</t>
        </is>
      </c>
      <c r="Y727" s="96" t="n">
        <v>46143</v>
      </c>
      <c r="Z727" t="inlineStr">
        <is>
          <t>https://app.hubspot.com/contacts/243046792/record/0-3/323230410428</t>
        </is>
      </c>
    </row>
    <row r="728">
      <c r="A728" t="n">
        <v>727</v>
      </c>
      <c r="B728" t="inlineStr">
        <is>
          <t>321926819566</t>
        </is>
      </c>
      <c r="D728" t="inlineStr">
        <is>
          <t xml:space="preserve">INFORMATION TECHNOLOGY (IT) MANAGED SERVICES </t>
        </is>
      </c>
      <c r="E728" t="inlineStr">
        <is>
          <t>CITY OF HIDDEN HILLS</t>
        </is>
      </c>
      <c r="F728" t="inlineStr">
        <is>
          <t>California</t>
        </is>
      </c>
      <c r="G728" t="inlineStr">
        <is>
          <t>RFx Cancelled</t>
        </is>
      </c>
      <c r="H728" t="inlineStr">
        <is>
          <t>No</t>
        </is>
      </c>
      <c r="J728" s="96" t="n">
        <v>46178</v>
      </c>
      <c r="K728" s="96" t="n">
        <v>46174</v>
      </c>
      <c r="M728" t="inlineStr">
        <is>
          <t>Managed Services (MSP)</t>
        </is>
      </c>
      <c r="O728" t="inlineStr">
        <is>
          <t>Savya Atrey</t>
        </is>
      </c>
      <c r="Y728" t="inlineStr">
        <is>
          <t>2026-04-23</t>
        </is>
      </c>
      <c r="Z728" t="inlineStr">
        <is>
          <t>https://app.hubspot.com/contacts/243046792/record/0-3/321926819566</t>
        </is>
      </c>
    </row>
    <row r="729">
      <c r="A729" t="n">
        <v>728</v>
      </c>
      <c r="B729" t="inlineStr">
        <is>
          <t>321908570850</t>
        </is>
      </c>
      <c r="D729" t="inlineStr">
        <is>
          <t>Managed IT Services</t>
        </is>
      </c>
      <c r="E729" t="inlineStr">
        <is>
          <t>Town of Butner</t>
        </is>
      </c>
      <c r="F729" t="inlineStr">
        <is>
          <t>North Carolina</t>
        </is>
      </c>
      <c r="G729" t="inlineStr">
        <is>
          <t>Submitted</t>
        </is>
      </c>
      <c r="H729" t="inlineStr">
        <is>
          <t>No</t>
        </is>
      </c>
      <c r="J729" s="96" t="n">
        <v>46161</v>
      </c>
      <c r="K729" s="96" t="n">
        <v>46161</v>
      </c>
      <c r="L729" t="n">
        <v>97988.24000000001</v>
      </c>
      <c r="M729" t="inlineStr">
        <is>
          <t>Managed Services (MSP)</t>
        </is>
      </c>
      <c r="N729" t="inlineStr">
        <is>
          <t>Email</t>
        </is>
      </c>
      <c r="O729" t="inlineStr">
        <is>
          <t>Jyothsna Nanda kishore</t>
        </is>
      </c>
      <c r="Y729" t="inlineStr">
        <is>
          <t>2026-04-23</t>
        </is>
      </c>
      <c r="Z729" t="inlineStr">
        <is>
          <t>https://app.hubspot.com/contacts/243046792/record/0-3/321908570850</t>
        </is>
      </c>
    </row>
    <row r="730">
      <c r="A730" t="n">
        <v>729</v>
      </c>
      <c r="B730" t="inlineStr">
        <is>
          <t>323237509835</t>
        </is>
      </c>
      <c r="C730" t="inlineStr">
        <is>
          <t>2026-07</t>
        </is>
      </c>
      <c r="D730" t="inlineStr">
        <is>
          <t>Information Technology Services and Management (rebid)</t>
        </is>
      </c>
      <c r="E730" t="inlineStr">
        <is>
          <t>Palm Beach Metropolitan Planning Organization</t>
        </is>
      </c>
      <c r="F730" t="inlineStr">
        <is>
          <t>Florida</t>
        </is>
      </c>
      <c r="G730" t="inlineStr">
        <is>
          <t>Closed Lost</t>
        </is>
      </c>
      <c r="H730" t="inlineStr">
        <is>
          <t>No</t>
        </is>
      </c>
      <c r="J730" s="96" t="n">
        <v>46171</v>
      </c>
      <c r="K730" s="96" t="n">
        <v>46161</v>
      </c>
      <c r="M730" t="inlineStr">
        <is>
          <t>Managed Services (MSP);Consulting</t>
        </is>
      </c>
      <c r="O730" t="inlineStr">
        <is>
          <t>Ashutosh Chauhan</t>
        </is>
      </c>
      <c r="Y730" t="inlineStr">
        <is>
          <t>2026-04-30</t>
        </is>
      </c>
      <c r="Z730" t="inlineStr">
        <is>
          <t>https://app.hubspot.com/contacts/243046792/record/0-3/323237509835</t>
        </is>
      </c>
    </row>
    <row r="731">
      <c r="A731" t="n">
        <v>730</v>
      </c>
      <c r="B731" t="inlineStr">
        <is>
          <t>322912186063</t>
        </is>
      </c>
      <c r="D731" t="inlineStr">
        <is>
          <t>Multi-Factor Authentication Solution with Professional Services</t>
        </is>
      </c>
      <c r="E731" t="inlineStr">
        <is>
          <t>City of Battle Creek</t>
        </is>
      </c>
      <c r="F731" t="inlineStr">
        <is>
          <t>Michigan</t>
        </is>
      </c>
      <c r="G731" t="inlineStr">
        <is>
          <t>Closed Lost</t>
        </is>
      </c>
      <c r="H731" t="inlineStr">
        <is>
          <t>No</t>
        </is>
      </c>
      <c r="J731" s="96" t="n">
        <v>46295</v>
      </c>
      <c r="K731" s="96" t="n">
        <v>46161</v>
      </c>
      <c r="L731" t="n">
        <v>42435</v>
      </c>
      <c r="M731" t="inlineStr">
        <is>
          <t>Platform Implementation (ERP, CRMs)</t>
        </is>
      </c>
      <c r="O731" t="inlineStr">
        <is>
          <t>Jyothsna Nanda kishore</t>
        </is>
      </c>
      <c r="Y731" t="inlineStr">
        <is>
          <t>2026-04-29</t>
        </is>
      </c>
      <c r="Z731" t="inlineStr">
        <is>
          <t>https://app.hubspot.com/contacts/243046792/record/0-3/322912186063</t>
        </is>
      </c>
    </row>
    <row r="732">
      <c r="A732" t="n">
        <v>731</v>
      </c>
      <c r="B732" t="inlineStr">
        <is>
          <t>322356230879</t>
        </is>
      </c>
      <c r="D732" t="inlineStr">
        <is>
          <t>POWER BI DEVELOPMENT SERVICES</t>
        </is>
      </c>
      <c r="E732" t="inlineStr">
        <is>
          <t>SUPERIOR COURT OF CALIFORNIA, COUNTY OF PLACER</t>
        </is>
      </c>
      <c r="F732" t="inlineStr">
        <is>
          <t>California</t>
        </is>
      </c>
      <c r="G732" t="inlineStr">
        <is>
          <t>Submitted</t>
        </is>
      </c>
      <c r="H732" t="inlineStr">
        <is>
          <t>No</t>
        </is>
      </c>
      <c r="J732" s="96" t="n">
        <v>46161</v>
      </c>
      <c r="K732" s="96" t="n">
        <v>46161</v>
      </c>
      <c r="L732" s="65" t="n">
        <v>79960</v>
      </c>
      <c r="M732" t="inlineStr">
        <is>
          <t>Modernization / Migration</t>
        </is>
      </c>
      <c r="N732" t="inlineStr">
        <is>
          <t>Portal</t>
        </is>
      </c>
      <c r="O732" t="inlineStr">
        <is>
          <t>Jyothsna Nanda kishore</t>
        </is>
      </c>
      <c r="Y732" s="96" t="n">
        <v>46136</v>
      </c>
      <c r="Z732" t="inlineStr">
        <is>
          <t>https://app.hubspot.com/contacts/243046792/record/0-3/322356230879</t>
        </is>
      </c>
    </row>
    <row r="733">
      <c r="A733" t="n">
        <v>732</v>
      </c>
      <c r="B733" t="inlineStr">
        <is>
          <t>324091329224</t>
        </is>
      </c>
      <c r="D733" t="inlineStr">
        <is>
          <t>OFFLINE - Municipal IT Managed Services</t>
        </is>
      </c>
      <c r="E733" t="inlineStr">
        <is>
          <t>Town of Ipswic</t>
        </is>
      </c>
      <c r="F733" t="inlineStr">
        <is>
          <t>Massachusetts</t>
        </is>
      </c>
      <c r="G733" t="inlineStr">
        <is>
          <t>Submitted</t>
        </is>
      </c>
      <c r="H733" t="inlineStr">
        <is>
          <t>No</t>
        </is>
      </c>
      <c r="J733" s="96" t="n">
        <v>46162</v>
      </c>
      <c r="K733" s="96" t="n">
        <v>46161</v>
      </c>
      <c r="M733" t="inlineStr">
        <is>
          <t>Consulting;Managed Services (MSP)</t>
        </is>
      </c>
      <c r="O733" t="inlineStr">
        <is>
          <t>Savya Atrey</t>
        </is>
      </c>
      <c r="Y733" s="96" t="n">
        <v>46149</v>
      </c>
      <c r="Z733" t="inlineStr">
        <is>
          <t>https://app.hubspot.com/contacts/243046792/record/0-3/324091329224</t>
        </is>
      </c>
    </row>
    <row r="734">
      <c r="A734" t="n">
        <v>733</v>
      </c>
      <c r="B734" t="inlineStr">
        <is>
          <t>325512086219</t>
        </is>
      </c>
      <c r="D734" t="inlineStr">
        <is>
          <t>RFQ : AI Development Tool</t>
        </is>
      </c>
      <c r="E734" t="inlineStr">
        <is>
          <t>Orange County</t>
        </is>
      </c>
      <c r="F734" t="inlineStr">
        <is>
          <t>California</t>
        </is>
      </c>
      <c r="G734" t="inlineStr">
        <is>
          <t>Submitted</t>
        </is>
      </c>
      <c r="H734" t="inlineStr">
        <is>
          <t>No</t>
        </is>
      </c>
      <c r="J734" s="96" t="n">
        <v>46164</v>
      </c>
      <c r="K734" s="96" t="n">
        <v>46161</v>
      </c>
      <c r="L734" s="65" t="n">
        <v>1341.78</v>
      </c>
      <c r="M734" t="inlineStr">
        <is>
          <t>Reseller</t>
        </is>
      </c>
      <c r="N734" t="inlineStr">
        <is>
          <t>Email</t>
        </is>
      </c>
      <c r="O734" t="inlineStr">
        <is>
          <t>Ashutosh Chauhan</t>
        </is>
      </c>
      <c r="Y734" s="96" t="n">
        <v>46160</v>
      </c>
      <c r="Z734" t="inlineStr">
        <is>
          <t>https://app.hubspot.com/contacts/243046792/record/0-3/325512086219</t>
        </is>
      </c>
    </row>
    <row r="735">
      <c r="A735" t="n">
        <v>734</v>
      </c>
      <c r="B735" t="inlineStr">
        <is>
          <t>322355521244</t>
        </is>
      </c>
      <c r="D735" t="inlineStr">
        <is>
          <t>Information Technology Oversight</t>
        </is>
      </c>
      <c r="E735" t="inlineStr">
        <is>
          <t>Early Learning Coalition of Osceola County</t>
        </is>
      </c>
      <c r="F735" t="inlineStr">
        <is>
          <t>Florida</t>
        </is>
      </c>
      <c r="G735" t="inlineStr">
        <is>
          <t>Closed Lost</t>
        </is>
      </c>
      <c r="H735" t="inlineStr">
        <is>
          <t>Yes</t>
        </is>
      </c>
      <c r="I735" t="inlineStr">
        <is>
          <t>Interview</t>
        </is>
      </c>
      <c r="J735" s="96" t="n">
        <v>46189</v>
      </c>
      <c r="K735" s="96" t="n">
        <v>46161</v>
      </c>
      <c r="L735" s="65" t="n">
        <v>38820</v>
      </c>
      <c r="M735" t="inlineStr">
        <is>
          <t>Managed Services (MSP);Consulting</t>
        </is>
      </c>
      <c r="O735" t="inlineStr">
        <is>
          <t>Jyothsna Nanda kishore</t>
        </is>
      </c>
      <c r="P735" t="inlineStr">
        <is>
          <t>Interview Scheduled</t>
        </is>
      </c>
      <c r="Q735" t="inlineStr">
        <is>
          <t>2026-06-03</t>
        </is>
      </c>
      <c r="Y735" t="inlineStr">
        <is>
          <t>2026-04-24</t>
        </is>
      </c>
      <c r="Z735" t="inlineStr">
        <is>
          <t>https://app.hubspot.com/contacts/243046792/record/0-3/322355521244</t>
        </is>
      </c>
    </row>
    <row r="736">
      <c r="A736" t="n">
        <v>735</v>
      </c>
      <c r="B736" t="inlineStr">
        <is>
          <t>325817624291</t>
        </is>
      </c>
      <c r="C736" t="inlineStr">
        <is>
          <t>27-017-TUSD1</t>
        </is>
      </c>
      <c r="D736" t="inlineStr">
        <is>
          <t>TEMPORARY STAFFING SERVICES, AS NEEDED</t>
        </is>
      </c>
      <c r="E736" t="inlineStr">
        <is>
          <t>Tucson Unified School District</t>
        </is>
      </c>
      <c r="F736" t="inlineStr">
        <is>
          <t>Arizona</t>
        </is>
      </c>
      <c r="G736" t="inlineStr">
        <is>
          <t>Closed Lost</t>
        </is>
      </c>
      <c r="H736" t="inlineStr">
        <is>
          <t>No</t>
        </is>
      </c>
      <c r="J736" s="96" t="n">
        <v>46223</v>
      </c>
      <c r="K736" s="96" t="n">
        <v>46162</v>
      </c>
      <c r="O736" t="inlineStr">
        <is>
          <t>Jyothsna Nanda kishore</t>
        </is>
      </c>
      <c r="Y736" s="96" t="n">
        <v>46162</v>
      </c>
      <c r="Z736" t="inlineStr">
        <is>
          <t>https://app.hubspot.com/contacts/243046792/record/0-3/325817624291</t>
        </is>
      </c>
    </row>
    <row r="737">
      <c r="A737" t="n">
        <v>736</v>
      </c>
      <c r="B737" t="inlineStr">
        <is>
          <t>320346351328</t>
        </is>
      </c>
      <c r="D737" t="inlineStr">
        <is>
          <t>Oracle eBiz Maintenance and Support Services</t>
        </is>
      </c>
      <c r="E737" t="inlineStr">
        <is>
          <t>Jacksonville Aviation Authority</t>
        </is>
      </c>
      <c r="F737" t="inlineStr">
        <is>
          <t>Florida</t>
        </is>
      </c>
      <c r="G737" t="inlineStr">
        <is>
          <t>Submitted</t>
        </is>
      </c>
      <c r="H737" t="inlineStr">
        <is>
          <t>No</t>
        </is>
      </c>
      <c r="J737" s="96" t="n">
        <v>46162</v>
      </c>
      <c r="K737" s="96" t="n">
        <v>46162</v>
      </c>
      <c r="M737" t="inlineStr">
        <is>
          <t>Support &amp; Maintenance</t>
        </is>
      </c>
      <c r="O737" t="inlineStr">
        <is>
          <t>Savya Atrey</t>
        </is>
      </c>
      <c r="Y737" t="inlineStr">
        <is>
          <t>2026-04-10</t>
        </is>
      </c>
      <c r="Z737" t="inlineStr">
        <is>
          <t>https://app.hubspot.com/contacts/243046792/record/0-3/320346351328</t>
        </is>
      </c>
    </row>
    <row r="738">
      <c r="A738" t="n">
        <v>737</v>
      </c>
      <c r="B738" t="inlineStr">
        <is>
          <t>324965643998</t>
        </is>
      </c>
      <c r="D738" t="inlineStr">
        <is>
          <t>OFF - Computer Services Re-Bid</t>
        </is>
      </c>
      <c r="E738" t="inlineStr">
        <is>
          <t>Town of Islip Affordable Housing Corp (TOIAHC)</t>
        </is>
      </c>
      <c r="F738" t="inlineStr">
        <is>
          <t>New York</t>
        </is>
      </c>
      <c r="G738" t="inlineStr">
        <is>
          <t>Submitted</t>
        </is>
      </c>
      <c r="H738" t="inlineStr">
        <is>
          <t>No</t>
        </is>
      </c>
      <c r="J738" s="96" t="n">
        <v>46169</v>
      </c>
      <c r="K738" s="96" t="n">
        <v>46162</v>
      </c>
      <c r="M738" t="inlineStr">
        <is>
          <t>Managed Services (MSP)</t>
        </is>
      </c>
      <c r="N738" t="inlineStr">
        <is>
          <t>Offline</t>
        </is>
      </c>
      <c r="O738" t="inlineStr">
        <is>
          <t>Ashutosh Chauhan</t>
        </is>
      </c>
      <c r="Y738" s="96" t="n">
        <v>46155</v>
      </c>
      <c r="Z738" t="inlineStr">
        <is>
          <t>https://app.hubspot.com/contacts/243046792/record/0-3/324965643998</t>
        </is>
      </c>
    </row>
    <row r="739">
      <c r="A739" t="n">
        <v>738</v>
      </c>
      <c r="B739" t="inlineStr">
        <is>
          <t>323519238874</t>
        </is>
      </c>
      <c r="C739" t="inlineStr">
        <is>
          <t>RFP #251-27-92</t>
        </is>
      </c>
      <c r="D739" t="inlineStr">
        <is>
          <t>TECHNICAL CONTRACTED RESOURCES - IT</t>
        </is>
      </c>
      <c r="E739" t="inlineStr">
        <is>
          <t>Wake County Public School System</t>
        </is>
      </c>
      <c r="F739" t="inlineStr">
        <is>
          <t>North Carolina</t>
        </is>
      </c>
      <c r="G739" t="inlineStr">
        <is>
          <t>Closed Lost</t>
        </is>
      </c>
      <c r="H739" t="inlineStr">
        <is>
          <t>No</t>
        </is>
      </c>
      <c r="J739" s="96" t="n">
        <v>46295</v>
      </c>
      <c r="K739" s="96" t="n">
        <v>46163</v>
      </c>
      <c r="N739" t="inlineStr">
        <is>
          <t>Portal</t>
        </is>
      </c>
      <c r="O739" t="inlineStr">
        <is>
          <t>Jyothsna Nanda kishore</t>
        </is>
      </c>
      <c r="Y739" t="inlineStr">
        <is>
          <t>2026-05-06</t>
        </is>
      </c>
      <c r="Z739" t="inlineStr">
        <is>
          <t>https://app.hubspot.com/contacts/243046792/record/0-3/323519238874</t>
        </is>
      </c>
    </row>
    <row r="740">
      <c r="A740" t="n">
        <v>739</v>
      </c>
      <c r="B740" t="inlineStr">
        <is>
          <t>323642399430</t>
        </is>
      </c>
      <c r="D740" t="inlineStr">
        <is>
          <t>RFQ 26-05: NETWORK PENETRATION TESTING</t>
        </is>
      </c>
      <c r="E740" t="inlineStr">
        <is>
          <t>Greater Dayton Premier Management</t>
        </is>
      </c>
      <c r="F740" t="inlineStr">
        <is>
          <t>Ohio</t>
        </is>
      </c>
      <c r="G740" t="inlineStr">
        <is>
          <t>Submitted</t>
        </is>
      </c>
      <c r="H740" t="inlineStr">
        <is>
          <t>No</t>
        </is>
      </c>
      <c r="J740" s="96" t="n">
        <v>46163</v>
      </c>
      <c r="K740" s="96" t="n">
        <v>46163</v>
      </c>
      <c r="M740" t="inlineStr">
        <is>
          <t>Consulting</t>
        </is>
      </c>
      <c r="O740" t="inlineStr">
        <is>
          <t>Savya Atrey</t>
        </is>
      </c>
      <c r="Y740" s="96" t="n">
        <v>46148</v>
      </c>
      <c r="Z740" t="inlineStr">
        <is>
          <t>https://app.hubspot.com/contacts/243046792/record/0-3/323642399430</t>
        </is>
      </c>
    </row>
    <row r="741">
      <c r="A741" t="n">
        <v>740</v>
      </c>
      <c r="B741" t="inlineStr">
        <is>
          <t>320834567870</t>
        </is>
      </c>
      <c r="C741" t="inlineStr">
        <is>
          <t>25-26-08</t>
        </is>
      </c>
      <c r="D741" t="inlineStr">
        <is>
          <t>Enterprise IT Ticketing, Asset Management, and Cost Tracking System</t>
        </is>
      </c>
      <c r="E741" t="inlineStr">
        <is>
          <t>Las Cruces Public Schools</t>
        </is>
      </c>
      <c r="F741" t="inlineStr">
        <is>
          <t>New Mexico</t>
        </is>
      </c>
      <c r="G741" t="inlineStr">
        <is>
          <t>Closed Lost</t>
        </is>
      </c>
      <c r="H741" t="inlineStr">
        <is>
          <t>No</t>
        </is>
      </c>
      <c r="J741" s="96" t="n">
        <v>46281</v>
      </c>
      <c r="K741" s="96" t="n">
        <v>46163</v>
      </c>
      <c r="L741" s="65" t="n">
        <v>1086140</v>
      </c>
      <c r="M741" t="inlineStr">
        <is>
          <t>Platform Implementation (ERP, CRMs);Modernization / Migration</t>
        </is>
      </c>
      <c r="N741" t="inlineStr">
        <is>
          <t>Portal</t>
        </is>
      </c>
      <c r="O741" t="inlineStr">
        <is>
          <t>Ashutosh Chauhan</t>
        </is>
      </c>
      <c r="Y741" t="inlineStr">
        <is>
          <t>2026-04-15</t>
        </is>
      </c>
      <c r="Z741" t="inlineStr">
        <is>
          <t>https://app.hubspot.com/contacts/243046792/record/0-3/320834567870</t>
        </is>
      </c>
    </row>
    <row r="742">
      <c r="A742" t="n">
        <v>741</v>
      </c>
      <c r="B742" t="inlineStr">
        <is>
          <t>321924669171</t>
        </is>
      </c>
      <c r="C742" t="inlineStr">
        <is>
          <t>26-8642</t>
        </is>
      </c>
      <c r="D742" t="inlineStr">
        <is>
          <t>Utility Enterprise Asset Management Consulting</t>
        </is>
      </c>
      <c r="E742" t="inlineStr">
        <is>
          <t>Collier County</t>
        </is>
      </c>
      <c r="F742" t="inlineStr">
        <is>
          <t>Florida</t>
        </is>
      </c>
      <c r="G742" t="inlineStr">
        <is>
          <t>Closed Lost</t>
        </is>
      </c>
      <c r="H742" t="inlineStr">
        <is>
          <t>No</t>
        </is>
      </c>
      <c r="J742" s="96" t="n">
        <v>46301</v>
      </c>
      <c r="K742" s="96" t="n">
        <v>46163</v>
      </c>
      <c r="M742" t="inlineStr">
        <is>
          <t>Consulting</t>
        </is>
      </c>
      <c r="N742" t="inlineStr">
        <is>
          <t>Portal</t>
        </is>
      </c>
      <c r="O742" t="inlineStr">
        <is>
          <t>Ashutosh Chauhan</t>
        </is>
      </c>
      <c r="Y742" t="inlineStr">
        <is>
          <t>2026-04-23</t>
        </is>
      </c>
      <c r="Z742" t="inlineStr">
        <is>
          <t>https://app.hubspot.com/contacts/243046792/record/0-3/321924669171</t>
        </is>
      </c>
    </row>
    <row r="743">
      <c r="A743" t="n">
        <v>742</v>
      </c>
      <c r="B743" t="inlineStr">
        <is>
          <t>319105681092</t>
        </is>
      </c>
      <c r="D743" t="inlineStr">
        <is>
          <t>Website Chatbot Services</t>
        </is>
      </c>
      <c r="E743" t="inlineStr">
        <is>
          <t>First Judicial District of Pennsylvania</t>
        </is>
      </c>
      <c r="F743" t="inlineStr">
        <is>
          <t>Pennsylvania</t>
        </is>
      </c>
      <c r="G743" t="inlineStr">
        <is>
          <t>Submitted</t>
        </is>
      </c>
      <c r="H743" t="inlineStr">
        <is>
          <t>No</t>
        </is>
      </c>
      <c r="J743" s="96" t="n">
        <v>46164</v>
      </c>
      <c r="K743" s="96" t="n">
        <v>46164</v>
      </c>
      <c r="M743" t="inlineStr">
        <is>
          <t>Platform Implementation (ERP, CRMs)</t>
        </is>
      </c>
      <c r="N743" t="inlineStr">
        <is>
          <t>Email</t>
        </is>
      </c>
      <c r="O743" t="inlineStr">
        <is>
          <t>Savya Atrey</t>
        </is>
      </c>
      <c r="Y743" t="inlineStr">
        <is>
          <t>2026-04-02</t>
        </is>
      </c>
      <c r="Z743" t="inlineStr">
        <is>
          <t>https://app.hubspot.com/contacts/243046792/record/0-3/319105681092</t>
        </is>
      </c>
    </row>
    <row r="744">
      <c r="A744" t="n">
        <v>743</v>
      </c>
      <c r="B744" t="inlineStr">
        <is>
          <t>323232475851</t>
        </is>
      </c>
      <c r="D744" t="inlineStr">
        <is>
          <t>Managed Services Provider for Redding Police Department</t>
        </is>
      </c>
      <c r="E744" t="inlineStr">
        <is>
          <t>Town of redding</t>
        </is>
      </c>
      <c r="F744" t="inlineStr">
        <is>
          <t>Connecticut</t>
        </is>
      </c>
      <c r="G744" t="inlineStr">
        <is>
          <t>Submitted</t>
        </is>
      </c>
      <c r="H744" t="inlineStr">
        <is>
          <t>No</t>
        </is>
      </c>
      <c r="J744" s="96" t="n">
        <v>46164</v>
      </c>
      <c r="K744" s="96" t="n">
        <v>46164</v>
      </c>
      <c r="M744" t="inlineStr">
        <is>
          <t>Consulting;Managed Services (MSP)</t>
        </is>
      </c>
      <c r="N744" t="inlineStr">
        <is>
          <t>Email</t>
        </is>
      </c>
      <c r="O744" t="inlineStr">
        <is>
          <t>Savya Atrey</t>
        </is>
      </c>
      <c r="Y744" t="inlineStr">
        <is>
          <t>2026-04-30</t>
        </is>
      </c>
      <c r="Z744" t="inlineStr">
        <is>
          <t>https://app.hubspot.com/contacts/243046792/record/0-3/323232475851</t>
        </is>
      </c>
    </row>
    <row r="745">
      <c r="A745" t="n">
        <v>744</v>
      </c>
      <c r="B745" t="inlineStr">
        <is>
          <t>324845232884</t>
        </is>
      </c>
      <c r="C745" t="inlineStr">
        <is>
          <t>RFP 019-0-2026/HM</t>
        </is>
      </c>
      <c r="D745" t="inlineStr">
        <is>
          <t>Cybersecurity Penetration &amp; Vulnerability Testing Services (RE-POST)</t>
        </is>
      </c>
      <c r="E745" t="inlineStr">
        <is>
          <t>Newport News Public Schools [VA]</t>
        </is>
      </c>
      <c r="F745" t="inlineStr">
        <is>
          <t>Virginia</t>
        </is>
      </c>
      <c r="G745" t="inlineStr">
        <is>
          <t>Closed Lost</t>
        </is>
      </c>
      <c r="H745" t="inlineStr">
        <is>
          <t>Yes</t>
        </is>
      </c>
      <c r="J745" s="96" t="n">
        <v>46314</v>
      </c>
      <c r="K745" s="96" t="n">
        <v>46164</v>
      </c>
      <c r="L745" s="65" t="n">
        <v>66096</v>
      </c>
      <c r="M745" t="inlineStr">
        <is>
          <t>Audits and Assessment</t>
        </is>
      </c>
      <c r="N745" t="inlineStr">
        <is>
          <t>Portal</t>
        </is>
      </c>
      <c r="O745" t="inlineStr">
        <is>
          <t>Ashutosh Chauhan</t>
        </is>
      </c>
      <c r="P745" t="inlineStr">
        <is>
          <t>Interview Scheduled</t>
        </is>
      </c>
      <c r="Q745" s="96" t="n">
        <v>46233</v>
      </c>
      <c r="Y745" t="inlineStr">
        <is>
          <t>2026-05-13</t>
        </is>
      </c>
      <c r="Z745" t="inlineStr">
        <is>
          <t>https://app.hubspot.com/contacts/243046792/record/0-3/324845232884</t>
        </is>
      </c>
    </row>
    <row r="746">
      <c r="A746" t="n">
        <v>745</v>
      </c>
      <c r="B746" t="inlineStr">
        <is>
          <t>322910021322</t>
        </is>
      </c>
      <c r="C746" t="inlineStr">
        <is>
          <t>#2005976</t>
        </is>
      </c>
      <c r="D746" t="inlineStr">
        <is>
          <t>OFF - Website Hosting Services</t>
        </is>
      </c>
      <c r="E746" t="inlineStr">
        <is>
          <t>Standing Rock Housing Authority (SRHA)</t>
        </is>
      </c>
      <c r="F746" t="inlineStr">
        <is>
          <t>North Dakota</t>
        </is>
      </c>
      <c r="G746" t="inlineStr">
        <is>
          <t>Submitted</t>
        </is>
      </c>
      <c r="H746" t="inlineStr">
        <is>
          <t>No</t>
        </is>
      </c>
      <c r="J746" s="96" t="n">
        <v>46166</v>
      </c>
      <c r="K746" s="96" t="n">
        <v>46164</v>
      </c>
      <c r="M746" t="inlineStr">
        <is>
          <t>Support &amp; Maintenance</t>
        </is>
      </c>
      <c r="N746" t="inlineStr">
        <is>
          <t>Offline</t>
        </is>
      </c>
      <c r="O746" t="inlineStr">
        <is>
          <t>Ashutosh Chauhan</t>
        </is>
      </c>
      <c r="Y746" s="96" t="n">
        <v>46141</v>
      </c>
      <c r="Z746" t="inlineStr">
        <is>
          <t>https://app.hubspot.com/contacts/243046792/record/0-3/322910021322</t>
        </is>
      </c>
    </row>
    <row r="747">
      <c r="A747" t="n">
        <v>746</v>
      </c>
      <c r="B747" t="inlineStr">
        <is>
          <t>323641797323</t>
        </is>
      </c>
      <c r="D747" t="inlineStr">
        <is>
          <t xml:space="preserve">HOSTED INFORMATION TECHNOLOGY AND SUPPORT SERVICES </t>
        </is>
      </c>
      <c r="E747" t="inlineStr">
        <is>
          <t>EARLY LEARNING COALITION OF BREVARD COUNTY</t>
        </is>
      </c>
      <c r="F747" t="inlineStr">
        <is>
          <t>Florida</t>
        </is>
      </c>
      <c r="G747" t="inlineStr">
        <is>
          <t>Closed Lost</t>
        </is>
      </c>
      <c r="H747" t="inlineStr">
        <is>
          <t>No</t>
        </is>
      </c>
      <c r="J747" s="96" t="n">
        <v>46182</v>
      </c>
      <c r="K747" s="96" t="n">
        <v>46164</v>
      </c>
      <c r="M747" t="inlineStr">
        <is>
          <t>Managed Services (MSP)</t>
        </is>
      </c>
      <c r="N747" t="inlineStr">
        <is>
          <t>Offline</t>
        </is>
      </c>
      <c r="O747" t="inlineStr">
        <is>
          <t>Jyothsna Nanda kishore</t>
        </is>
      </c>
      <c r="Y747" t="inlineStr">
        <is>
          <t>2026-05-07</t>
        </is>
      </c>
      <c r="Z747" t="inlineStr">
        <is>
          <t>https://app.hubspot.com/contacts/243046792/record/0-3/323641797323</t>
        </is>
      </c>
    </row>
    <row r="748">
      <c r="A748" t="n">
        <v>747</v>
      </c>
      <c r="B748" t="inlineStr">
        <is>
          <t>323238331080</t>
        </is>
      </c>
      <c r="C748" t="inlineStr">
        <is>
          <t>RFP # 26-26</t>
        </is>
      </c>
      <c r="D748" t="inlineStr">
        <is>
          <t>OFF - Helpdesk Partner</t>
        </is>
      </c>
      <c r="E748" t="inlineStr">
        <is>
          <t>Massbay Community College</t>
        </is>
      </c>
      <c r="F748" t="inlineStr">
        <is>
          <t>Massachusetts</t>
        </is>
      </c>
      <c r="G748" t="inlineStr">
        <is>
          <t>Submitted</t>
        </is>
      </c>
      <c r="H748" t="inlineStr">
        <is>
          <t>No</t>
        </is>
      </c>
      <c r="J748" s="96" t="n">
        <v>46167</v>
      </c>
      <c r="K748" s="96" t="n">
        <v>46164</v>
      </c>
      <c r="L748" s="65" t="n">
        <v>168500</v>
      </c>
      <c r="M748" t="inlineStr">
        <is>
          <t>Managed Services (MSP)</t>
        </is>
      </c>
      <c r="N748" t="inlineStr">
        <is>
          <t>Offline</t>
        </is>
      </c>
      <c r="O748" t="inlineStr">
        <is>
          <t>Ashutosh Chauhan</t>
        </is>
      </c>
      <c r="Y748" s="96" t="n">
        <v>46143</v>
      </c>
      <c r="Z748" t="inlineStr">
        <is>
          <t>https://app.hubspot.com/contacts/243046792/record/0-3/323238331080</t>
        </is>
      </c>
    </row>
    <row r="749">
      <c r="A749" t="n">
        <v>748</v>
      </c>
      <c r="B749" t="inlineStr">
        <is>
          <t>323517789884</t>
        </is>
      </c>
      <c r="D749" t="inlineStr">
        <is>
          <t>OFF: Information Technology Support Services</t>
        </is>
      </c>
      <c r="E749" t="inlineStr">
        <is>
          <t xml:space="preserve">City of South Bay </t>
        </is>
      </c>
      <c r="F749" t="inlineStr">
        <is>
          <t>Florida</t>
        </is>
      </c>
      <c r="G749" t="inlineStr">
        <is>
          <t>Submitted</t>
        </is>
      </c>
      <c r="H749" t="inlineStr">
        <is>
          <t>No</t>
        </is>
      </c>
      <c r="J749" s="96" t="n">
        <v>46168</v>
      </c>
      <c r="K749" s="96" t="n">
        <v>46164</v>
      </c>
      <c r="M749" t="inlineStr">
        <is>
          <t>Managed Services (MSP)</t>
        </is>
      </c>
      <c r="N749" t="inlineStr">
        <is>
          <t>Offline</t>
        </is>
      </c>
      <c r="O749" t="inlineStr">
        <is>
          <t>Ashutosh Chauhan</t>
        </is>
      </c>
      <c r="Y749" s="96" t="n">
        <v>46148</v>
      </c>
      <c r="Z749" t="inlineStr">
        <is>
          <t>https://app.hubspot.com/contacts/243046792/record/0-3/323517789884</t>
        </is>
      </c>
    </row>
    <row r="750">
      <c r="A750" t="n">
        <v>749</v>
      </c>
      <c r="B750" t="inlineStr">
        <is>
          <t>324287792854</t>
        </is>
      </c>
      <c r="D750" t="inlineStr">
        <is>
          <t>OFFLINE - Cybersecurity Management Program Services</t>
        </is>
      </c>
      <c r="E750" t="inlineStr">
        <is>
          <t>City of Trenton</t>
        </is>
      </c>
      <c r="F750" t="inlineStr">
        <is>
          <t>New Jersey</t>
        </is>
      </c>
      <c r="G750" t="inlineStr">
        <is>
          <t>Submitted</t>
        </is>
      </c>
      <c r="H750" t="inlineStr">
        <is>
          <t>No</t>
        </is>
      </c>
      <c r="J750" s="96" t="n">
        <v>46169</v>
      </c>
      <c r="K750" s="96" t="n">
        <v>46164</v>
      </c>
      <c r="M750" t="inlineStr">
        <is>
          <t>Consulting</t>
        </is>
      </c>
      <c r="O750" t="inlineStr">
        <is>
          <t>Savya Atrey</t>
        </is>
      </c>
      <c r="Y750" t="inlineStr">
        <is>
          <t>2026-05-08</t>
        </is>
      </c>
      <c r="Z750" t="inlineStr">
        <is>
          <t>https://app.hubspot.com/contacts/243046792/record/0-3/324287792854</t>
        </is>
      </c>
    </row>
    <row r="751">
      <c r="A751" t="n">
        <v>750</v>
      </c>
      <c r="B751" t="inlineStr">
        <is>
          <t>323232484059</t>
        </is>
      </c>
      <c r="D751" t="inlineStr">
        <is>
          <t xml:space="preserve">SAP S/4 HANA Upgrade </t>
        </is>
      </c>
      <c r="E751" t="inlineStr">
        <is>
          <t>California Department of Water Resources</t>
        </is>
      </c>
      <c r="F751" t="inlineStr">
        <is>
          <t>California</t>
        </is>
      </c>
      <c r="G751" t="inlineStr">
        <is>
          <t>Submitted</t>
        </is>
      </c>
      <c r="H751" t="inlineStr">
        <is>
          <t>No</t>
        </is>
      </c>
      <c r="J751" s="96" t="n">
        <v>46148</v>
      </c>
      <c r="K751" s="96" t="n">
        <v>46168</v>
      </c>
      <c r="M751" t="inlineStr">
        <is>
          <t>Platform Implementation (ERP, CRMs);Support &amp; Maintenance</t>
        </is>
      </c>
      <c r="O751" t="inlineStr">
        <is>
          <t>Savya Atrey</t>
        </is>
      </c>
      <c r="Y751" s="96" t="n">
        <v>46142</v>
      </c>
      <c r="Z751" t="inlineStr">
        <is>
          <t>https://app.hubspot.com/contacts/243046792/record/0-3/323232484059</t>
        </is>
      </c>
    </row>
    <row r="752">
      <c r="A752" t="n">
        <v>751</v>
      </c>
      <c r="B752" t="inlineStr">
        <is>
          <t>323642399419</t>
        </is>
      </c>
      <c r="D752" t="inlineStr">
        <is>
          <t>Cybersecurity Assessment</t>
        </is>
      </c>
      <c r="E752" t="inlineStr">
        <is>
          <t>Michigan State University</t>
        </is>
      </c>
      <c r="F752" t="inlineStr">
        <is>
          <t>Michigan</t>
        </is>
      </c>
      <c r="G752" t="inlineStr">
        <is>
          <t>Submitted</t>
        </is>
      </c>
      <c r="H752" t="inlineStr">
        <is>
          <t>No</t>
        </is>
      </c>
      <c r="J752" s="96" t="n">
        <v>46168</v>
      </c>
      <c r="K752" s="96" t="n">
        <v>46168</v>
      </c>
      <c r="M752" t="inlineStr">
        <is>
          <t>Consulting</t>
        </is>
      </c>
      <c r="O752" t="inlineStr">
        <is>
          <t>Savya Atrey</t>
        </is>
      </c>
      <c r="Y752" s="96" t="n">
        <v>46148</v>
      </c>
      <c r="Z752" t="inlineStr">
        <is>
          <t>https://app.hubspot.com/contacts/243046792/record/0-3/323642399419</t>
        </is>
      </c>
    </row>
    <row r="753">
      <c r="A753" t="n">
        <v>752</v>
      </c>
      <c r="B753" t="inlineStr">
        <is>
          <t>318930504417</t>
        </is>
      </c>
      <c r="D753" t="inlineStr">
        <is>
          <t xml:space="preserve">IAM Managed Services </t>
        </is>
      </c>
      <c r="E753" t="inlineStr">
        <is>
          <t>The City of Boston</t>
        </is>
      </c>
      <c r="F753" t="inlineStr">
        <is>
          <t>Massachusetts</t>
        </is>
      </c>
      <c r="G753" t="inlineStr">
        <is>
          <t>Closed Lost</t>
        </is>
      </c>
      <c r="H753" t="inlineStr">
        <is>
          <t>No</t>
        </is>
      </c>
      <c r="J753" s="96" t="n">
        <v>46273</v>
      </c>
      <c r="K753" s="96" t="n">
        <v>46168</v>
      </c>
      <c r="M753" t="inlineStr">
        <is>
          <t>Staff Augmentation;Managed Services (MSP)</t>
        </is>
      </c>
      <c r="N753" t="inlineStr">
        <is>
          <t>Email</t>
        </is>
      </c>
      <c r="O753" t="inlineStr">
        <is>
          <t>Ashutosh Chauhan</t>
        </is>
      </c>
      <c r="Y753" s="96" t="n">
        <v>46114</v>
      </c>
      <c r="Z753" t="inlineStr">
        <is>
          <t>https://app.hubspot.com/contacts/243046792/record/0-3/318930504417</t>
        </is>
      </c>
    </row>
    <row r="754">
      <c r="A754" t="n">
        <v>753</v>
      </c>
      <c r="B754" t="inlineStr">
        <is>
          <t>325724065471</t>
        </is>
      </c>
      <c r="D754" t="inlineStr">
        <is>
          <t>Kodiak Island Borough - Test Environment Configuration Services</t>
        </is>
      </c>
      <c r="E754" t="inlineStr">
        <is>
          <t>Kodiak Island Borough</t>
        </is>
      </c>
      <c r="F754" t="inlineStr">
        <is>
          <t>Alaska</t>
        </is>
      </c>
      <c r="G754" t="inlineStr">
        <is>
          <t>Closed Won</t>
        </is>
      </c>
      <c r="H754" t="inlineStr">
        <is>
          <t>No</t>
        </is>
      </c>
      <c r="J754" s="96" t="n">
        <v>46231</v>
      </c>
      <c r="K754" s="96" t="n">
        <v>46168</v>
      </c>
      <c r="L754" s="65" t="n">
        <v>14280</v>
      </c>
      <c r="M754" t="inlineStr">
        <is>
          <t>Modernization / Migration</t>
        </is>
      </c>
      <c r="N754" t="inlineStr">
        <is>
          <t>Email</t>
        </is>
      </c>
      <c r="O754" t="inlineStr">
        <is>
          <t>Ashutosh Chauhan</t>
        </is>
      </c>
      <c r="S754" s="96" t="n">
        <v>46181</v>
      </c>
      <c r="U754" s="96" t="n">
        <v>46227</v>
      </c>
      <c r="Y754" s="96" t="n">
        <v>46161</v>
      </c>
      <c r="Z754" t="inlineStr">
        <is>
          <t>https://app.hubspot.com/contacts/243046792/record/0-3/325724065471</t>
        </is>
      </c>
    </row>
    <row r="755">
      <c r="A755" t="n">
        <v>754</v>
      </c>
      <c r="B755" t="inlineStr">
        <is>
          <t>323642412751</t>
        </is>
      </c>
      <c r="D755" t="inlineStr">
        <is>
          <t>OFFLINE On-Call Information Technology Services</t>
        </is>
      </c>
      <c r="E755" t="inlineStr">
        <is>
          <t>City of Artesia</t>
        </is>
      </c>
      <c r="F755" t="inlineStr">
        <is>
          <t>California</t>
        </is>
      </c>
      <c r="G755" t="inlineStr">
        <is>
          <t>Submitted</t>
        </is>
      </c>
      <c r="H755" t="inlineStr">
        <is>
          <t>No</t>
        </is>
      </c>
      <c r="J755" s="96" t="n">
        <v>46170</v>
      </c>
      <c r="K755" s="96" t="n">
        <v>46168</v>
      </c>
      <c r="M755" t="inlineStr">
        <is>
          <t>Staff Augmentation</t>
        </is>
      </c>
      <c r="O755" t="inlineStr">
        <is>
          <t>Savya Atrey</t>
        </is>
      </c>
      <c r="Y755" s="96" t="n">
        <v>46148</v>
      </c>
      <c r="Z755" t="inlineStr">
        <is>
          <t>https://app.hubspot.com/contacts/243046792/record/0-3/323642412751</t>
        </is>
      </c>
    </row>
    <row r="756">
      <c r="A756" t="n">
        <v>755</v>
      </c>
      <c r="B756" t="inlineStr">
        <is>
          <t>324843866815</t>
        </is>
      </c>
      <c r="D756" t="inlineStr">
        <is>
          <t>Data Analytics Systems</t>
        </is>
      </c>
      <c r="E756" t="inlineStr">
        <is>
          <t>Greenwood Leflore Consolidated School District</t>
        </is>
      </c>
      <c r="F756" t="inlineStr">
        <is>
          <t>Mississippi</t>
        </is>
      </c>
      <c r="G756" t="inlineStr">
        <is>
          <t>Submitted</t>
        </is>
      </c>
      <c r="H756" t="inlineStr">
        <is>
          <t>No</t>
        </is>
      </c>
      <c r="J756" s="96" t="n">
        <v>46169</v>
      </c>
      <c r="K756" s="96" t="n">
        <v>46169</v>
      </c>
      <c r="L756" s="65" t="n">
        <v>205700</v>
      </c>
      <c r="M756" t="inlineStr">
        <is>
          <t>Custom development</t>
        </is>
      </c>
      <c r="N756" t="inlineStr">
        <is>
          <t>Email</t>
        </is>
      </c>
      <c r="O756" t="inlineStr">
        <is>
          <t>Ashutosh Chauhan</t>
        </is>
      </c>
      <c r="Y756" s="96" t="n">
        <v>46155</v>
      </c>
      <c r="Z756" t="inlineStr">
        <is>
          <t>https://app.hubspot.com/contacts/243046792/record/0-3/324843866815</t>
        </is>
      </c>
    </row>
    <row r="757">
      <c r="A757" t="n">
        <v>756</v>
      </c>
      <c r="B757" t="inlineStr">
        <is>
          <t>321926106837</t>
        </is>
      </c>
      <c r="D757" t="inlineStr">
        <is>
          <t>Managed Services for ArcGIS Enterprise Environment for the City of Santa Monica</t>
        </is>
      </c>
      <c r="E757" t="inlineStr">
        <is>
          <t>City of Santa Monica</t>
        </is>
      </c>
      <c r="F757" t="inlineStr">
        <is>
          <t>California</t>
        </is>
      </c>
      <c r="G757" t="inlineStr">
        <is>
          <t>Submitted</t>
        </is>
      </c>
      <c r="H757" t="inlineStr">
        <is>
          <t>No</t>
        </is>
      </c>
      <c r="J757" s="96" t="n">
        <v>46169</v>
      </c>
      <c r="K757" s="96" t="n">
        <v>46169</v>
      </c>
      <c r="O757" t="inlineStr">
        <is>
          <t>Savya Atrey</t>
        </is>
      </c>
      <c r="Y757" s="96" t="n">
        <v>46135</v>
      </c>
      <c r="Z757" t="inlineStr">
        <is>
          <t>https://app.hubspot.com/contacts/243046792/record/0-3/321926106837</t>
        </is>
      </c>
    </row>
    <row r="758">
      <c r="A758" t="n">
        <v>757</v>
      </c>
      <c r="B758" t="inlineStr">
        <is>
          <t>324842428106</t>
        </is>
      </c>
      <c r="D758" t="inlineStr">
        <is>
          <t>MICROSOFT OFFICE COMPUTER TRAININGS</t>
        </is>
      </c>
      <c r="E758" t="inlineStr">
        <is>
          <t>COUNTY OF LOS ANGELES DEPARTMENT OF HUMAN RESOURCES</t>
        </is>
      </c>
      <c r="F758" t="inlineStr">
        <is>
          <t>California</t>
        </is>
      </c>
      <c r="G758" t="inlineStr">
        <is>
          <t>Submitted</t>
        </is>
      </c>
      <c r="H758" t="inlineStr">
        <is>
          <t>No</t>
        </is>
      </c>
      <c r="J758" s="96" t="n">
        <v>46169</v>
      </c>
      <c r="K758" s="96" t="n">
        <v>46169</v>
      </c>
      <c r="M758" t="inlineStr">
        <is>
          <t>Training</t>
        </is>
      </c>
      <c r="O758" t="inlineStr">
        <is>
          <t>Savya Atrey</t>
        </is>
      </c>
      <c r="Y758" t="inlineStr">
        <is>
          <t>2026-05-13</t>
        </is>
      </c>
      <c r="Z758" t="inlineStr">
        <is>
          <t>https://app.hubspot.com/contacts/243046792/record/0-3/324842428106</t>
        </is>
      </c>
    </row>
    <row r="759">
      <c r="A759" t="n">
        <v>758</v>
      </c>
      <c r="B759" t="inlineStr">
        <is>
          <t>324845228759</t>
        </is>
      </c>
      <c r="D759" t="inlineStr">
        <is>
          <t>Managed Network Services</t>
        </is>
      </c>
      <c r="E759" t="inlineStr">
        <is>
          <t>White Earth Tribal and Community College (WETCC)</t>
        </is>
      </c>
      <c r="F759" t="inlineStr">
        <is>
          <t>Minnesota</t>
        </is>
      </c>
      <c r="G759" t="inlineStr">
        <is>
          <t>Closed Lost</t>
        </is>
      </c>
      <c r="H759" t="inlineStr">
        <is>
          <t>No</t>
        </is>
      </c>
      <c r="J759" s="96" t="n">
        <v>46191</v>
      </c>
      <c r="K759" s="96" t="n">
        <v>46169</v>
      </c>
      <c r="L759" t="n">
        <v>43500</v>
      </c>
      <c r="M759" t="inlineStr">
        <is>
          <t>Managed Services (MSP)</t>
        </is>
      </c>
      <c r="N759" t="inlineStr">
        <is>
          <t>Email</t>
        </is>
      </c>
      <c r="O759" t="inlineStr">
        <is>
          <t>Jyothsna Nanda kishore</t>
        </is>
      </c>
      <c r="Y759" t="inlineStr">
        <is>
          <t>2026-05-13</t>
        </is>
      </c>
      <c r="Z759" t="inlineStr">
        <is>
          <t>https://app.hubspot.com/contacts/243046792/record/0-3/324845228759</t>
        </is>
      </c>
    </row>
    <row r="760">
      <c r="A760" t="n">
        <v>759</v>
      </c>
      <c r="B760" t="inlineStr">
        <is>
          <t>325724828355</t>
        </is>
      </c>
      <c r="D760" t="inlineStr">
        <is>
          <t>INFORMATION TECHNOLOGY NEEDS ASSESSMENT AND STRATEGIC PLAN</t>
        </is>
      </c>
      <c r="E760" t="inlineStr">
        <is>
          <t>City of Georgetown</t>
        </is>
      </c>
      <c r="F760" t="inlineStr">
        <is>
          <t>Texas</t>
        </is>
      </c>
      <c r="G760" t="inlineStr">
        <is>
          <t>Closed Lost</t>
        </is>
      </c>
      <c r="H760" t="inlineStr">
        <is>
          <t>No</t>
        </is>
      </c>
      <c r="J760" s="96" t="n">
        <v>46230</v>
      </c>
      <c r="K760" s="96" t="n">
        <v>46169</v>
      </c>
      <c r="M760" t="inlineStr">
        <is>
          <t>Audits and Assessment</t>
        </is>
      </c>
      <c r="O760" t="inlineStr">
        <is>
          <t>Savya Atrey</t>
        </is>
      </c>
      <c r="Y760" t="inlineStr">
        <is>
          <t>2026-05-19</t>
        </is>
      </c>
      <c r="Z760" t="inlineStr">
        <is>
          <t>https://app.hubspot.com/contacts/243046792/record/0-3/325724828355</t>
        </is>
      </c>
    </row>
    <row r="761">
      <c r="A761" t="n">
        <v>760</v>
      </c>
      <c r="B761" t="inlineStr">
        <is>
          <t>325251395299</t>
        </is>
      </c>
      <c r="D761" t="inlineStr">
        <is>
          <t>IT Network and Security Consultant</t>
        </is>
      </c>
      <c r="E761" t="inlineStr">
        <is>
          <t>City of Little Rock</t>
        </is>
      </c>
      <c r="F761" t="inlineStr">
        <is>
          <t>Arkansas</t>
        </is>
      </c>
      <c r="G761" t="inlineStr">
        <is>
          <t>Submitted</t>
        </is>
      </c>
      <c r="H761" t="inlineStr">
        <is>
          <t>No</t>
        </is>
      </c>
      <c r="J761" s="96" t="n">
        <v>46175</v>
      </c>
      <c r="K761" s="96" t="n">
        <v>46169</v>
      </c>
      <c r="M761" t="inlineStr">
        <is>
          <t>Consulting</t>
        </is>
      </c>
      <c r="O761" t="inlineStr">
        <is>
          <t>Jyothsna Nanda kishore</t>
        </is>
      </c>
      <c r="Y761" t="inlineStr">
        <is>
          <t>2026-05-19</t>
        </is>
      </c>
      <c r="Z761" t="inlineStr">
        <is>
          <t>https://app.hubspot.com/contacts/243046792/record/0-3/325251395299</t>
        </is>
      </c>
    </row>
    <row r="762">
      <c r="A762" t="n">
        <v>761</v>
      </c>
      <c r="B762" t="inlineStr">
        <is>
          <t>326062158571</t>
        </is>
      </c>
      <c r="D762" t="inlineStr">
        <is>
          <t xml:space="preserve"> ManageEngine ServiceDesk Plus On Demand</t>
        </is>
      </c>
      <c r="E762" t="inlineStr">
        <is>
          <t>Knoxville Utilities Board</t>
        </is>
      </c>
      <c r="F762" t="inlineStr">
        <is>
          <t>Tennessee</t>
        </is>
      </c>
      <c r="G762" t="inlineStr">
        <is>
          <t>Submitted</t>
        </is>
      </c>
      <c r="H762" t="inlineStr">
        <is>
          <t>No</t>
        </is>
      </c>
      <c r="J762" s="96" t="n">
        <v>46170</v>
      </c>
      <c r="K762" s="96" t="n">
        <v>46170</v>
      </c>
      <c r="L762" t="n">
        <v>98909</v>
      </c>
      <c r="M762" t="inlineStr">
        <is>
          <t>Reseller</t>
        </is>
      </c>
      <c r="O762" t="inlineStr">
        <is>
          <t>Jyothsna Nanda kishore</t>
        </is>
      </c>
      <c r="Y762" s="96" t="n">
        <v>46163</v>
      </c>
      <c r="Z762" t="inlineStr">
        <is>
          <t>https://app.hubspot.com/contacts/243046792/record/0-3/326062158571</t>
        </is>
      </c>
    </row>
    <row r="763">
      <c r="A763" t="n">
        <v>762</v>
      </c>
      <c r="B763" t="inlineStr">
        <is>
          <t>324841844417</t>
        </is>
      </c>
      <c r="C763" t="inlineStr">
        <is>
          <t>PCS# 222000-11627-RFQ</t>
        </is>
      </c>
      <c r="D763" t="inlineStr">
        <is>
          <t>RFQ for Technical Consultant and Web Development Services</t>
        </is>
      </c>
      <c r="E763" t="inlineStr">
        <is>
          <t>University of Oregon</t>
        </is>
      </c>
      <c r="F763" t="inlineStr">
        <is>
          <t>Oregon</t>
        </is>
      </c>
      <c r="G763" t="inlineStr">
        <is>
          <t>Submitted</t>
        </is>
      </c>
      <c r="H763" t="inlineStr">
        <is>
          <t>No</t>
        </is>
      </c>
      <c r="J763" s="96" t="n">
        <v>46170</v>
      </c>
      <c r="K763" s="96" t="n">
        <v>46170</v>
      </c>
      <c r="L763" s="65" t="n">
        <v>172460</v>
      </c>
      <c r="M763" t="inlineStr">
        <is>
          <t>Custom development</t>
        </is>
      </c>
      <c r="N763" t="inlineStr">
        <is>
          <t>Portal</t>
        </is>
      </c>
      <c r="O763" t="inlineStr">
        <is>
          <t>Jyothsna Nanda kishore</t>
        </is>
      </c>
      <c r="Y763" t="inlineStr">
        <is>
          <t>2026-05-14</t>
        </is>
      </c>
      <c r="Z763" t="inlineStr">
        <is>
          <t>https://app.hubspot.com/contacts/243046792/record/0-3/324841844417</t>
        </is>
      </c>
    </row>
    <row r="764">
      <c r="A764" t="n">
        <v>763</v>
      </c>
      <c r="B764" t="inlineStr">
        <is>
          <t>324282032834</t>
        </is>
      </c>
      <c r="C764" t="inlineStr">
        <is>
          <t>RFP # 26-07</t>
        </is>
      </c>
      <c r="D764" t="inlineStr">
        <is>
          <t xml:space="preserve">Information Technology, SCADA, and Industrial Control Systems </t>
        </is>
      </c>
      <c r="E764" t="inlineStr">
        <is>
          <t>Rivanna Water &amp; Sewer Authority</t>
        </is>
      </c>
      <c r="F764" t="inlineStr">
        <is>
          <t>Virginia</t>
        </is>
      </c>
      <c r="G764" t="inlineStr">
        <is>
          <t>Submitted</t>
        </is>
      </c>
      <c r="H764" t="inlineStr">
        <is>
          <t>No</t>
        </is>
      </c>
      <c r="J764" s="96" t="n">
        <v>46170</v>
      </c>
      <c r="K764" s="96" t="n">
        <v>46170</v>
      </c>
      <c r="M764" t="inlineStr">
        <is>
          <t>Support &amp; Maintenance</t>
        </is>
      </c>
      <c r="N764" t="inlineStr">
        <is>
          <t>Portal</t>
        </is>
      </c>
      <c r="O764" t="inlineStr">
        <is>
          <t>Savya Atrey</t>
        </is>
      </c>
      <c r="Y764" s="96" t="n">
        <v>46150</v>
      </c>
      <c r="Z764" t="inlineStr">
        <is>
          <t>https://app.hubspot.com/contacts/243046792/record/0-3/324282032834</t>
        </is>
      </c>
    </row>
    <row r="765">
      <c r="A765" t="n">
        <v>764</v>
      </c>
      <c r="B765" t="inlineStr">
        <is>
          <t>317991181046</t>
        </is>
      </c>
      <c r="D765" t="inlineStr">
        <is>
          <t>Information Technology Professional Services</t>
        </is>
      </c>
      <c r="E765" t="inlineStr">
        <is>
          <t>Agency of Digital Services</t>
        </is>
      </c>
      <c r="F765" t="inlineStr">
        <is>
          <t>Vermont</t>
        </is>
      </c>
      <c r="G765" t="inlineStr">
        <is>
          <t>RFx Cancelled</t>
        </is>
      </c>
      <c r="H765" t="inlineStr">
        <is>
          <t>No</t>
        </is>
      </c>
      <c r="J765" s="96" t="n">
        <v>46171</v>
      </c>
      <c r="K765" s="96" t="n">
        <v>46170</v>
      </c>
      <c r="M765" t="inlineStr">
        <is>
          <t>Staff Augmentation</t>
        </is>
      </c>
      <c r="N765" t="inlineStr">
        <is>
          <t>Email</t>
        </is>
      </c>
      <c r="O765" t="inlineStr">
        <is>
          <t>Jyothsna Nanda kishore</t>
        </is>
      </c>
      <c r="Y765" s="96" t="n">
        <v>46107</v>
      </c>
      <c r="Z765" t="inlineStr">
        <is>
          <t>https://app.hubspot.com/contacts/243046792/record/0-3/317991181046</t>
        </is>
      </c>
    </row>
    <row r="766">
      <c r="A766" t="n">
        <v>765</v>
      </c>
      <c r="B766" t="inlineStr">
        <is>
          <t>324281304789</t>
        </is>
      </c>
      <c r="D766" t="inlineStr">
        <is>
          <t>Information Technology and Computer Support Services</t>
        </is>
      </c>
      <c r="E766" t="inlineStr">
        <is>
          <t>Lumberton Housing Authority</t>
        </is>
      </c>
      <c r="F766" t="inlineStr">
        <is>
          <t>North Carolina</t>
        </is>
      </c>
      <c r="G766" t="inlineStr">
        <is>
          <t>Submitted</t>
        </is>
      </c>
      <c r="H766" t="inlineStr">
        <is>
          <t>No</t>
        </is>
      </c>
      <c r="J766" s="96" t="n">
        <v>46175</v>
      </c>
      <c r="K766" s="96" t="n">
        <v>46170</v>
      </c>
      <c r="L766" t="n">
        <v>48950</v>
      </c>
      <c r="M766" t="inlineStr">
        <is>
          <t>Consulting</t>
        </is>
      </c>
      <c r="N766" t="inlineStr">
        <is>
          <t>Portal</t>
        </is>
      </c>
      <c r="O766" t="inlineStr">
        <is>
          <t>Jyothsna Nanda kishore</t>
        </is>
      </c>
      <c r="Y766" s="96" t="n">
        <v>46150</v>
      </c>
      <c r="Z766" t="inlineStr">
        <is>
          <t>https://app.hubspot.com/contacts/243046792/record/0-3/324281304789</t>
        </is>
      </c>
    </row>
    <row r="767">
      <c r="A767" t="n">
        <v>766</v>
      </c>
      <c r="B767" t="inlineStr">
        <is>
          <t>323517789930</t>
        </is>
      </c>
      <c r="D767" t="inlineStr">
        <is>
          <t>Consulting Services for Technology and Decision Support System</t>
        </is>
      </c>
      <c r="E767" t="inlineStr">
        <is>
          <t>Henrico County Government</t>
        </is>
      </c>
      <c r="F767" t="inlineStr">
        <is>
          <t>Virginia</t>
        </is>
      </c>
      <c r="G767" t="inlineStr">
        <is>
          <t>Submitted</t>
        </is>
      </c>
      <c r="H767" t="inlineStr">
        <is>
          <t>No</t>
        </is>
      </c>
      <c r="J767" s="96" t="n">
        <v>46190</v>
      </c>
      <c r="K767" s="96" t="n">
        <v>46170</v>
      </c>
      <c r="M767" t="inlineStr">
        <is>
          <t>Consulting</t>
        </is>
      </c>
      <c r="O767" t="inlineStr">
        <is>
          <t>Jyothsna Nanda kishore</t>
        </is>
      </c>
      <c r="Y767" t="inlineStr">
        <is>
          <t>2026-05-06</t>
        </is>
      </c>
      <c r="Z767" t="inlineStr">
        <is>
          <t>https://app.hubspot.com/contacts/243046792/record/0-3/323517789930</t>
        </is>
      </c>
    </row>
    <row r="768">
      <c r="A768" t="n">
        <v>767</v>
      </c>
      <c r="B768" t="inlineStr">
        <is>
          <t>324843861743</t>
        </is>
      </c>
      <c r="C768" t="inlineStr">
        <is>
          <t>RFP# BPHC-ITS-2026-03</t>
        </is>
      </c>
      <c r="D768" t="inlineStr">
        <is>
          <t>IT Security Infrastructure and Governance Improvement Program - Project 1</t>
        </is>
      </c>
      <c r="E768" t="inlineStr">
        <is>
          <t>Boston Public Health Commission</t>
        </is>
      </c>
      <c r="F768" t="inlineStr">
        <is>
          <t>Massachusetts</t>
        </is>
      </c>
      <c r="G768" t="inlineStr">
        <is>
          <t>Closed Lost</t>
        </is>
      </c>
      <c r="H768" t="inlineStr">
        <is>
          <t>Yes</t>
        </is>
      </c>
      <c r="J768" s="96" t="n">
        <v>46295</v>
      </c>
      <c r="K768" s="96" t="n">
        <v>46171</v>
      </c>
      <c r="L768" s="65" t="n">
        <v>31930</v>
      </c>
      <c r="M768" t="inlineStr">
        <is>
          <t>Consulting</t>
        </is>
      </c>
      <c r="N768" t="inlineStr">
        <is>
          <t>Email</t>
        </is>
      </c>
      <c r="O768" t="inlineStr">
        <is>
          <t>Savya Atrey</t>
        </is>
      </c>
      <c r="P768" t="inlineStr">
        <is>
          <t>Interview Scheduled</t>
        </is>
      </c>
      <c r="Q768" s="96" t="n">
        <v>46216</v>
      </c>
      <c r="Y768" t="inlineStr">
        <is>
          <t>2026-05-13</t>
        </is>
      </c>
      <c r="Z768" t="inlineStr">
        <is>
          <t>https://app.hubspot.com/contacts/243046792/record/0-3/324843861743</t>
        </is>
      </c>
    </row>
    <row r="769">
      <c r="A769" t="n">
        <v>768</v>
      </c>
      <c r="B769" t="inlineStr">
        <is>
          <t>327665597144</t>
        </is>
      </c>
      <c r="C769" t="inlineStr">
        <is>
          <t>RFP# BPHC-ITS-2026-03</t>
        </is>
      </c>
      <c r="D769" t="inlineStr">
        <is>
          <t>IT Security Infrastructure and Governance Improvement Program - Project 2</t>
        </is>
      </c>
      <c r="E769" t="inlineStr">
        <is>
          <t>Boston Public Health Commission</t>
        </is>
      </c>
      <c r="F769" t="inlineStr">
        <is>
          <t>Massachusetts</t>
        </is>
      </c>
      <c r="G769" t="inlineStr">
        <is>
          <t>Closed Lost</t>
        </is>
      </c>
      <c r="H769" t="inlineStr">
        <is>
          <t>Yes</t>
        </is>
      </c>
      <c r="J769" s="96" t="n">
        <v>46295</v>
      </c>
      <c r="K769" s="96" t="n">
        <v>46171</v>
      </c>
      <c r="L769" s="65" t="n">
        <v>49120</v>
      </c>
      <c r="M769" t="inlineStr">
        <is>
          <t>Consulting</t>
        </is>
      </c>
      <c r="N769" t="inlineStr">
        <is>
          <t>Email</t>
        </is>
      </c>
      <c r="O769" t="inlineStr">
        <is>
          <t>Savya Atrey</t>
        </is>
      </c>
      <c r="P769" t="inlineStr">
        <is>
          <t>Interview Scheduled</t>
        </is>
      </c>
      <c r="Q769" s="96" t="n">
        <v>46216</v>
      </c>
      <c r="Y769" s="96" t="n">
        <v>46174</v>
      </c>
      <c r="Z769" t="inlineStr">
        <is>
          <t>https://app.hubspot.com/contacts/243046792/record/0-3/327665597144</t>
        </is>
      </c>
    </row>
    <row r="770">
      <c r="A770" t="n">
        <v>769</v>
      </c>
      <c r="B770" t="inlineStr">
        <is>
          <t>327055837929</t>
        </is>
      </c>
      <c r="C770" t="inlineStr">
        <is>
          <t>BPHC-ITS-2026-03</t>
        </is>
      </c>
      <c r="D770" t="inlineStr">
        <is>
          <t>IT Security Infrastructure and Governance Improvement Program - Project 3</t>
        </is>
      </c>
      <c r="E770" t="inlineStr">
        <is>
          <t>Boston Public Health Commission</t>
        </is>
      </c>
      <c r="F770" t="inlineStr">
        <is>
          <t>Massachusetts</t>
        </is>
      </c>
      <c r="G770" t="inlineStr">
        <is>
          <t>Closed Lost</t>
        </is>
      </c>
      <c r="H770" t="inlineStr">
        <is>
          <t>Yes</t>
        </is>
      </c>
      <c r="J770" s="96" t="n">
        <v>46295</v>
      </c>
      <c r="K770" s="96" t="n">
        <v>46171</v>
      </c>
      <c r="L770" s="65" t="n">
        <v>27830</v>
      </c>
      <c r="M770" t="inlineStr">
        <is>
          <t>Consulting</t>
        </is>
      </c>
      <c r="N770" t="inlineStr">
        <is>
          <t>Email</t>
        </is>
      </c>
      <c r="O770" t="inlineStr">
        <is>
          <t>Savya Atrey</t>
        </is>
      </c>
      <c r="P770" t="inlineStr">
        <is>
          <t>Interview Scheduled</t>
        </is>
      </c>
      <c r="Q770" s="96" t="n">
        <v>46216</v>
      </c>
      <c r="Y770" s="96" t="n">
        <v>46174</v>
      </c>
      <c r="Z770" t="inlineStr">
        <is>
          <t>https://app.hubspot.com/contacts/243046792/record/0-3/327055837929</t>
        </is>
      </c>
    </row>
    <row r="771">
      <c r="A771" t="n">
        <v>770</v>
      </c>
      <c r="B771" t="inlineStr">
        <is>
          <t>323230308040</t>
        </is>
      </c>
      <c r="C771" t="inlineStr">
        <is>
          <t>#065-2026</t>
        </is>
      </c>
      <c r="D771" t="inlineStr">
        <is>
          <t>Oracle E-Business Suite Support Services</t>
        </is>
      </c>
      <c r="E771" t="inlineStr">
        <is>
          <t>City of Springfield</t>
        </is>
      </c>
      <c r="F771" t="inlineStr">
        <is>
          <t>Massachusetts</t>
        </is>
      </c>
      <c r="G771" t="inlineStr">
        <is>
          <t>Interview</t>
        </is>
      </c>
      <c r="H771" t="inlineStr">
        <is>
          <t>Yes</t>
        </is>
      </c>
      <c r="J771" s="96" t="n">
        <v>46171</v>
      </c>
      <c r="K771" s="96" t="n">
        <v>46171</v>
      </c>
      <c r="L771" t="n">
        <v>120000</v>
      </c>
      <c r="M771" t="inlineStr">
        <is>
          <t>Support &amp; Maintenance</t>
        </is>
      </c>
      <c r="N771" t="inlineStr">
        <is>
          <t>Portal</t>
        </is>
      </c>
      <c r="O771" t="inlineStr">
        <is>
          <t>Ashutosh Chauhan</t>
        </is>
      </c>
      <c r="P771" t="inlineStr">
        <is>
          <t>Interview Scheduled</t>
        </is>
      </c>
      <c r="Q771" s="96" t="n">
        <v>46223</v>
      </c>
      <c r="Y771" s="96" t="n">
        <v>46142</v>
      </c>
      <c r="Z771" t="inlineStr">
        <is>
          <t>https://app.hubspot.com/contacts/243046792/record/0-3/323230308040</t>
        </is>
      </c>
    </row>
    <row r="772">
      <c r="A772" t="n">
        <v>771</v>
      </c>
      <c r="B772" t="inlineStr">
        <is>
          <t>324841719533</t>
        </is>
      </c>
      <c r="D772" t="inlineStr">
        <is>
          <t>Information Technology (IT) Services</t>
        </is>
      </c>
      <c r="E772" t="inlineStr">
        <is>
          <t>City of Travellers Rest</t>
        </is>
      </c>
      <c r="F772" t="inlineStr">
        <is>
          <t>South Carolina</t>
        </is>
      </c>
      <c r="G772" t="inlineStr">
        <is>
          <t>Closed Lost</t>
        </is>
      </c>
      <c r="H772" t="inlineStr">
        <is>
          <t>No</t>
        </is>
      </c>
      <c r="J772" s="96" t="n">
        <v>46203</v>
      </c>
      <c r="K772" s="96" t="n">
        <v>46171</v>
      </c>
      <c r="L772" t="n">
        <v>36396</v>
      </c>
      <c r="M772" t="inlineStr">
        <is>
          <t>Managed Services (MSP)</t>
        </is>
      </c>
      <c r="O772" t="inlineStr">
        <is>
          <t>Jyothsna Nanda kishore</t>
        </is>
      </c>
      <c r="Y772" t="inlineStr">
        <is>
          <t>2026-05-13</t>
        </is>
      </c>
      <c r="Z772" t="inlineStr">
        <is>
          <t>https://app.hubspot.com/contacts/243046792/record/0-3/324841719533</t>
        </is>
      </c>
    </row>
    <row r="773">
      <c r="A773" t="n">
        <v>772</v>
      </c>
      <c r="B773" t="inlineStr">
        <is>
          <t>324841722609</t>
        </is>
      </c>
      <c r="C773" t="inlineStr">
        <is>
          <t>2026 IT #01</t>
        </is>
      </c>
      <c r="D773" t="inlineStr">
        <is>
          <t>Managed IT and Cyber Security Services</t>
        </is>
      </c>
      <c r="E773" t="inlineStr">
        <is>
          <t>Johnson County Government</t>
        </is>
      </c>
      <c r="F773" t="inlineStr">
        <is>
          <t>Kansas</t>
        </is>
      </c>
      <c r="G773" t="inlineStr">
        <is>
          <t>Closed Lost</t>
        </is>
      </c>
      <c r="H773" t="inlineStr">
        <is>
          <t>No</t>
        </is>
      </c>
      <c r="J773" s="96" t="n">
        <v>46190</v>
      </c>
      <c r="K773" s="96" t="n">
        <v>46171</v>
      </c>
      <c r="L773" s="65" t="n">
        <v>406000</v>
      </c>
      <c r="M773" t="inlineStr">
        <is>
          <t>Managed Services (MSP)</t>
        </is>
      </c>
      <c r="N773" t="inlineStr">
        <is>
          <t>Email</t>
        </is>
      </c>
      <c r="O773" t="inlineStr">
        <is>
          <t>Ashutosh Chauhan</t>
        </is>
      </c>
      <c r="Y773" t="inlineStr">
        <is>
          <t>2026-05-13</t>
        </is>
      </c>
      <c r="Z773" t="inlineStr">
        <is>
          <t>https://app.hubspot.com/contacts/243046792/record/0-3/324841722609</t>
        </is>
      </c>
    </row>
    <row r="774">
      <c r="A774" t="n">
        <v>773</v>
      </c>
      <c r="B774" t="inlineStr">
        <is>
          <t>324845228742</t>
        </is>
      </c>
      <c r="C774" t="inlineStr">
        <is>
          <t>RFP #26107</t>
        </is>
      </c>
      <c r="D774" t="inlineStr">
        <is>
          <t>NETWORK INFRASTRUCTURE SUPPORT</t>
        </is>
      </c>
      <c r="E774" t="inlineStr">
        <is>
          <t>Greenville County</t>
        </is>
      </c>
      <c r="F774" t="inlineStr">
        <is>
          <t>South Carolina</t>
        </is>
      </c>
      <c r="G774" t="inlineStr">
        <is>
          <t>Submitted</t>
        </is>
      </c>
      <c r="H774" t="inlineStr">
        <is>
          <t>No</t>
        </is>
      </c>
      <c r="J774" s="96" t="n">
        <v>46171</v>
      </c>
      <c r="K774" s="96" t="n">
        <v>46171</v>
      </c>
      <c r="M774" t="inlineStr">
        <is>
          <t>Support &amp; Maintenance</t>
        </is>
      </c>
      <c r="N774" t="inlineStr">
        <is>
          <t>Portal</t>
        </is>
      </c>
      <c r="O774" t="inlineStr">
        <is>
          <t>Savya Atrey</t>
        </is>
      </c>
      <c r="Y774" s="96" t="n">
        <v>46155</v>
      </c>
      <c r="Z774" t="inlineStr">
        <is>
          <t>https://app.hubspot.com/contacts/243046792/record/0-3/324845228742</t>
        </is>
      </c>
    </row>
    <row r="775">
      <c r="A775" t="n">
        <v>774</v>
      </c>
      <c r="B775" t="inlineStr">
        <is>
          <t>321907187419</t>
        </is>
      </c>
      <c r="D775" t="inlineStr">
        <is>
          <t>REQUEST FOR PROPOSALS FOR INFORMATION TECHNOLOGY SERVICES</t>
        </is>
      </c>
      <c r="E775" t="inlineStr">
        <is>
          <t xml:space="preserve">CITY OF LIVINGSTON	</t>
        </is>
      </c>
      <c r="F775" t="inlineStr">
        <is>
          <t>California</t>
        </is>
      </c>
      <c r="G775" t="inlineStr">
        <is>
          <t>Submitted</t>
        </is>
      </c>
      <c r="H775" t="inlineStr">
        <is>
          <t>No</t>
        </is>
      </c>
      <c r="J775" s="96" t="n">
        <v>46171</v>
      </c>
      <c r="K775" s="96" t="n">
        <v>46171</v>
      </c>
      <c r="M775" t="inlineStr">
        <is>
          <t>Managed Services (MSP)</t>
        </is>
      </c>
      <c r="O775" t="inlineStr">
        <is>
          <t>Ashutosh Chauhan</t>
        </is>
      </c>
      <c r="Y775" s="96" t="n">
        <v>46135</v>
      </c>
      <c r="Z775" t="inlineStr">
        <is>
          <t>https://app.hubspot.com/contacts/243046792/record/0-3/321907187419</t>
        </is>
      </c>
    </row>
    <row r="776">
      <c r="A776" t="n">
        <v>775</v>
      </c>
      <c r="B776" t="inlineStr">
        <is>
          <t>324818062058</t>
        </is>
      </c>
      <c r="D776" t="inlineStr">
        <is>
          <t>Consultant to Design, Develop &amp; Implement Ecosystem Dashboard</t>
        </is>
      </c>
      <c r="E776" t="inlineStr">
        <is>
          <t>University of Missouri</t>
        </is>
      </c>
      <c r="F776" t="inlineStr">
        <is>
          <t>Missouri</t>
        </is>
      </c>
      <c r="G776" t="inlineStr">
        <is>
          <t>Submitted</t>
        </is>
      </c>
      <c r="H776" t="inlineStr">
        <is>
          <t>No</t>
        </is>
      </c>
      <c r="J776" s="96" t="n">
        <v>46171</v>
      </c>
      <c r="K776" s="96" t="n">
        <v>46171</v>
      </c>
      <c r="O776" t="inlineStr">
        <is>
          <t>Ashutosh Chauhan</t>
        </is>
      </c>
      <c r="Y776" s="96" t="n">
        <v>46156</v>
      </c>
      <c r="Z776" t="inlineStr">
        <is>
          <t>https://app.hubspot.com/contacts/243046792/record/0-3/324818062058</t>
        </is>
      </c>
    </row>
    <row r="777">
      <c r="A777" t="n">
        <v>776</v>
      </c>
      <c r="B777" t="inlineStr">
        <is>
          <t>324817947322</t>
        </is>
      </c>
      <c r="D777" t="inlineStr">
        <is>
          <t>Information Technology Service Contract</t>
        </is>
      </c>
      <c r="E777" t="inlineStr">
        <is>
          <t>Woonsocket Housing Authority</t>
        </is>
      </c>
      <c r="F777" t="inlineStr">
        <is>
          <t>Rhode Island</t>
        </is>
      </c>
      <c r="G777" t="inlineStr">
        <is>
          <t>Closed Lost</t>
        </is>
      </c>
      <c r="H777" t="inlineStr">
        <is>
          <t>No</t>
        </is>
      </c>
      <c r="J777" s="96" t="n">
        <v>46294</v>
      </c>
      <c r="K777" s="96" t="n">
        <v>46171</v>
      </c>
      <c r="M777" t="inlineStr">
        <is>
          <t>Managed Services (MSP)</t>
        </is>
      </c>
      <c r="O777" t="inlineStr">
        <is>
          <t>Jyothsna Nanda kishore</t>
        </is>
      </c>
      <c r="Y777" s="96" t="n">
        <v>46155</v>
      </c>
      <c r="Z777" t="inlineStr">
        <is>
          <t>https://app.hubspot.com/contacts/243046792/record/0-3/324817947322</t>
        </is>
      </c>
    </row>
    <row r="778">
      <c r="A778" t="n">
        <v>777</v>
      </c>
      <c r="B778" t="inlineStr">
        <is>
          <t>325178878706</t>
        </is>
      </c>
      <c r="C778" t="inlineStr">
        <is>
          <t>SP-2026-0007</t>
        </is>
      </c>
      <c r="D778" t="inlineStr">
        <is>
          <t>SHAREPOINT REDESIGN SERVICES</t>
        </is>
      </c>
      <c r="E778" t="inlineStr">
        <is>
          <t>SUPERIOR COURT OF CALIFORNIA, COUNTY OF NEVADA</t>
        </is>
      </c>
      <c r="F778" t="inlineStr">
        <is>
          <t>California</t>
        </is>
      </c>
      <c r="G778" t="inlineStr">
        <is>
          <t>Closed Lost</t>
        </is>
      </c>
      <c r="H778" t="inlineStr">
        <is>
          <t>No</t>
        </is>
      </c>
      <c r="J778" s="96" t="n">
        <v>46294</v>
      </c>
      <c r="K778" s="96" t="n">
        <v>46171</v>
      </c>
      <c r="L778" s="65" t="n">
        <v>89695</v>
      </c>
      <c r="M778" t="inlineStr">
        <is>
          <t>Modernization / Migration</t>
        </is>
      </c>
      <c r="O778" t="inlineStr">
        <is>
          <t>Jyothsna Nanda kishore</t>
        </is>
      </c>
      <c r="Y778" s="96" t="n">
        <v>46156</v>
      </c>
      <c r="Z778" t="inlineStr">
        <is>
          <t>https://app.hubspot.com/contacts/243046792/record/0-3/325178878706</t>
        </is>
      </c>
    </row>
    <row r="779">
      <c r="A779" t="n">
        <v>778</v>
      </c>
      <c r="B779" t="inlineStr">
        <is>
          <t>325799457482</t>
        </is>
      </c>
      <c r="D779" t="inlineStr">
        <is>
          <t>University of Cleveland Ohio  - Workday Augmentation Resourcing</t>
        </is>
      </c>
      <c r="E779" t="inlineStr">
        <is>
          <t>University of Cleveland Ohio</t>
        </is>
      </c>
      <c r="F779" t="inlineStr">
        <is>
          <t>Ohio</t>
        </is>
      </c>
      <c r="G779" t="inlineStr">
        <is>
          <t>Intent to Award</t>
        </is>
      </c>
      <c r="H779" t="inlineStr">
        <is>
          <t>No</t>
        </is>
      </c>
      <c r="J779" s="96" t="n">
        <v>46175</v>
      </c>
      <c r="K779" s="96" t="n">
        <v>46171</v>
      </c>
      <c r="M779" t="inlineStr">
        <is>
          <t>Staff Augmentation</t>
        </is>
      </c>
      <c r="O779" t="inlineStr">
        <is>
          <t>Savya Atrey</t>
        </is>
      </c>
      <c r="S779" s="96" t="n">
        <v>46204</v>
      </c>
      <c r="Y779" s="96" t="n">
        <v>46162</v>
      </c>
      <c r="Z779" t="inlineStr">
        <is>
          <t>https://app.hubspot.com/contacts/243046792/record/0-3/325799457482</t>
        </is>
      </c>
    </row>
    <row r="780">
      <c r="A780" t="n">
        <v>779</v>
      </c>
      <c r="B780" t="inlineStr">
        <is>
          <t>326062879448</t>
        </is>
      </c>
      <c r="C780" t="inlineStr">
        <is>
          <t>Professional Services No. SLCI26063</t>
        </is>
      </c>
      <c r="D780" t="inlineStr">
        <is>
          <t>Salt Lake City Corporation Professional Services SLCI26063 Cyber Security Training</t>
        </is>
      </c>
      <c r="E780" t="inlineStr">
        <is>
          <t xml:space="preserve">Salt Lake City </t>
        </is>
      </c>
      <c r="F780" t="inlineStr">
        <is>
          <t>Utah</t>
        </is>
      </c>
      <c r="G780" t="inlineStr">
        <is>
          <t>Submitted</t>
        </is>
      </c>
      <c r="H780" t="inlineStr">
        <is>
          <t>No</t>
        </is>
      </c>
      <c r="J780" s="96" t="n">
        <v>46176</v>
      </c>
      <c r="K780" s="96" t="n">
        <v>46171</v>
      </c>
      <c r="M780" t="inlineStr">
        <is>
          <t>Training</t>
        </is>
      </c>
      <c r="N780" t="inlineStr">
        <is>
          <t>Portal</t>
        </is>
      </c>
      <c r="O780" t="inlineStr">
        <is>
          <t>Savya Atrey</t>
        </is>
      </c>
      <c r="Y780" s="96" t="n">
        <v>46163</v>
      </c>
      <c r="Z780" t="inlineStr">
        <is>
          <t>https://app.hubspot.com/contacts/243046792/record/0-3/326062879448</t>
        </is>
      </c>
    </row>
    <row r="781">
      <c r="A781" t="n">
        <v>780</v>
      </c>
      <c r="B781" t="inlineStr">
        <is>
          <t>277652547262</t>
        </is>
      </c>
      <c r="D781" t="inlineStr">
        <is>
          <t>DCHFA-25-0087 - Microsoft 365 Training and Consulting Services</t>
        </is>
      </c>
      <c r="E781" t="inlineStr">
        <is>
          <t>District of Columbia Housing Finance Agency</t>
        </is>
      </c>
      <c r="F781" t="inlineStr">
        <is>
          <t>Washington, D.C.</t>
        </is>
      </c>
      <c r="G781" t="inlineStr">
        <is>
          <t>Submitted</t>
        </is>
      </c>
      <c r="H781" t="inlineStr">
        <is>
          <t>No</t>
        </is>
      </c>
      <c r="J781" s="96" t="n">
        <v>46177</v>
      </c>
      <c r="K781" s="96" t="n">
        <v>46171</v>
      </c>
      <c r="L781" s="65" t="n">
        <v>106520</v>
      </c>
      <c r="M781" t="inlineStr">
        <is>
          <t>Training;Consulting</t>
        </is>
      </c>
      <c r="N781" t="inlineStr">
        <is>
          <t>Email</t>
        </is>
      </c>
      <c r="O781" t="inlineStr">
        <is>
          <t>Jyothsna Nanda kishore</t>
        </is>
      </c>
      <c r="Y781" t="inlineStr">
        <is>
          <t>2026-01-29</t>
        </is>
      </c>
      <c r="Z781" t="inlineStr">
        <is>
          <t>https://app.hubspot.com/contacts/243046792/record/0-3/277652547262</t>
        </is>
      </c>
    </row>
    <row r="782">
      <c r="A782" t="n">
        <v>781</v>
      </c>
      <c r="B782" t="inlineStr">
        <is>
          <t>323641689849</t>
        </is>
      </c>
      <c r="D782" t="inlineStr">
        <is>
          <t xml:space="preserve"> Enterprise Institutional Analytics and Data Platform</t>
        </is>
      </c>
      <c r="E782" t="inlineStr">
        <is>
          <t>Salt Lake Community College</t>
        </is>
      </c>
      <c r="F782" t="inlineStr">
        <is>
          <t>Utah</t>
        </is>
      </c>
      <c r="G782" t="inlineStr">
        <is>
          <t>Submitted</t>
        </is>
      </c>
      <c r="H782" t="inlineStr">
        <is>
          <t>No</t>
        </is>
      </c>
      <c r="J782" s="96" t="n">
        <v>46174</v>
      </c>
      <c r="K782" s="96" t="n">
        <v>46173</v>
      </c>
      <c r="O782" t="inlineStr">
        <is>
          <t>Ashutosh Chauhan</t>
        </is>
      </c>
      <c r="Y782" s="96" t="n">
        <v>46148</v>
      </c>
      <c r="Z782" t="inlineStr">
        <is>
          <t>https://app.hubspot.com/contacts/243046792/record/0-3/323641689849</t>
        </is>
      </c>
    </row>
    <row r="783">
      <c r="A783" t="n">
        <v>782</v>
      </c>
      <c r="B783" t="inlineStr">
        <is>
          <t>324817487549</t>
        </is>
      </c>
      <c r="D783" t="inlineStr">
        <is>
          <t>AI Delivery Lead (CMAS RFO)</t>
        </is>
      </c>
      <c r="E783" t="inlineStr">
        <is>
          <t>California State Teachers' Retirement System</t>
        </is>
      </c>
      <c r="F783" t="inlineStr">
        <is>
          <t>California</t>
        </is>
      </c>
      <c r="G783" t="inlineStr">
        <is>
          <t>Submitted</t>
        </is>
      </c>
      <c r="H783" t="inlineStr">
        <is>
          <t>No</t>
        </is>
      </c>
      <c r="J783" s="96" t="n">
        <v>46175</v>
      </c>
      <c r="K783" s="96" t="n">
        <v>46173</v>
      </c>
      <c r="O783" t="inlineStr">
        <is>
          <t>Ashutosh Chauhan</t>
        </is>
      </c>
      <c r="Y783" s="96" t="n">
        <v>46157</v>
      </c>
      <c r="Z783" t="inlineStr">
        <is>
          <t>https://app.hubspot.com/contacts/243046792/record/0-3/324817487549</t>
        </is>
      </c>
    </row>
    <row r="784">
      <c r="A784" t="n">
        <v>783</v>
      </c>
      <c r="B784" t="inlineStr">
        <is>
          <t>324289943249</t>
        </is>
      </c>
      <c r="C784" t="inlineStr">
        <is>
          <t>RFQ 2857-27</t>
        </is>
      </c>
      <c r="D784" t="inlineStr">
        <is>
          <t>Microsoft Office 365 Licensing</t>
        </is>
      </c>
      <c r="E784" t="inlineStr">
        <is>
          <t>City of Branson</t>
        </is>
      </c>
      <c r="F784" t="inlineStr">
        <is>
          <t>Missouri</t>
        </is>
      </c>
      <c r="G784" t="inlineStr">
        <is>
          <t>Closed Lost</t>
        </is>
      </c>
      <c r="H784" t="inlineStr">
        <is>
          <t>No</t>
        </is>
      </c>
      <c r="J784" s="96" t="n">
        <v>46176</v>
      </c>
      <c r="K784" s="96" t="n">
        <v>46174</v>
      </c>
      <c r="L784" s="65" t="n">
        <v>65694</v>
      </c>
      <c r="M784" t="inlineStr">
        <is>
          <t>Reseller</t>
        </is>
      </c>
      <c r="N784" t="inlineStr">
        <is>
          <t>Portal</t>
        </is>
      </c>
      <c r="O784" t="inlineStr">
        <is>
          <t>Ashutosh Chauhan</t>
        </is>
      </c>
      <c r="Y784" t="inlineStr">
        <is>
          <t>2026-05-08</t>
        </is>
      </c>
      <c r="Z784" t="inlineStr">
        <is>
          <t>https://app.hubspot.com/contacts/243046792/record/0-3/324289943249</t>
        </is>
      </c>
    </row>
    <row r="785">
      <c r="A785" t="n">
        <v>784</v>
      </c>
      <c r="B785" t="inlineStr">
        <is>
          <t>326363911876</t>
        </is>
      </c>
      <c r="C785" t="inlineStr">
        <is>
          <t>136910</t>
        </is>
      </c>
      <c r="D785" t="inlineStr">
        <is>
          <t>Managed Cybersecurity Services</t>
        </is>
      </c>
      <c r="E785" t="inlineStr">
        <is>
          <t>Webster Groves School District</t>
        </is>
      </c>
      <c r="F785" t="inlineStr">
        <is>
          <t>Missouri</t>
        </is>
      </c>
      <c r="G785" t="inlineStr">
        <is>
          <t>Submitted</t>
        </is>
      </c>
      <c r="H785" t="inlineStr">
        <is>
          <t>No</t>
        </is>
      </c>
      <c r="J785" s="96" t="n">
        <v>46174</v>
      </c>
      <c r="K785" s="96" t="n">
        <v>46174</v>
      </c>
      <c r="L785" s="65" t="n">
        <v>131425</v>
      </c>
      <c r="M785" t="inlineStr">
        <is>
          <t>Managed Services (MSP)</t>
        </is>
      </c>
      <c r="N785" t="inlineStr">
        <is>
          <t>Email</t>
        </is>
      </c>
      <c r="O785" t="inlineStr">
        <is>
          <t>Ashutosh Chauhan</t>
        </is>
      </c>
      <c r="Y785" s="96" t="n">
        <v>46169</v>
      </c>
      <c r="Z785" t="inlineStr">
        <is>
          <t>https://app.hubspot.com/contacts/243046792/record/0-3/326363911876</t>
        </is>
      </c>
    </row>
    <row r="786">
      <c r="A786" t="n">
        <v>785</v>
      </c>
      <c r="B786" t="inlineStr">
        <is>
          <t>325724111572</t>
        </is>
      </c>
      <c r="D786" t="inlineStr">
        <is>
          <t>IT Network Installation Services</t>
        </is>
      </c>
      <c r="E786" t="inlineStr">
        <is>
          <t>Wake County Board of Education [NC]</t>
        </is>
      </c>
      <c r="F786" t="inlineStr">
        <is>
          <t>North Carolina</t>
        </is>
      </c>
      <c r="G786" t="inlineStr">
        <is>
          <t>Closed Lost</t>
        </is>
      </c>
      <c r="H786" t="inlineStr">
        <is>
          <t>No</t>
        </is>
      </c>
      <c r="J786" s="96" t="n">
        <v>46294</v>
      </c>
      <c r="K786" s="96" t="n">
        <v>46176</v>
      </c>
      <c r="O786" t="inlineStr">
        <is>
          <t>Jyothsna Nanda kishore</t>
        </is>
      </c>
      <c r="Y786" s="96" t="n">
        <v>46161</v>
      </c>
      <c r="Z786" t="inlineStr">
        <is>
          <t>https://app.hubspot.com/contacts/243046792/record/0-3/325724111572</t>
        </is>
      </c>
    </row>
    <row r="787">
      <c r="A787" t="n">
        <v>786</v>
      </c>
      <c r="B787" t="inlineStr">
        <is>
          <t>325179333340</t>
        </is>
      </c>
      <c r="D787" t="inlineStr">
        <is>
          <t>Security Information and Event Management System</t>
        </is>
      </c>
      <c r="E787" t="inlineStr">
        <is>
          <t>City of Homer</t>
        </is>
      </c>
      <c r="F787" t="inlineStr">
        <is>
          <t>Alaska</t>
        </is>
      </c>
      <c r="G787" t="inlineStr">
        <is>
          <t>RFx Cancelled</t>
        </is>
      </c>
      <c r="H787" t="inlineStr">
        <is>
          <t>No</t>
        </is>
      </c>
      <c r="J787" s="96" t="n">
        <v>46178</v>
      </c>
      <c r="K787" s="96" t="n">
        <v>46176</v>
      </c>
      <c r="M787" t="inlineStr">
        <is>
          <t>Consulting;Custom development</t>
        </is>
      </c>
      <c r="O787" t="inlineStr">
        <is>
          <t>Jyothsna Nanda kishore</t>
        </is>
      </c>
      <c r="Y787" s="96" t="n">
        <v>46161</v>
      </c>
      <c r="Z787" t="inlineStr">
        <is>
          <t>https://app.hubspot.com/contacts/243046792/record/0-3/325179333340</t>
        </is>
      </c>
    </row>
    <row r="788">
      <c r="A788" t="n">
        <v>787</v>
      </c>
      <c r="B788" t="inlineStr">
        <is>
          <t>324067736284</t>
        </is>
      </c>
      <c r="C788" t="inlineStr">
        <is>
          <t>2026-01</t>
        </is>
      </c>
      <c r="D788" t="inlineStr">
        <is>
          <t>APA Microsoft SharePoint Maintenance RFP</t>
        </is>
      </c>
      <c r="E788" t="inlineStr">
        <is>
          <t xml:space="preserve">Office of the Auditors of Public Accounts (APA)	</t>
        </is>
      </c>
      <c r="F788" t="inlineStr">
        <is>
          <t>Virginia</t>
        </is>
      </c>
      <c r="G788" t="inlineStr">
        <is>
          <t>Closed Lost</t>
        </is>
      </c>
      <c r="H788" t="inlineStr">
        <is>
          <t>No</t>
        </is>
      </c>
      <c r="J788" s="96" t="n">
        <v>46293</v>
      </c>
      <c r="K788" s="96" t="n">
        <v>46177</v>
      </c>
      <c r="M788" t="inlineStr">
        <is>
          <t>Support &amp; Maintenance</t>
        </is>
      </c>
      <c r="N788" t="inlineStr">
        <is>
          <t>Email</t>
        </is>
      </c>
      <c r="O788" t="inlineStr">
        <is>
          <t>Ashutosh Chauhan</t>
        </is>
      </c>
      <c r="Y788" t="inlineStr">
        <is>
          <t>2026-05-07</t>
        </is>
      </c>
      <c r="Z788" t="inlineStr">
        <is>
          <t>https://app.hubspot.com/contacts/243046792/record/0-3/324067736284</t>
        </is>
      </c>
    </row>
    <row r="789">
      <c r="A789" t="n">
        <v>788</v>
      </c>
      <c r="B789" t="inlineStr">
        <is>
          <t>326400089829</t>
        </is>
      </c>
      <c r="D789" t="inlineStr">
        <is>
          <t xml:space="preserve">Deliverable-Based Artificial Intelligence (AI) Assessment, Strategy, Implementation and Managed Services </t>
        </is>
      </c>
      <c r="E789" t="inlineStr">
        <is>
          <t>State of Ohio - Department of Administrative Services</t>
        </is>
      </c>
      <c r="F789" t="inlineStr">
        <is>
          <t>Ohio</t>
        </is>
      </c>
      <c r="G789" t="inlineStr">
        <is>
          <t>Closed Lost</t>
        </is>
      </c>
      <c r="H789" t="inlineStr">
        <is>
          <t>No</t>
        </is>
      </c>
      <c r="J789" s="96" t="n">
        <v>46266</v>
      </c>
      <c r="K789" s="96" t="n">
        <v>46177</v>
      </c>
      <c r="M789" t="inlineStr">
        <is>
          <t>Managed Services (MSP)</t>
        </is>
      </c>
      <c r="O789" t="inlineStr">
        <is>
          <t>Jyothsna Nanda kishore</t>
        </is>
      </c>
      <c r="Y789" s="96" t="n">
        <v>46171</v>
      </c>
      <c r="Z789" t="inlineStr">
        <is>
          <t>https://app.hubspot.com/contacts/243046792/record/0-3/326400089829</t>
        </is>
      </c>
    </row>
    <row r="790">
      <c r="A790" t="n">
        <v>789</v>
      </c>
      <c r="B790" t="inlineStr">
        <is>
          <t>326613630693</t>
        </is>
      </c>
      <c r="C790" t="inlineStr">
        <is>
          <t>26.0026</t>
        </is>
      </c>
      <c r="D790" t="inlineStr">
        <is>
          <t>Cybersecurity</t>
        </is>
      </c>
      <c r="E790" t="inlineStr">
        <is>
          <t>Ann Arbor Public Schools</t>
        </is>
      </c>
      <c r="F790" t="inlineStr">
        <is>
          <t>Michigan</t>
        </is>
      </c>
      <c r="G790" t="inlineStr">
        <is>
          <t>Submitted</t>
        </is>
      </c>
      <c r="H790" t="inlineStr">
        <is>
          <t>No</t>
        </is>
      </c>
      <c r="J790" s="96" t="n">
        <v>46177</v>
      </c>
      <c r="K790" s="96" t="n">
        <v>46177</v>
      </c>
      <c r="O790" t="inlineStr">
        <is>
          <t>Ashutosh Chauhan</t>
        </is>
      </c>
      <c r="Y790" s="96" t="n">
        <v>46169</v>
      </c>
      <c r="Z790" t="inlineStr">
        <is>
          <t>https://app.hubspot.com/contacts/243046792/record/0-3/326613630693</t>
        </is>
      </c>
    </row>
    <row r="791">
      <c r="A791" t="n">
        <v>790</v>
      </c>
      <c r="B791" t="inlineStr">
        <is>
          <t>326613739215</t>
        </is>
      </c>
      <c r="D791" t="inlineStr">
        <is>
          <t>SQL for IT Services</t>
        </is>
      </c>
      <c r="E791" t="inlineStr">
        <is>
          <t>City of Tontitown</t>
        </is>
      </c>
      <c r="F791" t="inlineStr">
        <is>
          <t>Arkansas</t>
        </is>
      </c>
      <c r="G791" t="inlineStr">
        <is>
          <t>Submitted</t>
        </is>
      </c>
      <c r="H791" t="inlineStr">
        <is>
          <t>No</t>
        </is>
      </c>
      <c r="J791" s="96" t="n">
        <v>46182</v>
      </c>
      <c r="K791" s="96" t="n">
        <v>46177</v>
      </c>
      <c r="M791" t="inlineStr">
        <is>
          <t>Managed Services (MSP)</t>
        </is>
      </c>
      <c r="N791" t="inlineStr">
        <is>
          <t>Offline</t>
        </is>
      </c>
      <c r="O791" t="inlineStr">
        <is>
          <t>Jyothsna Nanda kishore</t>
        </is>
      </c>
      <c r="Y791" s="96" t="n">
        <v>46170</v>
      </c>
      <c r="Z791" t="inlineStr">
        <is>
          <t>https://app.hubspot.com/contacts/243046792/record/0-3/326613739215</t>
        </is>
      </c>
    </row>
    <row r="792">
      <c r="A792" t="n">
        <v>791</v>
      </c>
      <c r="B792" t="inlineStr">
        <is>
          <t>325800181469</t>
        </is>
      </c>
      <c r="D792" t="inlineStr">
        <is>
          <t>Lake Tahoe Info Software Consultant</t>
        </is>
      </c>
      <c r="E792" t="inlineStr">
        <is>
          <t>Tahoe Regional Planning Agency</t>
        </is>
      </c>
      <c r="F792" t="inlineStr">
        <is>
          <t>California</t>
        </is>
      </c>
      <c r="G792" t="inlineStr">
        <is>
          <t>Closed Lost</t>
        </is>
      </c>
      <c r="H792" t="inlineStr">
        <is>
          <t>No</t>
        </is>
      </c>
      <c r="J792" s="96" t="n">
        <v>46190</v>
      </c>
      <c r="K792" s="96" t="n">
        <v>46178</v>
      </c>
      <c r="M792" t="inlineStr">
        <is>
          <t>Staff Augmentation</t>
        </is>
      </c>
      <c r="N792" t="inlineStr">
        <is>
          <t>Email</t>
        </is>
      </c>
      <c r="O792" t="inlineStr">
        <is>
          <t>Ashutosh Chauhan</t>
        </is>
      </c>
      <c r="Y792" t="inlineStr">
        <is>
          <t>2026-05-20</t>
        </is>
      </c>
      <c r="Z792" t="inlineStr">
        <is>
          <t>https://app.hubspot.com/contacts/243046792/record/0-3/325800181469</t>
        </is>
      </c>
    </row>
    <row r="793">
      <c r="A793" t="n">
        <v>792</v>
      </c>
      <c r="B793" t="inlineStr">
        <is>
          <t>323518613209</t>
        </is>
      </c>
      <c r="D793" t="inlineStr">
        <is>
          <t>IT Managed Services Provider RFP</t>
        </is>
      </c>
      <c r="E793" t="inlineStr">
        <is>
          <t>Southeastern Colorado Water Conservancy District (SECWCD</t>
        </is>
      </c>
      <c r="F793" t="inlineStr">
        <is>
          <t>Colorado</t>
        </is>
      </c>
      <c r="G793" t="inlineStr">
        <is>
          <t>Submitted</t>
        </is>
      </c>
      <c r="H793" t="inlineStr">
        <is>
          <t>No</t>
        </is>
      </c>
      <c r="J793" s="96" t="n">
        <v>46178</v>
      </c>
      <c r="K793" s="96" t="n">
        <v>46178</v>
      </c>
      <c r="M793" t="inlineStr">
        <is>
          <t>Managed Services (MSP)</t>
        </is>
      </c>
      <c r="O793" t="inlineStr">
        <is>
          <t>Yash More</t>
        </is>
      </c>
      <c r="Y793" s="96" t="n">
        <v>46149</v>
      </c>
      <c r="Z793" t="inlineStr">
        <is>
          <t>https://app.hubspot.com/contacts/243046792/record/0-3/323518613209</t>
        </is>
      </c>
    </row>
    <row r="794">
      <c r="A794" t="n">
        <v>793</v>
      </c>
      <c r="B794" t="inlineStr">
        <is>
          <t>321926822619</t>
        </is>
      </c>
      <c r="C794" t="inlineStr">
        <is>
          <t>IT0420-2662</t>
        </is>
      </c>
      <c r="D794" t="inlineStr">
        <is>
          <t>OFF - Cyber Security Consultant</t>
        </is>
      </c>
      <c r="E794" t="inlineStr">
        <is>
          <t>Nassau County Procurement</t>
        </is>
      </c>
      <c r="F794" t="inlineStr">
        <is>
          <t>New York</t>
        </is>
      </c>
      <c r="G794" t="inlineStr">
        <is>
          <t>Submitted</t>
        </is>
      </c>
      <c r="H794" t="inlineStr">
        <is>
          <t>No</t>
        </is>
      </c>
      <c r="J794" s="96" t="n">
        <v>46178</v>
      </c>
      <c r="K794" s="96" t="n">
        <v>46178</v>
      </c>
      <c r="L794" s="65" t="n">
        <v>749050</v>
      </c>
      <c r="M794" t="inlineStr">
        <is>
          <t>Consulting;Audits and Assessment</t>
        </is>
      </c>
      <c r="N794" t="inlineStr">
        <is>
          <t>Offline</t>
        </is>
      </c>
      <c r="O794" t="inlineStr">
        <is>
          <t>Ashutosh Chauhan</t>
        </is>
      </c>
      <c r="Y794" s="96" t="n">
        <v>46135</v>
      </c>
      <c r="Z794" t="inlineStr">
        <is>
          <t>https://app.hubspot.com/contacts/243046792/record/0-3/321926822619</t>
        </is>
      </c>
    </row>
    <row r="795">
      <c r="A795" t="n">
        <v>794</v>
      </c>
      <c r="B795" t="inlineStr">
        <is>
          <t>325250685643</t>
        </is>
      </c>
      <c r="D795" t="inlineStr">
        <is>
          <t>Microsoft Support Services</t>
        </is>
      </c>
      <c r="E795" t="inlineStr">
        <is>
          <t>Princeton University</t>
        </is>
      </c>
      <c r="F795" t="inlineStr">
        <is>
          <t>New Jersey</t>
        </is>
      </c>
      <c r="G795" t="inlineStr">
        <is>
          <t>Closed Lost</t>
        </is>
      </c>
      <c r="H795" t="inlineStr">
        <is>
          <t>Yes</t>
        </is>
      </c>
      <c r="I795" t="inlineStr">
        <is>
          <t>Interview Scheduled</t>
        </is>
      </c>
      <c r="J795" s="96" t="n">
        <v>46220</v>
      </c>
      <c r="K795" s="96" t="n">
        <v>46178</v>
      </c>
      <c r="L795" t="n">
        <v>210000</v>
      </c>
      <c r="M795" t="inlineStr">
        <is>
          <t>Support &amp; Maintenance</t>
        </is>
      </c>
      <c r="N795" t="inlineStr">
        <is>
          <t>Portal</t>
        </is>
      </c>
      <c r="O795" t="inlineStr">
        <is>
          <t>Ashutosh Chauhan</t>
        </is>
      </c>
      <c r="P795" t="inlineStr">
        <is>
          <t>Interview Scheduled</t>
        </is>
      </c>
      <c r="Q795" s="96" t="n">
        <v>46212</v>
      </c>
      <c r="Y795" s="96" t="n">
        <v>46161</v>
      </c>
      <c r="Z795" t="inlineStr">
        <is>
          <t>https://app.hubspot.com/contacts/243046792/record/0-3/325250685643</t>
        </is>
      </c>
    </row>
    <row r="796">
      <c r="A796" t="n">
        <v>795</v>
      </c>
      <c r="B796" t="inlineStr">
        <is>
          <t>326366112465</t>
        </is>
      </c>
      <c r="C796" t="inlineStr">
        <is>
          <t>2526-309</t>
        </is>
      </c>
      <c r="D796" t="inlineStr">
        <is>
          <t>Superior Court of California, County of Ventura - Microsoft Licensing</t>
        </is>
      </c>
      <c r="E796" t="inlineStr">
        <is>
          <t>SUPERIOR COURT OF CALFORNIA - COUNTY OF VENTURA</t>
        </is>
      </c>
      <c r="F796" t="inlineStr">
        <is>
          <t>California</t>
        </is>
      </c>
      <c r="G796" t="inlineStr">
        <is>
          <t>Closed Won</t>
        </is>
      </c>
      <c r="H796" t="inlineStr">
        <is>
          <t>No</t>
        </is>
      </c>
      <c r="J796" s="96" t="n">
        <v>46289</v>
      </c>
      <c r="K796" s="96" t="n">
        <v>46178</v>
      </c>
      <c r="L796" t="n">
        <v>885500</v>
      </c>
      <c r="M796" t="inlineStr">
        <is>
          <t>Consulting;Reseller</t>
        </is>
      </c>
      <c r="N796" t="inlineStr">
        <is>
          <t>Email</t>
        </is>
      </c>
      <c r="O796" t="inlineStr">
        <is>
          <t>Savya Atrey</t>
        </is>
      </c>
      <c r="S796" s="96" t="n">
        <v>46203</v>
      </c>
      <c r="U796" s="96" t="n">
        <v>46203</v>
      </c>
      <c r="Y796" t="inlineStr">
        <is>
          <t>2026-05-28</t>
        </is>
      </c>
      <c r="Z796" t="inlineStr">
        <is>
          <t>https://app.hubspot.com/contacts/243046792/record/0-3/326366112465</t>
        </is>
      </c>
    </row>
    <row r="797">
      <c r="A797" t="n">
        <v>796</v>
      </c>
      <c r="B797" t="inlineStr">
        <is>
          <t>323641794238</t>
        </is>
      </c>
      <c r="C797" t="inlineStr">
        <is>
          <t>RFQ 2025-001</t>
        </is>
      </c>
      <c r="D797" t="inlineStr">
        <is>
          <t>OFF - Information Technology Managed Services</t>
        </is>
      </c>
      <c r="E797" t="inlineStr">
        <is>
          <t xml:space="preserve">TOWN OF LITCHFIELD	</t>
        </is>
      </c>
      <c r="F797" t="inlineStr">
        <is>
          <t>Connecticut</t>
        </is>
      </c>
      <c r="G797" t="inlineStr">
        <is>
          <t>Submitted</t>
        </is>
      </c>
      <c r="H797" t="inlineStr">
        <is>
          <t>No</t>
        </is>
      </c>
      <c r="J797" s="96" t="n">
        <v>46178</v>
      </c>
      <c r="K797" s="96" t="n">
        <v>46178</v>
      </c>
      <c r="L797" s="65" t="n">
        <v>142200</v>
      </c>
      <c r="M797" t="inlineStr">
        <is>
          <t>Managed Services (MSP)</t>
        </is>
      </c>
      <c r="N797" t="inlineStr">
        <is>
          <t>Offline</t>
        </is>
      </c>
      <c r="O797" t="inlineStr">
        <is>
          <t>Ashutosh Chauhan</t>
        </is>
      </c>
      <c r="Y797" t="inlineStr">
        <is>
          <t>2026-05-07</t>
        </is>
      </c>
      <c r="Z797" t="inlineStr">
        <is>
          <t>https://app.hubspot.com/contacts/243046792/record/0-3/323641794238</t>
        </is>
      </c>
    </row>
    <row r="798">
      <c r="A798" t="n">
        <v>797</v>
      </c>
      <c r="B798" t="inlineStr">
        <is>
          <t>323237521095</t>
        </is>
      </c>
      <c r="D798" t="inlineStr">
        <is>
          <t>Support Service</t>
        </is>
      </c>
      <c r="E798" t="inlineStr">
        <is>
          <t>Massachusetts Clean Energy Center (MassCEC)</t>
        </is>
      </c>
      <c r="F798" t="inlineStr">
        <is>
          <t>Massachusetts</t>
        </is>
      </c>
      <c r="G798" t="inlineStr">
        <is>
          <t>Submitted</t>
        </is>
      </c>
      <c r="H798" t="inlineStr">
        <is>
          <t>No</t>
        </is>
      </c>
      <c r="J798" s="96" t="n">
        <v>46178</v>
      </c>
      <c r="K798" s="96" t="n">
        <v>46178</v>
      </c>
      <c r="M798" t="inlineStr">
        <is>
          <t>Managed Services (MSP)</t>
        </is>
      </c>
      <c r="O798" t="inlineStr">
        <is>
          <t>Savya Atrey</t>
        </is>
      </c>
      <c r="Y798" s="96" t="n">
        <v>46142</v>
      </c>
      <c r="Z798" t="inlineStr">
        <is>
          <t>https://app.hubspot.com/contacts/243046792/record/0-3/323237521095</t>
        </is>
      </c>
    </row>
    <row r="799">
      <c r="A799" t="n">
        <v>798</v>
      </c>
      <c r="B799" t="inlineStr">
        <is>
          <t>325178877672</t>
        </is>
      </c>
      <c r="D799" t="inlineStr">
        <is>
          <t>PostgreSQL Database Support Services</t>
        </is>
      </c>
      <c r="E799" t="inlineStr">
        <is>
          <t>Electric Reliability Council of Texas</t>
        </is>
      </c>
      <c r="F799" t="inlineStr">
        <is>
          <t>Texas</t>
        </is>
      </c>
      <c r="G799" t="inlineStr">
        <is>
          <t>Interview</t>
        </is>
      </c>
      <c r="H799" t="inlineStr">
        <is>
          <t>Yes</t>
        </is>
      </c>
      <c r="J799" s="96" t="n">
        <v>46178</v>
      </c>
      <c r="K799" s="96" t="n">
        <v>46178</v>
      </c>
      <c r="L799" s="65" t="n">
        <v>463400</v>
      </c>
      <c r="M799" t="inlineStr">
        <is>
          <t>Support &amp; Maintenance</t>
        </is>
      </c>
      <c r="N799" t="inlineStr">
        <is>
          <t>Portal</t>
        </is>
      </c>
      <c r="O799" t="inlineStr">
        <is>
          <t>Savya Atrey</t>
        </is>
      </c>
      <c r="P799" t="inlineStr">
        <is>
          <t>Interview Scheduled</t>
        </is>
      </c>
      <c r="Q799" s="96" t="n">
        <v>46226</v>
      </c>
      <c r="Y799" s="96" t="n">
        <v>46156</v>
      </c>
      <c r="Z799" t="inlineStr">
        <is>
          <t>https://app.hubspot.com/contacts/243046792/record/0-3/325178877672</t>
        </is>
      </c>
    </row>
    <row r="800">
      <c r="A800" t="n">
        <v>799</v>
      </c>
      <c r="B800" t="inlineStr">
        <is>
          <t>324090579667</t>
        </is>
      </c>
      <c r="D800" t="inlineStr">
        <is>
          <t>Cyber Incident Response Services</t>
        </is>
      </c>
      <c r="E800" t="inlineStr">
        <is>
          <t>Teacher Retirement System of Texas</t>
        </is>
      </c>
      <c r="F800" t="inlineStr">
        <is>
          <t>Texas</t>
        </is>
      </c>
      <c r="G800" t="inlineStr">
        <is>
          <t>Submitted</t>
        </is>
      </c>
      <c r="H800" t="inlineStr">
        <is>
          <t>No</t>
        </is>
      </c>
      <c r="J800" s="96" t="n">
        <v>46178</v>
      </c>
      <c r="K800" s="96" t="n">
        <v>46178</v>
      </c>
      <c r="L800" t="n">
        <v>97100</v>
      </c>
      <c r="M800" t="inlineStr">
        <is>
          <t>Audits and Assessment</t>
        </is>
      </c>
      <c r="N800" t="inlineStr">
        <is>
          <t>Portal</t>
        </is>
      </c>
      <c r="O800" t="inlineStr">
        <is>
          <t>Jyothsna Nanda kishore</t>
        </is>
      </c>
      <c r="Y800" s="96" t="n">
        <v>46148</v>
      </c>
      <c r="Z800" t="inlineStr">
        <is>
          <t>https://app.hubspot.com/contacts/243046792/record/0-3/324090579667</t>
        </is>
      </c>
    </row>
    <row r="801">
      <c r="A801" t="n">
        <v>800</v>
      </c>
      <c r="B801" t="inlineStr">
        <is>
          <t>328206903007</t>
        </is>
      </c>
      <c r="D801" t="inlineStr">
        <is>
          <t>IT Managed Services</t>
        </is>
      </c>
      <c r="E801" t="inlineStr">
        <is>
          <t>Town of Kingsbury</t>
        </is>
      </c>
      <c r="F801" t="inlineStr">
        <is>
          <t>New York</t>
        </is>
      </c>
      <c r="G801" t="inlineStr">
        <is>
          <t>Submitted</t>
        </is>
      </c>
      <c r="H801" t="inlineStr">
        <is>
          <t>No</t>
        </is>
      </c>
      <c r="J801" s="96" t="n">
        <v>46181</v>
      </c>
      <c r="K801" s="96" t="n">
        <v>46178</v>
      </c>
      <c r="L801" t="n">
        <v>17520</v>
      </c>
      <c r="M801" t="inlineStr">
        <is>
          <t>Managed Services (MSP)</t>
        </is>
      </c>
      <c r="O801" t="inlineStr">
        <is>
          <t>Jyothsna Nanda kishore</t>
        </is>
      </c>
      <c r="Y801" s="96" t="n">
        <v>46177</v>
      </c>
      <c r="Z801" t="inlineStr">
        <is>
          <t>https://app.hubspot.com/contacts/243046792/record/0-3/328206903007</t>
        </is>
      </c>
    </row>
    <row r="802">
      <c r="A802" t="n">
        <v>801</v>
      </c>
      <c r="B802" t="inlineStr">
        <is>
          <t>324817243890</t>
        </is>
      </c>
      <c r="D802" t="inlineStr">
        <is>
          <t>Software Training Services</t>
        </is>
      </c>
      <c r="E802" t="inlineStr">
        <is>
          <t>City of Castle Pines</t>
        </is>
      </c>
      <c r="F802" t="inlineStr">
        <is>
          <t>Colorado</t>
        </is>
      </c>
      <c r="G802" t="inlineStr">
        <is>
          <t>Closed Lost</t>
        </is>
      </c>
      <c r="H802" t="inlineStr">
        <is>
          <t>Yes</t>
        </is>
      </c>
      <c r="J802" s="96" t="n">
        <v>46230</v>
      </c>
      <c r="K802" s="96" t="n">
        <v>46181</v>
      </c>
      <c r="M802" t="inlineStr">
        <is>
          <t>Training</t>
        </is>
      </c>
      <c r="O802" t="inlineStr">
        <is>
          <t>Savya Atrey</t>
        </is>
      </c>
      <c r="P802" t="inlineStr">
        <is>
          <t>Interview Scheduled</t>
        </is>
      </c>
      <c r="Q802" s="96" t="n">
        <v>46226</v>
      </c>
      <c r="Y802" s="96" t="n">
        <v>46155</v>
      </c>
      <c r="Z802" t="inlineStr">
        <is>
          <t>https://app.hubspot.com/contacts/243046792/record/0-3/324817243890</t>
        </is>
      </c>
    </row>
    <row r="803">
      <c r="A803" t="n">
        <v>802</v>
      </c>
      <c r="B803" t="inlineStr">
        <is>
          <t>324841723629</t>
        </is>
      </c>
      <c r="D803" t="inlineStr">
        <is>
          <t>Enterprise Resource Planning (ERP) Assessment Consulting Services</t>
        </is>
      </c>
      <c r="E803" t="inlineStr">
        <is>
          <t>City of Thousand Oaks</t>
        </is>
      </c>
      <c r="F803" t="inlineStr">
        <is>
          <t>California</t>
        </is>
      </c>
      <c r="G803" t="inlineStr">
        <is>
          <t>Submitted</t>
        </is>
      </c>
      <c r="H803" t="inlineStr">
        <is>
          <t>No</t>
        </is>
      </c>
      <c r="J803" s="96" t="n">
        <v>46181</v>
      </c>
      <c r="K803" s="96" t="n">
        <v>46181</v>
      </c>
      <c r="O803" t="inlineStr">
        <is>
          <t>Ashutosh Chauhan</t>
        </is>
      </c>
      <c r="Y803" s="96" t="n">
        <v>46155</v>
      </c>
      <c r="Z803" t="inlineStr">
        <is>
          <t>https://app.hubspot.com/contacts/243046792/record/0-3/324841723629</t>
        </is>
      </c>
    </row>
    <row r="804">
      <c r="A804" t="n">
        <v>803</v>
      </c>
      <c r="B804" t="inlineStr">
        <is>
          <t>326399881922</t>
        </is>
      </c>
      <c r="D804" t="inlineStr">
        <is>
          <t>Adaptation Clearinghouse Modernization Services</t>
        </is>
      </c>
      <c r="E804" t="inlineStr">
        <is>
          <t>Governor’s Office of Land Use and Climate Innovation</t>
        </is>
      </c>
      <c r="F804" t="inlineStr">
        <is>
          <t>California</t>
        </is>
      </c>
      <c r="G804" t="inlineStr">
        <is>
          <t>Submitted</t>
        </is>
      </c>
      <c r="H804" t="inlineStr">
        <is>
          <t>No</t>
        </is>
      </c>
      <c r="J804" s="96" t="n">
        <v>46181</v>
      </c>
      <c r="K804" s="96" t="n">
        <v>46181</v>
      </c>
      <c r="L804" t="n">
        <v>177259.5</v>
      </c>
      <c r="M804" t="inlineStr">
        <is>
          <t>Support &amp; Maintenance</t>
        </is>
      </c>
      <c r="N804" t="inlineStr">
        <is>
          <t>Email</t>
        </is>
      </c>
      <c r="O804" t="inlineStr">
        <is>
          <t>Jyothsna Nanda kishore</t>
        </is>
      </c>
      <c r="Y804" t="inlineStr">
        <is>
          <t>2026-05-27</t>
        </is>
      </c>
      <c r="Z804" t="inlineStr">
        <is>
          <t>https://app.hubspot.com/contacts/243046792/record/0-3/326399881922</t>
        </is>
      </c>
    </row>
    <row r="805">
      <c r="A805" t="n">
        <v>804</v>
      </c>
      <c r="B805" t="inlineStr">
        <is>
          <t>324845234878</t>
        </is>
      </c>
      <c r="C805" t="inlineStr">
        <is>
          <t>IT_RFP_20260428</t>
        </is>
      </c>
      <c r="D805" t="inlineStr">
        <is>
          <t>Penetration Testing Services</t>
        </is>
      </c>
      <c r="E805" t="inlineStr">
        <is>
          <t>Grand Traverse County</t>
        </is>
      </c>
      <c r="F805" t="inlineStr">
        <is>
          <t>Michigan</t>
        </is>
      </c>
      <c r="G805" t="inlineStr">
        <is>
          <t>Submitted</t>
        </is>
      </c>
      <c r="H805" t="inlineStr">
        <is>
          <t>No</t>
        </is>
      </c>
      <c r="J805" s="96" t="n">
        <v>46181</v>
      </c>
      <c r="K805" s="96" t="n">
        <v>46181</v>
      </c>
      <c r="L805" s="65" t="n">
        <v>58500</v>
      </c>
      <c r="M805" t="inlineStr">
        <is>
          <t>Audits and Assessment</t>
        </is>
      </c>
      <c r="N805" t="inlineStr">
        <is>
          <t>Portal</t>
        </is>
      </c>
      <c r="O805" t="inlineStr">
        <is>
          <t>Ashutosh Chauhan</t>
        </is>
      </c>
      <c r="Y805" s="96" t="n">
        <v>46155</v>
      </c>
      <c r="Z805" t="inlineStr">
        <is>
          <t>https://app.hubspot.com/contacts/243046792/record/0-3/324845234878</t>
        </is>
      </c>
    </row>
    <row r="806">
      <c r="A806" t="n">
        <v>805</v>
      </c>
      <c r="B806" t="inlineStr">
        <is>
          <t>326363491063</t>
        </is>
      </c>
      <c r="D806" t="inlineStr">
        <is>
          <t>CRM DATABASE FOR ECONOMIC WORKFORCE DEVELOPMENT</t>
        </is>
      </c>
      <c r="E806" t="inlineStr">
        <is>
          <t>Dupage County</t>
        </is>
      </c>
      <c r="F806" t="inlineStr">
        <is>
          <t>Illinois</t>
        </is>
      </c>
      <c r="G806" t="inlineStr">
        <is>
          <t>Submitted</t>
        </is>
      </c>
      <c r="H806" t="inlineStr">
        <is>
          <t>No</t>
        </is>
      </c>
      <c r="J806" s="96" t="n">
        <v>46181</v>
      </c>
      <c r="K806" s="96" t="n">
        <v>46181</v>
      </c>
      <c r="M806" t="inlineStr">
        <is>
          <t>Platform Implementation (ERP, CRMs)</t>
        </is>
      </c>
      <c r="O806" t="inlineStr">
        <is>
          <t>Savya Atrey</t>
        </is>
      </c>
      <c r="Y806" t="inlineStr">
        <is>
          <t>2026-05-22</t>
        </is>
      </c>
      <c r="Z806" t="inlineStr">
        <is>
          <t>https://app.hubspot.com/contacts/243046792/record/0-3/326363491063</t>
        </is>
      </c>
    </row>
    <row r="807">
      <c r="A807" t="n">
        <v>806</v>
      </c>
      <c r="B807" t="inlineStr">
        <is>
          <t>327055505092</t>
        </is>
      </c>
      <c r="D807" t="inlineStr">
        <is>
          <t>Cloud Developer (Rebid)</t>
        </is>
      </c>
      <c r="E807" t="inlineStr">
        <is>
          <t>California State Teachers' Retirement System</t>
        </is>
      </c>
      <c r="F807" t="inlineStr">
        <is>
          <t>California</t>
        </is>
      </c>
      <c r="G807" t="inlineStr">
        <is>
          <t>Submitted</t>
        </is>
      </c>
      <c r="H807" t="inlineStr">
        <is>
          <t>No</t>
        </is>
      </c>
      <c r="J807" s="96" t="n">
        <v>46182</v>
      </c>
      <c r="K807" s="96" t="n">
        <v>46182</v>
      </c>
      <c r="O807" t="inlineStr">
        <is>
          <t>Ashutosh Chauhan</t>
        </is>
      </c>
      <c r="Y807" s="96" t="n">
        <v>46170</v>
      </c>
      <c r="Z807" t="inlineStr">
        <is>
          <t>https://app.hubspot.com/contacts/243046792/record/0-3/327055505092</t>
        </is>
      </c>
    </row>
    <row r="808">
      <c r="A808" t="n">
        <v>807</v>
      </c>
      <c r="B808" t="inlineStr">
        <is>
          <t>324965646056</t>
        </is>
      </c>
      <c r="C808" t="inlineStr">
        <is>
          <t>2026-05</t>
        </is>
      </c>
      <c r="D808" t="inlineStr">
        <is>
          <t>OFF - IT Support Services</t>
        </is>
      </c>
      <c r="E808" t="inlineStr">
        <is>
          <t>City of Arcadia</t>
        </is>
      </c>
      <c r="F808" t="inlineStr">
        <is>
          <t>California</t>
        </is>
      </c>
      <c r="G808" t="inlineStr">
        <is>
          <t>Closed Lost</t>
        </is>
      </c>
      <c r="H808" t="inlineStr">
        <is>
          <t>Yes</t>
        </is>
      </c>
      <c r="J808" s="96" t="n">
        <v>46310</v>
      </c>
      <c r="K808" s="96" t="n">
        <v>46182</v>
      </c>
      <c r="L808" s="65" t="n">
        <v>2181376</v>
      </c>
      <c r="M808" t="inlineStr">
        <is>
          <t>Managed Services (MSP)</t>
        </is>
      </c>
      <c r="N808" t="inlineStr">
        <is>
          <t>Offline</t>
        </is>
      </c>
      <c r="O808" t="inlineStr">
        <is>
          <t>Ashutosh Chauhan</t>
        </is>
      </c>
      <c r="P808" t="inlineStr">
        <is>
          <t>Interview Scheduled</t>
        </is>
      </c>
      <c r="Q808" s="96" t="n">
        <v>46212</v>
      </c>
      <c r="Y808" t="inlineStr">
        <is>
          <t>2026-05-13</t>
        </is>
      </c>
      <c r="Z808" t="inlineStr">
        <is>
          <t>https://app.hubspot.com/contacts/243046792/record/0-3/324965646056</t>
        </is>
      </c>
    </row>
    <row r="809">
      <c r="A809" t="n">
        <v>808</v>
      </c>
      <c r="B809" t="inlineStr">
        <is>
          <t>328507897580</t>
        </is>
      </c>
      <c r="D809" t="inlineStr">
        <is>
          <t>To Provide a Comprehensive Managed Information Technology Services</t>
        </is>
      </c>
      <c r="E809" t="inlineStr">
        <is>
          <t>City of South El Monte</t>
        </is>
      </c>
      <c r="F809" t="inlineStr">
        <is>
          <t>California</t>
        </is>
      </c>
      <c r="G809" t="inlineStr">
        <is>
          <t>Closed Lost</t>
        </is>
      </c>
      <c r="H809" t="inlineStr">
        <is>
          <t>No</t>
        </is>
      </c>
      <c r="J809" s="96" t="n">
        <v>46282</v>
      </c>
      <c r="K809" s="96" t="n">
        <v>46182</v>
      </c>
      <c r="L809" s="65" t="n">
        <v>200440</v>
      </c>
      <c r="M809" t="inlineStr">
        <is>
          <t>Managed Services (MSP)</t>
        </is>
      </c>
      <c r="O809" t="inlineStr">
        <is>
          <t>Jyothsna Nanda kishore</t>
        </is>
      </c>
      <c r="Y809" t="inlineStr">
        <is>
          <t>2026-06-05</t>
        </is>
      </c>
      <c r="Z809" t="inlineStr">
        <is>
          <t>https://app.hubspot.com/contacts/243046792/record/0-3/328507897580</t>
        </is>
      </c>
    </row>
    <row r="810">
      <c r="A810" t="n">
        <v>809</v>
      </c>
      <c r="B810" t="inlineStr">
        <is>
          <t>323518507709</t>
        </is>
      </c>
      <c r="C810" t="inlineStr">
        <is>
          <t>BPM007489</t>
        </is>
      </c>
      <c r="D810" t="inlineStr">
        <is>
          <t>End-User Support Services</t>
        </is>
      </c>
      <c r="E810" t="inlineStr">
        <is>
          <t>Arizona Department of Child Safety (ADCS)</t>
        </is>
      </c>
      <c r="F810" t="inlineStr">
        <is>
          <t>Arizona</t>
        </is>
      </c>
      <c r="G810" t="inlineStr">
        <is>
          <t>RFx Cancelled</t>
        </is>
      </c>
      <c r="H810" t="inlineStr">
        <is>
          <t>Yes</t>
        </is>
      </c>
      <c r="J810" s="96" t="n">
        <v>46183</v>
      </c>
      <c r="K810" s="96" t="n">
        <v>46183</v>
      </c>
      <c r="L810" s="65" t="n">
        <v>441000</v>
      </c>
      <c r="M810" t="inlineStr">
        <is>
          <t>Managed Services (MSP)</t>
        </is>
      </c>
      <c r="N810" t="inlineStr">
        <is>
          <t>Portal</t>
        </is>
      </c>
      <c r="O810" t="inlineStr">
        <is>
          <t>Ashutosh Chauhan</t>
        </is>
      </c>
      <c r="Q810" s="96" t="n">
        <v>46240</v>
      </c>
      <c r="Y810" s="96" t="n">
        <v>46148</v>
      </c>
      <c r="Z810" t="inlineStr">
        <is>
          <t>https://app.hubspot.com/contacts/243046792/record/0-3/323518507709</t>
        </is>
      </c>
    </row>
    <row r="811">
      <c r="A811" t="n">
        <v>810</v>
      </c>
      <c r="B811" t="inlineStr">
        <is>
          <t>327055504103</t>
        </is>
      </c>
      <c r="D811" t="inlineStr">
        <is>
          <t>Quality Management Test Analyst</t>
        </is>
      </c>
      <c r="E811" t="inlineStr">
        <is>
          <t>California State Teachers' Retirement System</t>
        </is>
      </c>
      <c r="F811" t="inlineStr">
        <is>
          <t>California</t>
        </is>
      </c>
      <c r="G811" t="inlineStr">
        <is>
          <t>Submitted</t>
        </is>
      </c>
      <c r="H811" t="inlineStr">
        <is>
          <t>No</t>
        </is>
      </c>
      <c r="J811" s="96" t="n">
        <v>46183</v>
      </c>
      <c r="K811" s="96" t="n">
        <v>46183</v>
      </c>
      <c r="N811" t="inlineStr">
        <is>
          <t>Email</t>
        </is>
      </c>
      <c r="O811" t="inlineStr">
        <is>
          <t>Ashutosh Chauhan</t>
        </is>
      </c>
      <c r="Y811" s="96" t="n">
        <v>46170</v>
      </c>
      <c r="Z811" t="inlineStr">
        <is>
          <t>https://app.hubspot.com/contacts/243046792/record/0-3/327055504103</t>
        </is>
      </c>
    </row>
    <row r="812">
      <c r="A812" t="n">
        <v>811</v>
      </c>
      <c r="B812" t="inlineStr">
        <is>
          <t>323230408389</t>
        </is>
      </c>
      <c r="D812" t="inlineStr">
        <is>
          <t>Expanded Information Technology Deployment Program Plan</t>
        </is>
      </c>
      <c r="E812" t="inlineStr">
        <is>
          <t>Kansas Highway Patrol</t>
        </is>
      </c>
      <c r="F812" t="inlineStr">
        <is>
          <t>Kansas</t>
        </is>
      </c>
      <c r="G812" t="inlineStr">
        <is>
          <t>Closed Lost</t>
        </is>
      </c>
      <c r="H812" t="inlineStr">
        <is>
          <t>No</t>
        </is>
      </c>
      <c r="J812" s="96" t="n">
        <v>46295</v>
      </c>
      <c r="K812" s="96" t="n">
        <v>46184</v>
      </c>
      <c r="M812" t="inlineStr">
        <is>
          <t>Consulting</t>
        </is>
      </c>
      <c r="O812" t="inlineStr">
        <is>
          <t>Savya Atrey</t>
        </is>
      </c>
      <c r="Y812" s="96" t="n">
        <v>46143</v>
      </c>
      <c r="Z812" t="inlineStr">
        <is>
          <t>https://app.hubspot.com/contacts/243046792/record/0-3/323230408389</t>
        </is>
      </c>
    </row>
    <row r="813">
      <c r="A813" t="n">
        <v>812</v>
      </c>
      <c r="B813" t="inlineStr">
        <is>
          <t>324845356757</t>
        </is>
      </c>
      <c r="D813" t="inlineStr">
        <is>
          <t>Project Leader Services - ERP Project</t>
        </is>
      </c>
      <c r="E813" t="inlineStr">
        <is>
          <t>Reading Municipal Light Department</t>
        </is>
      </c>
      <c r="F813" t="inlineStr">
        <is>
          <t>Massachusetts</t>
        </is>
      </c>
      <c r="G813" t="inlineStr">
        <is>
          <t>Closed Lost</t>
        </is>
      </c>
      <c r="H813" t="inlineStr">
        <is>
          <t>No</t>
        </is>
      </c>
      <c r="J813" s="96" t="n">
        <v>46294</v>
      </c>
      <c r="K813" s="96" t="n">
        <v>46184</v>
      </c>
      <c r="M813" t="inlineStr">
        <is>
          <t>Platform Implementation (ERP, CRMs);Consulting</t>
        </is>
      </c>
      <c r="N813" t="inlineStr">
        <is>
          <t>Email</t>
        </is>
      </c>
      <c r="O813" t="inlineStr">
        <is>
          <t>Jyothsna Nanda kishore</t>
        </is>
      </c>
      <c r="Y813" s="96" t="n">
        <v>46156</v>
      </c>
      <c r="Z813" t="inlineStr">
        <is>
          <t>https://app.hubspot.com/contacts/243046792/record/0-3/324845356757</t>
        </is>
      </c>
    </row>
    <row r="814">
      <c r="A814" t="n">
        <v>813</v>
      </c>
      <c r="B814" t="inlineStr">
        <is>
          <t>324841723618</t>
        </is>
      </c>
      <c r="C814" t="inlineStr">
        <is>
          <t xml:space="preserve"> 2026-SWB-30 </t>
        </is>
      </c>
      <c r="D814" t="inlineStr">
        <is>
          <t xml:space="preserve">Information Technology Professional Services </t>
        </is>
      </c>
      <c r="E814" t="inlineStr">
        <is>
          <t xml:space="preserve"> Sewerage and Water Board of New Orleans</t>
        </is>
      </c>
      <c r="F814" t="inlineStr">
        <is>
          <t>Louisiana</t>
        </is>
      </c>
      <c r="G814" t="inlineStr">
        <is>
          <t>Closed Lost</t>
        </is>
      </c>
      <c r="H814" t="inlineStr">
        <is>
          <t>No</t>
        </is>
      </c>
      <c r="J814" s="96" t="n">
        <v>46237</v>
      </c>
      <c r="K814" s="96" t="n">
        <v>46184</v>
      </c>
      <c r="O814" t="inlineStr">
        <is>
          <t>Jyothsna Nanda kishore</t>
        </is>
      </c>
      <c r="Y814" t="inlineStr">
        <is>
          <t>2026-05-13</t>
        </is>
      </c>
      <c r="Z814" t="inlineStr">
        <is>
          <t>https://app.hubspot.com/contacts/243046792/record/0-3/324841723618</t>
        </is>
      </c>
    </row>
    <row r="815">
      <c r="A815" t="n">
        <v>814</v>
      </c>
      <c r="B815" t="inlineStr">
        <is>
          <t>329109009096</t>
        </is>
      </c>
      <c r="C815" t="inlineStr">
        <is>
          <t>931036</t>
        </is>
      </c>
      <c r="D815" t="inlineStr">
        <is>
          <t>Cybersecurity Assessment (Rebid)</t>
        </is>
      </c>
      <c r="E815" t="inlineStr">
        <is>
          <t>Michigan State University</t>
        </is>
      </c>
      <c r="F815" t="inlineStr">
        <is>
          <t>Michigan</t>
        </is>
      </c>
      <c r="G815" t="inlineStr">
        <is>
          <t>Submitted</t>
        </is>
      </c>
      <c r="H815" t="inlineStr">
        <is>
          <t>No</t>
        </is>
      </c>
      <c r="J815" s="96" t="n">
        <v>46184</v>
      </c>
      <c r="K815" s="96" t="n">
        <v>46184</v>
      </c>
      <c r="L815" s="65" t="n">
        <v>93000</v>
      </c>
      <c r="M815" t="inlineStr">
        <is>
          <t>Audits and Assessment</t>
        </is>
      </c>
      <c r="N815" t="inlineStr">
        <is>
          <t>Email</t>
        </is>
      </c>
      <c r="O815" t="inlineStr">
        <is>
          <t>Yash More</t>
        </is>
      </c>
      <c r="Y815" t="inlineStr">
        <is>
          <t>2026-06-08</t>
        </is>
      </c>
      <c r="Z815" t="inlineStr">
        <is>
          <t>https://app.hubspot.com/contacts/243046792/record/0-3/329109009096</t>
        </is>
      </c>
    </row>
    <row r="816">
      <c r="A816" t="n">
        <v>815</v>
      </c>
      <c r="B816" t="inlineStr">
        <is>
          <t>324940454591</t>
        </is>
      </c>
      <c r="D816" t="inlineStr">
        <is>
          <t>ISTS Platform Modernization</t>
        </is>
      </c>
      <c r="E816" t="inlineStr">
        <is>
          <t>International Scholarship and Tuition Services, Inc. (ISTS)</t>
        </is>
      </c>
      <c r="F816" t="inlineStr">
        <is>
          <t>Tennessee</t>
        </is>
      </c>
      <c r="G816" t="inlineStr">
        <is>
          <t>Closed Lost</t>
        </is>
      </c>
      <c r="H816" t="inlineStr">
        <is>
          <t>Yes</t>
        </is>
      </c>
      <c r="J816" s="96" t="n">
        <v>46294</v>
      </c>
      <c r="K816" s="96" t="n">
        <v>46185</v>
      </c>
      <c r="L816" t="n">
        <v>830644</v>
      </c>
      <c r="M816" t="inlineStr">
        <is>
          <t>Platform Implementation (ERP, CRMs)</t>
        </is>
      </c>
      <c r="O816" t="inlineStr">
        <is>
          <t>Ashutosh Chauhan</t>
        </is>
      </c>
      <c r="P816" t="inlineStr">
        <is>
          <t>Interview Scheduled</t>
        </is>
      </c>
      <c r="Q816" s="96" t="n">
        <v>46220</v>
      </c>
      <c r="Y816" s="96" t="n">
        <v>46155</v>
      </c>
      <c r="Z816" t="inlineStr">
        <is>
          <t>https://app.hubspot.com/contacts/243046792/record/0-3/324940454591</t>
        </is>
      </c>
    </row>
    <row r="817">
      <c r="A817" t="n">
        <v>816</v>
      </c>
      <c r="B817" t="inlineStr">
        <is>
          <t>324841842395</t>
        </is>
      </c>
      <c r="D817" t="inlineStr">
        <is>
          <t>OFF - IT Management &amp; Related Services</t>
        </is>
      </c>
      <c r="E817" t="inlineStr">
        <is>
          <t>Jackson Housing Authority</t>
        </is>
      </c>
      <c r="F817" t="inlineStr">
        <is>
          <t>Mississippi</t>
        </is>
      </c>
      <c r="G817" t="inlineStr">
        <is>
          <t>Closed Lost</t>
        </is>
      </c>
      <c r="H817" t="inlineStr">
        <is>
          <t>No</t>
        </is>
      </c>
      <c r="J817" s="96" t="n">
        <v>46227</v>
      </c>
      <c r="K817" s="96" t="n">
        <v>46185</v>
      </c>
      <c r="L817" s="65" t="n">
        <v>172908</v>
      </c>
      <c r="M817" t="inlineStr">
        <is>
          <t>Managed Services (MSP)</t>
        </is>
      </c>
      <c r="N817" t="inlineStr">
        <is>
          <t>Offline;Email</t>
        </is>
      </c>
      <c r="O817" t="inlineStr">
        <is>
          <t>Ashutosh Chauhan</t>
        </is>
      </c>
      <c r="Y817" t="inlineStr">
        <is>
          <t>2026-05-14</t>
        </is>
      </c>
      <c r="Z817" t="inlineStr">
        <is>
          <t>https://app.hubspot.com/contacts/243046792/record/0-3/324841842395</t>
        </is>
      </c>
    </row>
    <row r="818">
      <c r="A818" t="n">
        <v>817</v>
      </c>
      <c r="B818" t="inlineStr">
        <is>
          <t>323518615255</t>
        </is>
      </c>
      <c r="D818" t="inlineStr">
        <is>
          <t>Consultant Services for the Acquisition of an Enterprise Resource Planning (ERP) Software System</t>
        </is>
      </c>
      <c r="E818" t="inlineStr">
        <is>
          <t>City of Murrieta</t>
        </is>
      </c>
      <c r="F818" t="inlineStr">
        <is>
          <t>California</t>
        </is>
      </c>
      <c r="G818" t="inlineStr">
        <is>
          <t>Submitted</t>
        </is>
      </c>
      <c r="H818" t="inlineStr">
        <is>
          <t>No</t>
        </is>
      </c>
      <c r="J818" s="96" t="n">
        <v>46185</v>
      </c>
      <c r="K818" s="96" t="n">
        <v>46185</v>
      </c>
      <c r="M818" t="inlineStr">
        <is>
          <t>Platform Implementation (ERP, CRMs)</t>
        </is>
      </c>
      <c r="O818" t="inlineStr">
        <is>
          <t>Jyothsna Nanda kishore</t>
        </is>
      </c>
      <c r="Y818" s="96" t="n">
        <v>46149</v>
      </c>
      <c r="Z818" t="inlineStr">
        <is>
          <t>https://app.hubspot.com/contacts/243046792/record/0-3/323518615255</t>
        </is>
      </c>
    </row>
    <row r="819">
      <c r="A819" t="n">
        <v>818</v>
      </c>
      <c r="B819" t="inlineStr">
        <is>
          <t>326366116590</t>
        </is>
      </c>
      <c r="C819" t="inlineStr">
        <is>
          <t>SY 2027</t>
        </is>
      </c>
      <c r="D819" t="inlineStr">
        <is>
          <t xml:space="preserve">Information Technology Services </t>
        </is>
      </c>
      <c r="E819" t="inlineStr">
        <is>
          <t xml:space="preserve">Hope Community Academy </t>
        </is>
      </c>
      <c r="F819" t="inlineStr">
        <is>
          <t>Minnesota</t>
        </is>
      </c>
      <c r="G819" t="inlineStr">
        <is>
          <t>Submitted</t>
        </is>
      </c>
      <c r="H819" t="inlineStr">
        <is>
          <t>No</t>
        </is>
      </c>
      <c r="J819" s="96" t="n">
        <v>46185</v>
      </c>
      <c r="K819" s="96" t="n">
        <v>46185</v>
      </c>
      <c r="L819" s="65" t="n">
        <v>704724</v>
      </c>
      <c r="M819" t="inlineStr">
        <is>
          <t>Managed Services (MSP)</t>
        </is>
      </c>
      <c r="N819" t="inlineStr">
        <is>
          <t>Email</t>
        </is>
      </c>
      <c r="O819" t="inlineStr">
        <is>
          <t>Ashutosh Chauhan</t>
        </is>
      </c>
      <c r="Y819" s="96" t="n">
        <v>46170</v>
      </c>
      <c r="Z819" t="inlineStr">
        <is>
          <t>https://app.hubspot.com/contacts/243046792/record/0-3/326366116590</t>
        </is>
      </c>
    </row>
    <row r="820">
      <c r="A820" t="n">
        <v>819</v>
      </c>
      <c r="B820" t="inlineStr">
        <is>
          <t>325251396300</t>
        </is>
      </c>
      <c r="D820" t="inlineStr">
        <is>
          <t xml:space="preserve">Managed Service Provider </t>
        </is>
      </c>
      <c r="E820" t="inlineStr">
        <is>
          <t xml:space="preserve">National Trust for Historic Preservation </t>
        </is>
      </c>
      <c r="F820" t="inlineStr">
        <is>
          <t>District of Columbia</t>
        </is>
      </c>
      <c r="G820" t="inlineStr">
        <is>
          <t>Closed Lost</t>
        </is>
      </c>
      <c r="H820" t="inlineStr">
        <is>
          <t>No</t>
        </is>
      </c>
      <c r="J820" s="96" t="n">
        <v>46239</v>
      </c>
      <c r="K820" s="96" t="n">
        <v>46185</v>
      </c>
      <c r="L820" t="n">
        <v>446304.3</v>
      </c>
      <c r="O820" t="inlineStr">
        <is>
          <t>Jyothsna Nanda kishore</t>
        </is>
      </c>
      <c r="Y820" t="inlineStr">
        <is>
          <t>2026-05-19</t>
        </is>
      </c>
      <c r="Z820" t="inlineStr">
        <is>
          <t>https://app.hubspot.com/contacts/243046792/record/0-3/325251396300</t>
        </is>
      </c>
    </row>
    <row r="821">
      <c r="A821" t="n">
        <v>820</v>
      </c>
      <c r="B821" t="inlineStr">
        <is>
          <t>324281311985</t>
        </is>
      </c>
      <c r="D821" t="inlineStr">
        <is>
          <t>Cybersecurity Risk Assessment and Penetration Testing Services</t>
        </is>
      </c>
      <c r="E821" t="inlineStr">
        <is>
          <t>Oakland Housing Authority</t>
        </is>
      </c>
      <c r="F821" t="inlineStr">
        <is>
          <t>California</t>
        </is>
      </c>
      <c r="G821" t="inlineStr">
        <is>
          <t>Submitted</t>
        </is>
      </c>
      <c r="H821" t="inlineStr">
        <is>
          <t>No</t>
        </is>
      </c>
      <c r="J821" s="96" t="n">
        <v>46185</v>
      </c>
      <c r="K821" s="96" t="n">
        <v>46185</v>
      </c>
      <c r="O821" t="inlineStr">
        <is>
          <t>Ashutosh Chauhan</t>
        </is>
      </c>
      <c r="Y821" s="96" t="n">
        <v>46150</v>
      </c>
      <c r="Z821" t="inlineStr">
        <is>
          <t>https://app.hubspot.com/contacts/243046792/record/0-3/324281311985</t>
        </is>
      </c>
    </row>
    <row r="822">
      <c r="A822" t="n">
        <v>821</v>
      </c>
      <c r="B822" t="inlineStr">
        <is>
          <t>328507895496</t>
        </is>
      </c>
      <c r="D822" t="inlineStr">
        <is>
          <t>Cybersecurity Penetration Testing</t>
        </is>
      </c>
      <c r="E822" t="inlineStr">
        <is>
          <t xml:space="preserve">North Central Regional Planning Commission (NCRPC) </t>
        </is>
      </c>
      <c r="F822" t="inlineStr">
        <is>
          <t>Kansas</t>
        </is>
      </c>
      <c r="G822" t="inlineStr">
        <is>
          <t>Submitted</t>
        </is>
      </c>
      <c r="H822" t="inlineStr">
        <is>
          <t>No</t>
        </is>
      </c>
      <c r="J822" s="96" t="n">
        <v>46185</v>
      </c>
      <c r="K822" s="96" t="n">
        <v>46185</v>
      </c>
      <c r="M822" t="inlineStr">
        <is>
          <t>Audits and Assessment</t>
        </is>
      </c>
      <c r="O822" t="inlineStr">
        <is>
          <t>Savya Atrey</t>
        </is>
      </c>
      <c r="Y822" s="96" t="n">
        <v>46178</v>
      </c>
      <c r="Z822" t="inlineStr">
        <is>
          <t>https://app.hubspot.com/contacts/243046792/record/0-3/328507895496</t>
        </is>
      </c>
    </row>
    <row r="823">
      <c r="A823" t="n">
        <v>822</v>
      </c>
      <c r="B823" t="inlineStr">
        <is>
          <t>328233005798</t>
        </is>
      </c>
      <c r="C823" t="inlineStr">
        <is>
          <t>14162 - FY27</t>
        </is>
      </c>
      <c r="D823" t="inlineStr">
        <is>
          <t>Microsoft 365 Government</t>
        </is>
      </c>
      <c r="E823" t="inlineStr">
        <is>
          <t>City of Kirkwood</t>
        </is>
      </c>
      <c r="F823" t="inlineStr">
        <is>
          <t>Missouri</t>
        </is>
      </c>
      <c r="G823" t="inlineStr">
        <is>
          <t>RFx Cancelled</t>
        </is>
      </c>
      <c r="H823" t="inlineStr">
        <is>
          <t>No</t>
        </is>
      </c>
      <c r="J823" s="96" t="n">
        <v>46189</v>
      </c>
      <c r="K823" s="96" t="n">
        <v>46189</v>
      </c>
      <c r="L823" s="65" t="n">
        <v>75900.67999999999</v>
      </c>
      <c r="M823" t="inlineStr">
        <is>
          <t>Reseller</t>
        </is>
      </c>
      <c r="N823" t="inlineStr">
        <is>
          <t>Portal</t>
        </is>
      </c>
      <c r="O823" t="inlineStr">
        <is>
          <t>Ashutosh Chauhan</t>
        </is>
      </c>
      <c r="Y823" t="inlineStr">
        <is>
          <t>2026-06-04</t>
        </is>
      </c>
      <c r="Z823" t="inlineStr">
        <is>
          <t>https://app.hubspot.com/contacts/243046792/record/0-3/328233005798</t>
        </is>
      </c>
    </row>
    <row r="824">
      <c r="A824" t="n">
        <v>823</v>
      </c>
      <c r="B824" t="inlineStr">
        <is>
          <t>326063596263</t>
        </is>
      </c>
      <c r="D824" t="inlineStr">
        <is>
          <t>Managed Security Service Provider</t>
        </is>
      </c>
      <c r="E824" t="inlineStr">
        <is>
          <t>City of Winston- Salem</t>
        </is>
      </c>
      <c r="F824" t="inlineStr">
        <is>
          <t>North Carolina</t>
        </is>
      </c>
      <c r="G824" t="inlineStr">
        <is>
          <t>Submitted</t>
        </is>
      </c>
      <c r="H824" t="inlineStr">
        <is>
          <t>No</t>
        </is>
      </c>
      <c r="J824" s="96" t="n">
        <v>46189</v>
      </c>
      <c r="K824" s="96" t="n">
        <v>46189</v>
      </c>
      <c r="L824" t="n">
        <v>120000</v>
      </c>
      <c r="M824" t="inlineStr">
        <is>
          <t>Managed Services (MSP)</t>
        </is>
      </c>
      <c r="O824" t="inlineStr">
        <is>
          <t>Ashutosh Chauhan</t>
        </is>
      </c>
      <c r="Y824" t="inlineStr">
        <is>
          <t>2026-05-21</t>
        </is>
      </c>
      <c r="Z824" t="inlineStr">
        <is>
          <t>https://app.hubspot.com/contacts/243046792/record/0-3/326063596263</t>
        </is>
      </c>
    </row>
    <row r="825">
      <c r="A825" t="n">
        <v>824</v>
      </c>
      <c r="B825" t="inlineStr">
        <is>
          <t>322910023405</t>
        </is>
      </c>
      <c r="D825" t="inlineStr">
        <is>
          <t>OPERATIONAL TECHNOLOGY CYBERSECURITY CONSULTANT SERVICES</t>
        </is>
      </c>
      <c r="E825" t="inlineStr">
        <is>
          <t>University of Connecticut UCONN</t>
        </is>
      </c>
      <c r="F825" t="inlineStr">
        <is>
          <t>Connecticut</t>
        </is>
      </c>
      <c r="G825" t="inlineStr">
        <is>
          <t>Closed Lost</t>
        </is>
      </c>
      <c r="H825" t="inlineStr">
        <is>
          <t>No</t>
        </is>
      </c>
      <c r="J825" s="96" t="n">
        <v>46260</v>
      </c>
      <c r="K825" s="96" t="n">
        <v>46189</v>
      </c>
      <c r="O825" t="inlineStr">
        <is>
          <t>Jyothsna Nanda kishore</t>
        </is>
      </c>
      <c r="Y825" s="96" t="n">
        <v>46141</v>
      </c>
      <c r="Z825" t="inlineStr">
        <is>
          <t>https://app.hubspot.com/contacts/243046792/record/0-3/322910023405</t>
        </is>
      </c>
    </row>
    <row r="826">
      <c r="A826" t="n">
        <v>825</v>
      </c>
      <c r="B826" t="inlineStr">
        <is>
          <t>320622483180</t>
        </is>
      </c>
      <c r="C826" t="inlineStr">
        <is>
          <t>ITN-25-016-PM</t>
        </is>
      </c>
      <c r="D826" t="inlineStr">
        <is>
          <t>Security Information &amp; Event Management (SIEM)</t>
        </is>
      </c>
      <c r="E826" t="inlineStr">
        <is>
          <t>Miami-Dade County Public Schools</t>
        </is>
      </c>
      <c r="F826" t="inlineStr">
        <is>
          <t>Florida</t>
        </is>
      </c>
      <c r="G826" t="inlineStr">
        <is>
          <t>Submitted</t>
        </is>
      </c>
      <c r="H826" t="inlineStr">
        <is>
          <t>No</t>
        </is>
      </c>
      <c r="J826" s="96" t="n">
        <v>46189</v>
      </c>
      <c r="K826" s="96" t="n">
        <v>46189</v>
      </c>
      <c r="L826" s="65" t="n">
        <v>280000</v>
      </c>
      <c r="M826" t="inlineStr">
        <is>
          <t>Managed Services (MSP)</t>
        </is>
      </c>
      <c r="N826" t="inlineStr">
        <is>
          <t>Portal</t>
        </is>
      </c>
      <c r="O826" t="inlineStr">
        <is>
          <t>Ashutosh Chauhan</t>
        </is>
      </c>
      <c r="Y826" s="96" t="n">
        <v>46127</v>
      </c>
      <c r="Z826" t="inlineStr">
        <is>
          <t>https://app.hubspot.com/contacts/243046792/record/0-3/320622483180</t>
        </is>
      </c>
    </row>
    <row r="827">
      <c r="A827" t="n">
        <v>826</v>
      </c>
      <c r="B827" t="inlineStr">
        <is>
          <t>328507896507</t>
        </is>
      </c>
      <c r="D827" t="inlineStr">
        <is>
          <t>Microsoft Intune Deployment</t>
        </is>
      </c>
      <c r="E827" t="inlineStr">
        <is>
          <t>Massachusetts Water Resource Authority</t>
        </is>
      </c>
      <c r="F827" t="inlineStr">
        <is>
          <t>Massachusetts</t>
        </is>
      </c>
      <c r="G827" t="inlineStr">
        <is>
          <t>Closed Lost</t>
        </is>
      </c>
      <c r="H827" t="inlineStr">
        <is>
          <t>No</t>
        </is>
      </c>
      <c r="J827" s="96" t="n">
        <v>46294</v>
      </c>
      <c r="K827" s="96" t="n">
        <v>46189</v>
      </c>
      <c r="L827" s="65" t="n">
        <v>99000</v>
      </c>
      <c r="M827" t="inlineStr">
        <is>
          <t>Modernization / Migration</t>
        </is>
      </c>
      <c r="O827" t="inlineStr">
        <is>
          <t>Jyothsna Nanda kishore</t>
        </is>
      </c>
      <c r="Y827" s="96" t="n">
        <v>46178</v>
      </c>
      <c r="Z827" t="inlineStr">
        <is>
          <t>https://app.hubspot.com/contacts/243046792/record/0-3/328507896507</t>
        </is>
      </c>
    </row>
    <row r="828">
      <c r="A828" t="n">
        <v>827</v>
      </c>
      <c r="B828" t="inlineStr">
        <is>
          <t>327926990528</t>
        </is>
      </c>
      <c r="D828" t="inlineStr">
        <is>
          <t>CYBERSECURITY VULNERABILITY ANALYSIS</t>
        </is>
      </c>
      <c r="E828" t="inlineStr">
        <is>
          <t>Suffolk County Water Authority (SCWA)</t>
        </is>
      </c>
      <c r="F828" t="inlineStr">
        <is>
          <t>New York</t>
        </is>
      </c>
      <c r="G828" t="inlineStr">
        <is>
          <t>Closed Lost</t>
        </is>
      </c>
      <c r="H828" t="inlineStr">
        <is>
          <t>No</t>
        </is>
      </c>
      <c r="J828" s="96" t="n">
        <v>46266</v>
      </c>
      <c r="K828" s="96" t="n">
        <v>46189</v>
      </c>
      <c r="L828" s="65" t="n">
        <v>282500</v>
      </c>
      <c r="M828" t="inlineStr">
        <is>
          <t>Audits and Assessment</t>
        </is>
      </c>
      <c r="O828" t="inlineStr">
        <is>
          <t>Jyothsna Nanda kishore</t>
        </is>
      </c>
      <c r="Y828" s="96" t="n">
        <v>46176</v>
      </c>
      <c r="Z828" t="inlineStr">
        <is>
          <t>https://app.hubspot.com/contacts/243046792/record/0-3/327926990528</t>
        </is>
      </c>
    </row>
    <row r="829">
      <c r="A829" t="n">
        <v>828</v>
      </c>
      <c r="B829" t="inlineStr">
        <is>
          <t>328510515928</t>
        </is>
      </c>
      <c r="D829" t="inlineStr">
        <is>
          <t>UC DAVIS GRADUATE STUDIES SLATE CURRENT SYSTEM UPGRADE</t>
        </is>
      </c>
      <c r="E829" t="inlineStr">
        <is>
          <t xml:space="preserve"> University of California, Davis</t>
        </is>
      </c>
      <c r="F829" t="inlineStr">
        <is>
          <t>California</t>
        </is>
      </c>
      <c r="G829" t="inlineStr">
        <is>
          <t>Submitted</t>
        </is>
      </c>
      <c r="H829" t="inlineStr">
        <is>
          <t>No</t>
        </is>
      </c>
      <c r="J829" s="96" t="n">
        <v>46190</v>
      </c>
      <c r="K829" s="96" t="n">
        <v>46190</v>
      </c>
      <c r="L829" t="n">
        <v>280200</v>
      </c>
      <c r="O829" t="inlineStr">
        <is>
          <t>Jyothsna Nanda kishore</t>
        </is>
      </c>
      <c r="Y829" s="96" t="n">
        <v>46183</v>
      </c>
      <c r="Z829" t="inlineStr">
        <is>
          <t>https://app.hubspot.com/contacts/243046792/record/0-3/328510515928</t>
        </is>
      </c>
    </row>
    <row r="830">
      <c r="A830" t="n">
        <v>829</v>
      </c>
      <c r="B830" t="inlineStr">
        <is>
          <t>327714173632</t>
        </is>
      </c>
      <c r="D830" t="inlineStr">
        <is>
          <t>OpenText Support Services</t>
        </is>
      </c>
      <c r="E830" t="inlineStr">
        <is>
          <t>Philadelphia Gas Works</t>
        </is>
      </c>
      <c r="F830" t="inlineStr">
        <is>
          <t>Pennsylvania</t>
        </is>
      </c>
      <c r="G830" t="inlineStr">
        <is>
          <t>Closed Lost</t>
        </is>
      </c>
      <c r="H830" t="inlineStr">
        <is>
          <t>No</t>
        </is>
      </c>
      <c r="J830" s="96" t="n">
        <v>46294</v>
      </c>
      <c r="K830" s="96" t="n">
        <v>46190</v>
      </c>
      <c r="O830" t="inlineStr">
        <is>
          <t>Jyothsna Nanda kishore</t>
        </is>
      </c>
      <c r="Y830" s="96" t="n">
        <v>46176</v>
      </c>
      <c r="Z830" t="inlineStr">
        <is>
          <t>https://app.hubspot.com/contacts/243046792/record/0-3/327714173632</t>
        </is>
      </c>
    </row>
    <row r="831">
      <c r="A831" t="n">
        <v>830</v>
      </c>
      <c r="B831" t="inlineStr">
        <is>
          <t>325178876663</t>
        </is>
      </c>
      <c r="C831" t="inlineStr">
        <is>
          <t>061726</t>
        </is>
      </c>
      <c r="D831" t="inlineStr">
        <is>
          <t>Enterprise Artificial Intelligence: Platforms, Services, and Integrated Delivery</t>
        </is>
      </c>
      <c r="G831" t="inlineStr">
        <is>
          <t>Submitted</t>
        </is>
      </c>
      <c r="H831" t="inlineStr">
        <is>
          <t>No</t>
        </is>
      </c>
      <c r="J831" s="96" t="n">
        <v>46190</v>
      </c>
      <c r="K831" s="96" t="n">
        <v>46190</v>
      </c>
      <c r="M831" t="inlineStr">
        <is>
          <t>Custom development;Consulting;Modernization / Migration</t>
        </is>
      </c>
      <c r="N831" t="inlineStr">
        <is>
          <t>Portal</t>
        </is>
      </c>
      <c r="O831" t="inlineStr">
        <is>
          <t>Ashutosh Chauhan</t>
        </is>
      </c>
      <c r="Y831" s="96" t="n">
        <v>46156</v>
      </c>
      <c r="Z831" t="inlineStr">
        <is>
          <t>https://app.hubspot.com/contacts/243046792/record/0-3/325178876663</t>
        </is>
      </c>
    </row>
    <row r="832">
      <c r="A832" t="n">
        <v>831</v>
      </c>
      <c r="B832" t="inlineStr">
        <is>
          <t>326398760669</t>
        </is>
      </c>
      <c r="C832" t="inlineStr">
        <is>
          <t>RFP26-016</t>
        </is>
      </c>
      <c r="D832" t="inlineStr">
        <is>
          <t>ENTERPRISE RESOURCE PLANNING (ERP) CONSULTING SERVICES</t>
        </is>
      </c>
      <c r="E832" t="inlineStr">
        <is>
          <t>City of Grand Island</t>
        </is>
      </c>
      <c r="F832" t="inlineStr">
        <is>
          <t>Nebraska</t>
        </is>
      </c>
      <c r="G832" t="inlineStr">
        <is>
          <t>Closed Lost</t>
        </is>
      </c>
      <c r="H832" t="inlineStr">
        <is>
          <t>Yes</t>
        </is>
      </c>
      <c r="J832" s="96" t="n">
        <v>46276</v>
      </c>
      <c r="K832" s="96" t="n">
        <v>46190</v>
      </c>
      <c r="M832" t="inlineStr">
        <is>
          <t>Platform Implementation (ERP, CRMs)</t>
        </is>
      </c>
      <c r="O832" t="inlineStr">
        <is>
          <t>Savya Atrey</t>
        </is>
      </c>
      <c r="Q832" s="96" t="n">
        <v>46240</v>
      </c>
      <c r="Y832" s="96" t="n">
        <v>46164</v>
      </c>
      <c r="Z832" t="inlineStr">
        <is>
          <t>https://app.hubspot.com/contacts/243046792/record/0-3/326398760669</t>
        </is>
      </c>
    </row>
    <row r="833">
      <c r="A833" t="n">
        <v>832</v>
      </c>
      <c r="B833" t="inlineStr">
        <is>
          <t>328510777069</t>
        </is>
      </c>
      <c r="D833" t="inlineStr">
        <is>
          <t>NETWORK PENETRATION TESTING SERVICES</t>
        </is>
      </c>
      <c r="E833" t="inlineStr">
        <is>
          <t>Village of Ossining</t>
        </is>
      </c>
      <c r="F833" t="inlineStr">
        <is>
          <t>New York</t>
        </is>
      </c>
      <c r="G833" t="inlineStr">
        <is>
          <t>Closed Lost</t>
        </is>
      </c>
      <c r="H833" t="inlineStr">
        <is>
          <t>No</t>
        </is>
      </c>
      <c r="J833" s="96" t="n">
        <v>46211</v>
      </c>
      <c r="K833" s="96" t="n">
        <v>46190</v>
      </c>
      <c r="L833" t="n">
        <v>26300</v>
      </c>
      <c r="M833" t="inlineStr">
        <is>
          <t>Audits and Assessment</t>
        </is>
      </c>
      <c r="N833" t="inlineStr">
        <is>
          <t>Offline</t>
        </is>
      </c>
      <c r="O833" t="inlineStr">
        <is>
          <t>Jyothsna Nanda kishore</t>
        </is>
      </c>
      <c r="Y833" s="96" t="n">
        <v>46178</v>
      </c>
      <c r="Z833" t="inlineStr">
        <is>
          <t>https://app.hubspot.com/contacts/243046792/record/0-3/328510777069</t>
        </is>
      </c>
    </row>
    <row r="834">
      <c r="A834" t="n">
        <v>833</v>
      </c>
      <c r="B834" t="inlineStr">
        <is>
          <t>330695319270</t>
        </is>
      </c>
      <c r="C834" t="inlineStr">
        <is>
          <t>FY'26-RFQ-DOH</t>
        </is>
      </c>
      <c r="D834" t="inlineStr">
        <is>
          <t>WIC-PLATFORM DESIGN, LICENSING AND SUPPORT</t>
        </is>
      </c>
      <c r="E834" t="inlineStr">
        <is>
          <t>District of Columbia Department of Health</t>
        </is>
      </c>
      <c r="F834" t="inlineStr">
        <is>
          <t>Washington, D.C.</t>
        </is>
      </c>
      <c r="G834" t="inlineStr">
        <is>
          <t>Submitted</t>
        </is>
      </c>
      <c r="H834" t="inlineStr">
        <is>
          <t>No</t>
        </is>
      </c>
      <c r="J834" s="96" t="n">
        <v>46191</v>
      </c>
      <c r="K834" s="96" t="n">
        <v>46191</v>
      </c>
      <c r="L834" s="65" t="n">
        <v>184462</v>
      </c>
      <c r="M834" t="inlineStr">
        <is>
          <t>Platform Implementation (ERP, CRMs);Custom development;Support &amp; Maintenance</t>
        </is>
      </c>
      <c r="N834" t="inlineStr">
        <is>
          <t>Email;Portal</t>
        </is>
      </c>
      <c r="O834" t="inlineStr">
        <is>
          <t>Ashutosh Chauhan</t>
        </is>
      </c>
      <c r="Y834" t="inlineStr">
        <is>
          <t>2026-06-18</t>
        </is>
      </c>
      <c r="Z834" t="inlineStr">
        <is>
          <t>https://app.hubspot.com/contacts/243046792/record/0-3/330695319270</t>
        </is>
      </c>
    </row>
    <row r="835">
      <c r="A835" t="n">
        <v>834</v>
      </c>
      <c r="B835" t="inlineStr">
        <is>
          <t>328510050040</t>
        </is>
      </c>
      <c r="D835" t="inlineStr">
        <is>
          <t>Technology Transfer Consulting Service - Rebid</t>
        </is>
      </c>
      <c r="E835" t="inlineStr">
        <is>
          <t>College of Charleston</t>
        </is>
      </c>
      <c r="F835" t="inlineStr">
        <is>
          <t>South Carolina</t>
        </is>
      </c>
      <c r="G835" t="inlineStr">
        <is>
          <t>Submitted</t>
        </is>
      </c>
      <c r="H835" t="inlineStr">
        <is>
          <t>No</t>
        </is>
      </c>
      <c r="J835" s="96" t="n">
        <v>46191</v>
      </c>
      <c r="K835" s="96" t="n">
        <v>46191</v>
      </c>
      <c r="M835" t="inlineStr">
        <is>
          <t>Consulting</t>
        </is>
      </c>
      <c r="O835" t="inlineStr">
        <is>
          <t>Ashutosh Chauhan</t>
        </is>
      </c>
      <c r="Y835" s="96" t="n">
        <v>46178</v>
      </c>
      <c r="Z835" t="inlineStr">
        <is>
          <t>https://app.hubspot.com/contacts/243046792/record/0-3/328510050040</t>
        </is>
      </c>
    </row>
    <row r="836">
      <c r="A836" t="n">
        <v>835</v>
      </c>
      <c r="B836" t="inlineStr">
        <is>
          <t>321924668130</t>
        </is>
      </c>
      <c r="C836" t="inlineStr">
        <is>
          <t>Event ID # 1251</t>
        </is>
      </c>
      <c r="D836" t="inlineStr">
        <is>
          <t>Infor Financials v10 On-Demand Support Services</t>
        </is>
      </c>
      <c r="E836" t="inlineStr">
        <is>
          <t>Bexar County</t>
        </is>
      </c>
      <c r="F836" t="inlineStr">
        <is>
          <t>Texas</t>
        </is>
      </c>
      <c r="G836" t="inlineStr">
        <is>
          <t>Submitted</t>
        </is>
      </c>
      <c r="H836" t="inlineStr">
        <is>
          <t>No</t>
        </is>
      </c>
      <c r="J836" s="96" t="n">
        <v>46191</v>
      </c>
      <c r="K836" s="96" t="n">
        <v>46191</v>
      </c>
      <c r="M836" t="inlineStr">
        <is>
          <t>Support &amp; Maintenance</t>
        </is>
      </c>
      <c r="O836" t="inlineStr">
        <is>
          <t>Jyothsna Nanda kishore</t>
        </is>
      </c>
      <c r="Y836" s="96" t="n">
        <v>46135</v>
      </c>
      <c r="Z836" t="inlineStr">
        <is>
          <t>https://app.hubspot.com/contacts/243046792/record/0-3/321924668130</t>
        </is>
      </c>
    </row>
    <row r="837">
      <c r="A837" t="n">
        <v>836</v>
      </c>
      <c r="B837" t="inlineStr">
        <is>
          <t>328510625495</t>
        </is>
      </c>
      <c r="D837" t="inlineStr">
        <is>
          <t>Managed Network Services Provider</t>
        </is>
      </c>
      <c r="E837" t="inlineStr">
        <is>
          <t>ALPINE UNION SCHOOL DISTRICT</t>
        </is>
      </c>
      <c r="F837" t="inlineStr">
        <is>
          <t>California</t>
        </is>
      </c>
      <c r="G837" t="inlineStr">
        <is>
          <t>Closed Lost</t>
        </is>
      </c>
      <c r="H837" t="inlineStr">
        <is>
          <t>No</t>
        </is>
      </c>
      <c r="J837" s="96" t="n">
        <v>46294</v>
      </c>
      <c r="K837" s="96" t="n">
        <v>46192</v>
      </c>
      <c r="L837" s="65" t="n">
        <v>136280</v>
      </c>
      <c r="M837" t="inlineStr">
        <is>
          <t>Managed Services (MSP)</t>
        </is>
      </c>
      <c r="O837" t="inlineStr">
        <is>
          <t>Jyothsna Nanda kishore</t>
        </is>
      </c>
      <c r="Y837" t="inlineStr">
        <is>
          <t>2026-06-11</t>
        </is>
      </c>
      <c r="Z837" t="inlineStr">
        <is>
          <t>https://app.hubspot.com/contacts/243046792/record/0-3/328510625495</t>
        </is>
      </c>
    </row>
    <row r="838">
      <c r="A838" t="n">
        <v>837</v>
      </c>
      <c r="B838" t="inlineStr">
        <is>
          <t>331477789421</t>
        </is>
      </c>
      <c r="D838" t="inlineStr">
        <is>
          <t>Collier County - OPENCollier MPO WordPress Website Maintenance &amp; Hosting - Renewal - 2026 Renewal</t>
        </is>
      </c>
      <c r="E838" t="inlineStr">
        <is>
          <t>Collier County</t>
        </is>
      </c>
      <c r="F838" t="inlineStr">
        <is>
          <t>Florida</t>
        </is>
      </c>
      <c r="G838" t="inlineStr">
        <is>
          <t>Closed Won</t>
        </is>
      </c>
      <c r="H838" t="inlineStr">
        <is>
          <t>No</t>
        </is>
      </c>
      <c r="J838" s="96" t="n">
        <v>46296</v>
      </c>
      <c r="K838" s="96" t="n">
        <v>46192</v>
      </c>
      <c r="L838" s="65" t="n">
        <v>4630</v>
      </c>
      <c r="M838" t="inlineStr">
        <is>
          <t>Managed Services (MSP);Consulting</t>
        </is>
      </c>
      <c r="O838" t="inlineStr">
        <is>
          <t>Ashutosh Chauhan</t>
        </is>
      </c>
      <c r="S838" s="96" t="n">
        <v>46204</v>
      </c>
      <c r="U838" s="96" t="n">
        <v>46204</v>
      </c>
      <c r="Y838" s="96" t="n">
        <v>46192</v>
      </c>
      <c r="Z838" t="inlineStr">
        <is>
          <t>https://app.hubspot.com/contacts/243046792/record/0-3/331477789421</t>
        </is>
      </c>
    </row>
    <row r="839">
      <c r="A839" t="n">
        <v>838</v>
      </c>
      <c r="B839" t="inlineStr">
        <is>
          <t>323642506986</t>
        </is>
      </c>
      <c r="C839" t="inlineStr">
        <is>
          <t>RFP #2026-109</t>
        </is>
      </c>
      <c r="D839" t="inlineStr">
        <is>
          <t>OFF: Digital Accessibility &amp; ADA Compliance Services</t>
        </is>
      </c>
      <c r="E839" t="inlineStr">
        <is>
          <t>Genesee County</t>
        </is>
      </c>
      <c r="F839" t="inlineStr">
        <is>
          <t>New York</t>
        </is>
      </c>
      <c r="G839" t="inlineStr">
        <is>
          <t>RFx Cancelled</t>
        </is>
      </c>
      <c r="H839" t="inlineStr">
        <is>
          <t>No</t>
        </is>
      </c>
      <c r="J839" s="96" t="n">
        <v>46191</v>
      </c>
      <c r="K839" s="96" t="n">
        <v>46195</v>
      </c>
      <c r="L839" s="65" t="n">
        <v>234000</v>
      </c>
      <c r="M839" t="inlineStr">
        <is>
          <t>Platform Implementation (ERP, CRMs);Support &amp; Maintenance;Modernization / Migration</t>
        </is>
      </c>
      <c r="N839" t="inlineStr">
        <is>
          <t>Offline</t>
        </is>
      </c>
      <c r="O839" t="inlineStr">
        <is>
          <t>Ashutosh Chauhan</t>
        </is>
      </c>
      <c r="Y839" t="inlineStr">
        <is>
          <t>2026-05-07</t>
        </is>
      </c>
      <c r="Z839" t="inlineStr">
        <is>
          <t>https://app.hubspot.com/contacts/243046792/record/0-3/323642506986</t>
        </is>
      </c>
    </row>
    <row r="840">
      <c r="A840" t="n">
        <v>839</v>
      </c>
      <c r="B840" t="inlineStr">
        <is>
          <t>329984145091</t>
        </is>
      </c>
      <c r="D840" t="inlineStr">
        <is>
          <t>Veeam Licenses Renewal (Previous Award Renewal)</t>
        </is>
      </c>
      <c r="E840" t="inlineStr">
        <is>
          <t>St. Johns County</t>
        </is>
      </c>
      <c r="F840" t="inlineStr">
        <is>
          <t>Florida</t>
        </is>
      </c>
      <c r="G840" t="inlineStr">
        <is>
          <t>Submitted</t>
        </is>
      </c>
      <c r="H840" t="inlineStr">
        <is>
          <t>No</t>
        </is>
      </c>
      <c r="J840" s="96" t="n">
        <v>46195</v>
      </c>
      <c r="K840" s="96" t="n">
        <v>46195</v>
      </c>
      <c r="M840" t="inlineStr">
        <is>
          <t>Reseller</t>
        </is>
      </c>
      <c r="O840" t="inlineStr">
        <is>
          <t>Ashutosh Chauhan</t>
        </is>
      </c>
      <c r="Y840" t="inlineStr">
        <is>
          <t>2026-06-15</t>
        </is>
      </c>
      <c r="Z840" t="inlineStr">
        <is>
          <t>https://app.hubspot.com/contacts/243046792/record/0-3/329984145091</t>
        </is>
      </c>
    </row>
    <row r="841">
      <c r="A841" t="n">
        <v>840</v>
      </c>
      <c r="B841" t="inlineStr">
        <is>
          <t>330340706039</t>
        </is>
      </c>
      <c r="D841" t="inlineStr">
        <is>
          <t>FY27 Library Automation Statewide OCSS OSC 714 RJL OCSS</t>
        </is>
      </c>
      <c r="E841" t="inlineStr">
        <is>
          <t>Ohio Department of Rehabilitation &amp; Corrections</t>
        </is>
      </c>
      <c r="F841" t="inlineStr">
        <is>
          <t>Ohio</t>
        </is>
      </c>
      <c r="G841" t="inlineStr">
        <is>
          <t>Submitted</t>
        </is>
      </c>
      <c r="H841" t="inlineStr">
        <is>
          <t>No</t>
        </is>
      </c>
      <c r="J841" s="96" t="n">
        <v>46196</v>
      </c>
      <c r="K841" s="96" t="n">
        <v>46195</v>
      </c>
      <c r="O841" t="inlineStr">
        <is>
          <t>Ashutosh Chauhan</t>
        </is>
      </c>
      <c r="Y841" t="inlineStr">
        <is>
          <t>2026-06-17</t>
        </is>
      </c>
      <c r="Z841" t="inlineStr">
        <is>
          <t>https://app.hubspot.com/contacts/243046792/record/0-3/330340706039</t>
        </is>
      </c>
    </row>
    <row r="842">
      <c r="A842" t="n">
        <v>841</v>
      </c>
      <c r="B842" t="inlineStr">
        <is>
          <t>326363911906</t>
        </is>
      </c>
      <c r="C842" t="inlineStr">
        <is>
          <t>P26-59</t>
        </is>
      </c>
      <c r="D842" t="inlineStr">
        <is>
          <t>Enterprise Resource Planning Consulting Services</t>
        </is>
      </c>
      <c r="E842" t="inlineStr">
        <is>
          <t>City of Bangor</t>
        </is>
      </c>
      <c r="F842" t="inlineStr">
        <is>
          <t>Maine</t>
        </is>
      </c>
      <c r="G842" t="inlineStr">
        <is>
          <t>RFx Cancelled</t>
        </is>
      </c>
      <c r="H842" t="inlineStr">
        <is>
          <t>No</t>
        </is>
      </c>
      <c r="J842" s="96" t="n">
        <v>46197</v>
      </c>
      <c r="K842" s="96" t="n">
        <v>46195</v>
      </c>
      <c r="M842" t="inlineStr">
        <is>
          <t>Consulting;Audits and Assessment</t>
        </is>
      </c>
      <c r="O842" t="inlineStr">
        <is>
          <t>Savya Atrey</t>
        </is>
      </c>
      <c r="Y842" t="inlineStr">
        <is>
          <t>2026-05-27</t>
        </is>
      </c>
      <c r="Z842" t="inlineStr">
        <is>
          <t>https://app.hubspot.com/contacts/243046792/record/0-3/326363911906</t>
        </is>
      </c>
    </row>
    <row r="843">
      <c r="A843" t="n">
        <v>842</v>
      </c>
      <c r="B843" t="inlineStr">
        <is>
          <t>328507898596</t>
        </is>
      </c>
      <c r="D843" t="inlineStr">
        <is>
          <t xml:space="preserve">Managed Detection and Response/Endpoint Detection and Response Solution </t>
        </is>
      </c>
      <c r="E843" t="inlineStr">
        <is>
          <t xml:space="preserve">Tuscola Intermediate School District </t>
        </is>
      </c>
      <c r="F843" t="inlineStr">
        <is>
          <t>Michigan</t>
        </is>
      </c>
      <c r="G843" t="inlineStr">
        <is>
          <t>Submitted</t>
        </is>
      </c>
      <c r="H843" t="inlineStr">
        <is>
          <t>No</t>
        </is>
      </c>
      <c r="J843" s="96" t="n">
        <v>46197</v>
      </c>
      <c r="K843" s="96" t="n">
        <v>46197</v>
      </c>
      <c r="L843" t="n">
        <v>808576</v>
      </c>
      <c r="M843" t="inlineStr">
        <is>
          <t>Managed Services (MSP)</t>
        </is>
      </c>
      <c r="O843" t="inlineStr">
        <is>
          <t>Jyothsna Nanda kishore</t>
        </is>
      </c>
      <c r="Y843" t="inlineStr">
        <is>
          <t>2026-06-05</t>
        </is>
      </c>
      <c r="Z843" t="inlineStr">
        <is>
          <t>https://app.hubspot.com/contacts/243046792/record/0-3/328507898596</t>
        </is>
      </c>
    </row>
    <row r="844">
      <c r="A844" t="n">
        <v>843</v>
      </c>
      <c r="B844" t="inlineStr">
        <is>
          <t>322527283932</t>
        </is>
      </c>
      <c r="D844" t="inlineStr">
        <is>
          <t>Test RFX (please ignore)</t>
        </is>
      </c>
      <c r="G844" t="inlineStr">
        <is>
          <t>Intent to Award</t>
        </is>
      </c>
      <c r="H844" t="inlineStr">
        <is>
          <t>No</t>
        </is>
      </c>
      <c r="M844" t="inlineStr">
        <is>
          <t>Training</t>
        </is>
      </c>
      <c r="O844" t="inlineStr">
        <is>
          <t>Akshat Tripathi</t>
        </is>
      </c>
      <c r="S844" t="inlineStr">
        <is>
          <t>2026-05-30</t>
        </is>
      </c>
      <c r="Y844" t="inlineStr">
        <is>
          <t>2026-04-27</t>
        </is>
      </c>
      <c r="Z844" t="inlineStr">
        <is>
          <t>https://app.hubspot.com/contacts/243046792/record/0-3/322527283932</t>
        </is>
      </c>
    </row>
    <row r="845">
      <c r="A845" t="n">
        <v>844</v>
      </c>
      <c r="B845" t="inlineStr">
        <is>
          <t>116977709771</t>
        </is>
      </c>
      <c r="C845" t="inlineStr">
        <is>
          <t>RFP-25-0005</t>
        </is>
      </c>
      <c r="D845" t="inlineStr">
        <is>
          <t>NEIGHBORWORKS AMERICA - IT SERVICES (SOW)</t>
        </is>
      </c>
      <c r="E845" t="inlineStr">
        <is>
          <t>NeighborWorks America</t>
        </is>
      </c>
      <c r="F845" t="inlineStr">
        <is>
          <t>Washington, D.C.</t>
        </is>
      </c>
      <c r="G845" t="inlineStr">
        <is>
          <t>Closed Won</t>
        </is>
      </c>
      <c r="H845" t="inlineStr">
        <is>
          <t>No</t>
        </is>
      </c>
      <c r="J845" s="96" t="n">
        <v>45631</v>
      </c>
      <c r="K845" s="96" t="n">
        <v>45631</v>
      </c>
      <c r="M845" t="inlineStr">
        <is>
          <t>Staff Augmentation</t>
        </is>
      </c>
      <c r="N845" t="inlineStr">
        <is>
          <t>Email</t>
        </is>
      </c>
      <c r="O845" t="inlineStr">
        <is>
          <t>Amber Soni</t>
        </is>
      </c>
      <c r="S845" t="inlineStr">
        <is>
          <t>2025-04-09</t>
        </is>
      </c>
      <c r="U845" s="96" t="n">
        <v>45840</v>
      </c>
      <c r="Y845" t="inlineStr">
        <is>
          <t>2025-07-10</t>
        </is>
      </c>
      <c r="Z845" t="inlineStr">
        <is>
          <t>https://app.hubspot.com/contacts/243046792/record/0-3/116977709771</t>
        </is>
      </c>
      <c r="AA845" t="inlineStr">
        <is>
          <t>No</t>
        </is>
      </c>
    </row>
    <row r="846">
      <c r="A846" t="n">
        <v>845</v>
      </c>
      <c r="B846" t="inlineStr">
        <is>
          <t>145081112265</t>
        </is>
      </c>
      <c r="D846" t="inlineStr">
        <is>
          <t>Technology Strategic Management Consulting</t>
        </is>
      </c>
      <c r="E846" t="inlineStr">
        <is>
          <t>State of Colorado, the Office of Information Technology (OIT)</t>
        </is>
      </c>
      <c r="F846" t="inlineStr">
        <is>
          <t>Colorado</t>
        </is>
      </c>
      <c r="G846" t="inlineStr">
        <is>
          <t>Submitted</t>
        </is>
      </c>
      <c r="H846" t="inlineStr">
        <is>
          <t>No</t>
        </is>
      </c>
      <c r="J846" s="96" t="n">
        <v>45931</v>
      </c>
      <c r="M846" t="inlineStr">
        <is>
          <t>Consulting</t>
        </is>
      </c>
      <c r="O846" t="inlineStr">
        <is>
          <t>Madhav Mitruka</t>
        </is>
      </c>
      <c r="Y846" t="inlineStr">
        <is>
          <t>2025-08-25</t>
        </is>
      </c>
      <c r="Z846" t="inlineStr">
        <is>
          <t>https://app.hubspot.com/contacts/243046792/record/0-3/145081112265</t>
        </is>
      </c>
    </row>
    <row r="847">
      <c r="A847" t="n">
        <v>846</v>
      </c>
      <c r="B847" t="inlineStr">
        <is>
          <t>166098266830</t>
        </is>
      </c>
      <c r="D847" t="inlineStr">
        <is>
          <t>Enterprise Resource Planning (ERP) System Assessment.</t>
        </is>
      </c>
      <c r="E847" t="inlineStr">
        <is>
          <t>Mecklenburg County</t>
        </is>
      </c>
      <c r="F847" t="inlineStr">
        <is>
          <t>North Carolina</t>
        </is>
      </c>
      <c r="G847" t="inlineStr">
        <is>
          <t>Submitted</t>
        </is>
      </c>
      <c r="H847" t="inlineStr">
        <is>
          <t>No</t>
        </is>
      </c>
      <c r="J847" s="96" t="n">
        <v>45937</v>
      </c>
      <c r="M847" t="inlineStr">
        <is>
          <t>Audits and Assessment</t>
        </is>
      </c>
      <c r="O847" t="inlineStr">
        <is>
          <t>Jyothsna Nanda kishore</t>
        </is>
      </c>
      <c r="Y847" t="inlineStr">
        <is>
          <t>2025-09-22</t>
        </is>
      </c>
      <c r="Z847" t="inlineStr">
        <is>
          <t>https://app.hubspot.com/contacts/243046792/record/0-3/166098266830</t>
        </is>
      </c>
    </row>
    <row r="848">
      <c r="A848" t="n">
        <v>847</v>
      </c>
      <c r="B848" t="inlineStr">
        <is>
          <t>180166400720</t>
        </is>
      </c>
      <c r="D848" t="inlineStr">
        <is>
          <t xml:space="preserve"> 25-012 Data Engineering Phase II</t>
        </is>
      </c>
      <c r="E848" t="inlineStr">
        <is>
          <t>Central Ohio Transit Authority</t>
        </is>
      </c>
      <c r="F848" t="inlineStr">
        <is>
          <t>Ohio</t>
        </is>
      </c>
      <c r="G848" t="inlineStr">
        <is>
          <t>Closed Lost</t>
        </is>
      </c>
      <c r="H848" t="inlineStr">
        <is>
          <t>No</t>
        </is>
      </c>
      <c r="J848" s="96" t="n">
        <v>45937</v>
      </c>
      <c r="O848" t="inlineStr">
        <is>
          <t>Madhav Mitruka</t>
        </is>
      </c>
      <c r="Y848" t="inlineStr">
        <is>
          <t>2025-10-07</t>
        </is>
      </c>
      <c r="Z848" t="inlineStr">
        <is>
          <t>https://app.hubspot.com/contacts/243046792/record/0-3/180166400720</t>
        </is>
      </c>
    </row>
    <row r="849">
      <c r="A849" t="n">
        <v>848</v>
      </c>
      <c r="B849" t="inlineStr">
        <is>
          <t>182404957915</t>
        </is>
      </c>
      <c r="C849" t="inlineStr">
        <is>
          <t>PWE-10.08.2025</t>
        </is>
      </c>
      <c r="D849" t="inlineStr">
        <is>
          <t>PWE Power BI Dashboard</t>
        </is>
      </c>
      <c r="E849" t="inlineStr">
        <is>
          <t>City of Issaquah</t>
        </is>
      </c>
      <c r="F849" t="inlineStr">
        <is>
          <t>Washington</t>
        </is>
      </c>
      <c r="G849" t="inlineStr">
        <is>
          <t>Closed Lost</t>
        </is>
      </c>
      <c r="H849" t="inlineStr">
        <is>
          <t>No</t>
        </is>
      </c>
      <c r="J849" s="96" t="n">
        <v>45959</v>
      </c>
      <c r="M849" t="inlineStr">
        <is>
          <t>Modernization / Migration</t>
        </is>
      </c>
      <c r="O849" t="inlineStr">
        <is>
          <t>Ashutosh Chauhan</t>
        </is>
      </c>
      <c r="Y849" t="inlineStr">
        <is>
          <t>2025-10-09</t>
        </is>
      </c>
      <c r="Z849" t="inlineStr">
        <is>
          <t>https://app.hubspot.com/contacts/243046792/record/0-3/182404957915</t>
        </is>
      </c>
    </row>
    <row r="850">
      <c r="A850" t="n">
        <v>849</v>
      </c>
      <c r="B850" t="inlineStr">
        <is>
          <t>108771177151</t>
        </is>
      </c>
      <c r="C850" t="inlineStr">
        <is>
          <t>791202505005</t>
        </is>
      </c>
      <c r="D850" t="inlineStr">
        <is>
          <t>Government Consulting Services</t>
        </is>
      </c>
      <c r="E850" t="inlineStr">
        <is>
          <t>North Central Texas Council of Governments</t>
        </is>
      </c>
      <c r="F850" t="inlineStr">
        <is>
          <t>TEXAS</t>
        </is>
      </c>
      <c r="G850" t="inlineStr">
        <is>
          <t>Closed Lost</t>
        </is>
      </c>
      <c r="H850" t="inlineStr">
        <is>
          <t>No</t>
        </is>
      </c>
      <c r="J850" s="96" t="n">
        <v>45961</v>
      </c>
      <c r="N850" t="inlineStr">
        <is>
          <t>Portal</t>
        </is>
      </c>
      <c r="O850" t="inlineStr">
        <is>
          <t>Madhav Mitruka</t>
        </is>
      </c>
      <c r="Y850" t="inlineStr">
        <is>
          <t>2025-06-27</t>
        </is>
      </c>
      <c r="Z850" t="inlineStr">
        <is>
          <t>https://app.hubspot.com/contacts/243046792/record/0-3/108771177151</t>
        </is>
      </c>
    </row>
    <row r="851">
      <c r="A851" t="n">
        <v>850</v>
      </c>
      <c r="B851" t="inlineStr">
        <is>
          <t>120893940416</t>
        </is>
      </c>
      <c r="C851" t="inlineStr">
        <is>
          <t>DQ SAAA #2026000004</t>
        </is>
      </c>
      <c r="D851" t="inlineStr">
        <is>
          <t>Online Content Learning</t>
        </is>
      </c>
      <c r="E851" t="inlineStr">
        <is>
          <t>State of Colorado Department of Regulatory Agencies</t>
        </is>
      </c>
      <c r="F851" t="inlineStr">
        <is>
          <t>Colorado</t>
        </is>
      </c>
      <c r="G851" t="inlineStr">
        <is>
          <t>Closed Lost</t>
        </is>
      </c>
      <c r="H851" t="inlineStr">
        <is>
          <t>No</t>
        </is>
      </c>
      <c r="J851" s="96" t="n">
        <v>45967</v>
      </c>
      <c r="L851" s="65" t="n">
        <v>67300</v>
      </c>
      <c r="M851" t="inlineStr">
        <is>
          <t>Modernization / Migration;Platform Implementation (ERP, CRMs)</t>
        </is>
      </c>
      <c r="O851" t="inlineStr">
        <is>
          <t>Madhav Mitruka</t>
        </is>
      </c>
      <c r="Y851" t="inlineStr">
        <is>
          <t>2025-07-14</t>
        </is>
      </c>
      <c r="Z851" t="inlineStr">
        <is>
          <t>https://app.hubspot.com/contacts/243046792/record/0-3/120893940416</t>
        </is>
      </c>
    </row>
    <row r="852">
      <c r="A852" t="n">
        <v>851</v>
      </c>
      <c r="B852" t="inlineStr">
        <is>
          <t>199601365715</t>
        </is>
      </c>
      <c r="D852" t="inlineStr">
        <is>
          <t>Contracted IT Support Services</t>
        </is>
      </c>
      <c r="E852" t="inlineStr">
        <is>
          <t>ECS4Kids</t>
        </is>
      </c>
      <c r="F852" t="inlineStr">
        <is>
          <t>Florida</t>
        </is>
      </c>
      <c r="G852" t="inlineStr">
        <is>
          <t>Submitted</t>
        </is>
      </c>
      <c r="H852" t="inlineStr">
        <is>
          <t>No</t>
        </is>
      </c>
      <c r="J852" s="96" t="n">
        <v>45981</v>
      </c>
      <c r="L852" s="65" t="n">
        <v>291141</v>
      </c>
      <c r="M852" t="inlineStr">
        <is>
          <t>Support &amp; Maintenance</t>
        </is>
      </c>
      <c r="N852" t="inlineStr">
        <is>
          <t>Portal</t>
        </is>
      </c>
      <c r="O852" t="inlineStr">
        <is>
          <t>Ashutosh Chauhan</t>
        </is>
      </c>
      <c r="Y852" t="inlineStr">
        <is>
          <t>2025-10-28</t>
        </is>
      </c>
      <c r="Z852" t="inlineStr">
        <is>
          <t>https://app.hubspot.com/contacts/243046792/record/0-3/199601365715</t>
        </is>
      </c>
    </row>
    <row r="853">
      <c r="A853" t="n">
        <v>852</v>
      </c>
      <c r="B853" t="inlineStr">
        <is>
          <t>140123456196</t>
        </is>
      </c>
      <c r="C853" t="inlineStr">
        <is>
          <t>24-RFP-10</t>
        </is>
      </c>
      <c r="D853" t="inlineStr">
        <is>
          <t>Metropolitan Water Reclamation District of Greater Chicago - Agreement for Professional Development Program for Management Development and IT (Years 2025–2027)</t>
        </is>
      </c>
      <c r="E853" t="inlineStr">
        <is>
          <t>Metropolitan Water Reclamation District of Greater Chicago</t>
        </is>
      </c>
      <c r="F853" t="inlineStr">
        <is>
          <t>Chicago</t>
        </is>
      </c>
      <c r="G853" t="inlineStr">
        <is>
          <t>Closed Won</t>
        </is>
      </c>
      <c r="H853" t="inlineStr">
        <is>
          <t>Yes</t>
        </is>
      </c>
      <c r="I853" t="inlineStr">
        <is>
          <t>Interview</t>
        </is>
      </c>
      <c r="J853" s="96" t="n">
        <v>46160</v>
      </c>
      <c r="L853" s="65" t="n">
        <v>18620</v>
      </c>
      <c r="M853" t="inlineStr">
        <is>
          <t>Training</t>
        </is>
      </c>
      <c r="O853" t="inlineStr">
        <is>
          <t>Madhav Mitruka</t>
        </is>
      </c>
      <c r="P853" t="inlineStr">
        <is>
          <t>Interview Scheduled</t>
        </is>
      </c>
      <c r="Q853" t="inlineStr">
        <is>
          <t>2025-08-28</t>
        </is>
      </c>
      <c r="S853" t="inlineStr">
        <is>
          <t>2026-01-08</t>
        </is>
      </c>
      <c r="U853" s="96" t="n">
        <v>46098</v>
      </c>
      <c r="V853" t="inlineStr">
        <is>
          <t>In Process</t>
        </is>
      </c>
      <c r="Y853" t="inlineStr">
        <is>
          <t>2025-08-11</t>
        </is>
      </c>
      <c r="Z853" t="inlineStr">
        <is>
          <t>https://app.hubspot.com/contacts/243046792/record/0-3/140123456196</t>
        </is>
      </c>
      <c r="AA853" t="inlineStr">
        <is>
          <t>Yes</t>
        </is>
      </c>
    </row>
    <row r="854">
      <c r="A854" t="n">
        <v>853</v>
      </c>
      <c r="B854" t="inlineStr">
        <is>
          <t>261982669555</t>
        </is>
      </c>
      <c r="D854" t="inlineStr">
        <is>
          <t>Madison Metropolitan Sewerage District - IT Backfill for ERP Configuration (SOW 2)</t>
        </is>
      </c>
      <c r="E854" t="inlineStr">
        <is>
          <t>Madison Metropolitan Sewerage District</t>
        </is>
      </c>
      <c r="F854" t="inlineStr">
        <is>
          <t>Wisconsin</t>
        </is>
      </c>
      <c r="G854" t="inlineStr">
        <is>
          <t>Closed Won</t>
        </is>
      </c>
      <c r="H854" t="inlineStr">
        <is>
          <t>No</t>
        </is>
      </c>
      <c r="J854" s="96" t="n">
        <v>46006</v>
      </c>
      <c r="K854" s="96" t="n">
        <v>46048</v>
      </c>
      <c r="L854" s="65" t="n">
        <v>157000</v>
      </c>
      <c r="M854" t="inlineStr">
        <is>
          <t>Staff Augmentation</t>
        </is>
      </c>
      <c r="O854" t="inlineStr">
        <is>
          <t>Amber Soni</t>
        </is>
      </c>
      <c r="S854" t="inlineStr">
        <is>
          <t>2025-10-24</t>
        </is>
      </c>
      <c r="U854" s="96" t="n">
        <v>46037</v>
      </c>
      <c r="V854" t="inlineStr">
        <is>
          <t>In Process</t>
        </is>
      </c>
      <c r="Y854" t="inlineStr">
        <is>
          <t>2026-01-14</t>
        </is>
      </c>
      <c r="Z854" t="inlineStr">
        <is>
          <t>https://app.hubspot.com/contacts/243046792/record/0-3/261982669555</t>
        </is>
      </c>
      <c r="AA854" t="inlineStr">
        <is>
          <t>Yes</t>
        </is>
      </c>
    </row>
    <row r="855">
      <c r="A855" t="n">
        <v>854</v>
      </c>
      <c r="B855" t="inlineStr">
        <is>
          <t>278519751386</t>
        </is>
      </c>
      <c r="D855" t="inlineStr">
        <is>
          <t>Data Warehousing Services</t>
        </is>
      </c>
      <c r="E855" t="inlineStr">
        <is>
          <t xml:space="preserve">Allen Town School District </t>
        </is>
      </c>
      <c r="F855" t="inlineStr">
        <is>
          <t>Pennsylvania</t>
        </is>
      </c>
      <c r="G855" t="inlineStr">
        <is>
          <t>Submitted</t>
        </is>
      </c>
      <c r="H855" t="inlineStr">
        <is>
          <t>No</t>
        </is>
      </c>
      <c r="J855" s="96" t="n">
        <v>46059</v>
      </c>
      <c r="M855" t="inlineStr">
        <is>
          <t>Platform Implementation (ERP, CRMs);Support &amp; Maintenance</t>
        </is>
      </c>
      <c r="N855" t="inlineStr">
        <is>
          <t>Email</t>
        </is>
      </c>
      <c r="O855" t="inlineStr">
        <is>
          <t>Jyothsna Nanda kishore</t>
        </is>
      </c>
      <c r="Y855" t="inlineStr">
        <is>
          <t>2026-01-30</t>
        </is>
      </c>
      <c r="Z855" t="inlineStr">
        <is>
          <t>https://app.hubspot.com/contacts/243046792/record/0-3/278519751386</t>
        </is>
      </c>
    </row>
    <row r="856">
      <c r="A856" t="n">
        <v>855</v>
      </c>
      <c r="B856" t="inlineStr">
        <is>
          <t>259790359234</t>
        </is>
      </c>
      <c r="C856" t="inlineStr">
        <is>
          <t>601440000049523</t>
        </is>
      </c>
      <c r="D856" t="inlineStr">
        <is>
          <t>Managed Application Services: Application Development and Maintenance Services</t>
        </is>
      </c>
      <c r="E856" t="inlineStr">
        <is>
          <t>Texas Department of Transportation</t>
        </is>
      </c>
      <c r="F856" t="inlineStr">
        <is>
          <t>Texas</t>
        </is>
      </c>
      <c r="G856" t="inlineStr">
        <is>
          <t>RFx Cancelled</t>
        </is>
      </c>
      <c r="H856" t="inlineStr">
        <is>
          <t>No</t>
        </is>
      </c>
      <c r="J856" s="96" t="n">
        <v>46078</v>
      </c>
      <c r="M856" t="inlineStr">
        <is>
          <t>Support &amp; Maintenance</t>
        </is>
      </c>
      <c r="O856" t="inlineStr">
        <is>
          <t>Ashutosh Chauhan</t>
        </is>
      </c>
      <c r="Y856" t="inlineStr">
        <is>
          <t>2026-01-14</t>
        </is>
      </c>
      <c r="Z856" t="inlineStr">
        <is>
          <t>https://app.hubspot.com/contacts/243046792/record/0-3/259790359234</t>
        </is>
      </c>
    </row>
    <row r="857">
      <c r="A857" t="n">
        <v>856</v>
      </c>
      <c r="B857" t="inlineStr">
        <is>
          <t>269507522240</t>
        </is>
      </c>
      <c r="D857" t="inlineStr">
        <is>
          <t>OFFLINE - INFORMATION TECHNOLOGY MANAGED SERVICES PROVIDER</t>
        </is>
      </c>
      <c r="E857" t="inlineStr">
        <is>
          <t>Central Midlands Regional Transit Authority</t>
        </is>
      </c>
      <c r="F857" t="inlineStr">
        <is>
          <t>South Carolina</t>
        </is>
      </c>
      <c r="G857" t="inlineStr">
        <is>
          <t>Submitted</t>
        </is>
      </c>
      <c r="H857" t="inlineStr">
        <is>
          <t>No</t>
        </is>
      </c>
      <c r="J857" s="96" t="n">
        <v>46080</v>
      </c>
      <c r="M857" t="inlineStr">
        <is>
          <t>Managed Services (MSP)</t>
        </is>
      </c>
      <c r="O857" t="inlineStr">
        <is>
          <t>Savya Atrey</t>
        </is>
      </c>
      <c r="Y857" t="inlineStr">
        <is>
          <t>2026-01-21</t>
        </is>
      </c>
      <c r="Z857" t="inlineStr">
        <is>
          <t>https://app.hubspot.com/contacts/243046792/record/0-3/269507522240</t>
        </is>
      </c>
    </row>
    <row r="858">
      <c r="A858" t="n">
        <v>857</v>
      </c>
      <c r="B858" t="inlineStr">
        <is>
          <t>294055526085</t>
        </is>
      </c>
      <c r="D858" t="inlineStr">
        <is>
          <t>Oracle Managed Services and Testing as a Service Support</t>
        </is>
      </c>
      <c r="E858" t="inlineStr">
        <is>
          <t>CITY OF DURHAM</t>
        </is>
      </c>
      <c r="F858" t="inlineStr">
        <is>
          <t>North Carolina</t>
        </is>
      </c>
      <c r="G858" t="inlineStr">
        <is>
          <t>Submitted</t>
        </is>
      </c>
      <c r="H858" t="inlineStr">
        <is>
          <t>No</t>
        </is>
      </c>
      <c r="J858" s="96" t="n">
        <v>46092</v>
      </c>
      <c r="M858" t="inlineStr">
        <is>
          <t>Support &amp; Maintenance</t>
        </is>
      </c>
      <c r="O858" t="inlineStr">
        <is>
          <t>Jyothsna Nanda kishore</t>
        </is>
      </c>
      <c r="Y858" t="inlineStr">
        <is>
          <t>2026-02-11</t>
        </is>
      </c>
      <c r="Z858" t="inlineStr">
        <is>
          <t>https://app.hubspot.com/contacts/243046792/record/0-3/294055526085</t>
        </is>
      </c>
    </row>
    <row r="859">
      <c r="A859" t="n">
        <v>858</v>
      </c>
      <c r="B859" t="inlineStr">
        <is>
          <t>305430641393</t>
        </is>
      </c>
      <c r="D859" t="inlineStr">
        <is>
          <t>OFF - Information Technology Managed Services</t>
        </is>
      </c>
      <c r="E859" t="inlineStr">
        <is>
          <t>County of Montcalm</t>
        </is>
      </c>
      <c r="F859" t="inlineStr">
        <is>
          <t>Michigan</t>
        </is>
      </c>
      <c r="G859" t="inlineStr">
        <is>
          <t>Submitted</t>
        </is>
      </c>
      <c r="H859" t="inlineStr">
        <is>
          <t>No</t>
        </is>
      </c>
      <c r="J859" s="96" t="n">
        <v>46097</v>
      </c>
      <c r="M859" t="inlineStr">
        <is>
          <t>Managed Services (MSP)</t>
        </is>
      </c>
      <c r="O859" t="inlineStr">
        <is>
          <t>Ashutosh Chauhan</t>
        </is>
      </c>
      <c r="Y859" t="inlineStr">
        <is>
          <t>2026-02-24</t>
        </is>
      </c>
      <c r="Z859" t="inlineStr">
        <is>
          <t>https://app.hubspot.com/contacts/243046792/record/0-3/305430641393</t>
        </is>
      </c>
    </row>
    <row r="860">
      <c r="A860" t="n">
        <v>859</v>
      </c>
      <c r="B860" t="inlineStr">
        <is>
          <t>311307032268</t>
        </is>
      </c>
      <c r="D860" t="inlineStr">
        <is>
          <t>RPF-MANAGED IT SERVICES RESOLICITATION</t>
        </is>
      </c>
      <c r="E860" t="inlineStr">
        <is>
          <t>Housing Authority of the City of Passaic</t>
        </is>
      </c>
      <c r="F860" t="inlineStr">
        <is>
          <t>New Jersey</t>
        </is>
      </c>
      <c r="G860" t="inlineStr">
        <is>
          <t>Submitted</t>
        </is>
      </c>
      <c r="H860" t="inlineStr">
        <is>
          <t>No</t>
        </is>
      </c>
      <c r="J860" s="96" t="n">
        <v>46101</v>
      </c>
      <c r="M860" t="inlineStr">
        <is>
          <t>Managed Services (MSP)</t>
        </is>
      </c>
      <c r="O860" t="inlineStr">
        <is>
          <t>Savya Atrey</t>
        </is>
      </c>
      <c r="Y860" t="inlineStr">
        <is>
          <t>2026-03-04</t>
        </is>
      </c>
      <c r="Z860" t="inlineStr">
        <is>
          <t>https://app.hubspot.com/contacts/243046792/record/0-3/311307032268</t>
        </is>
      </c>
    </row>
    <row r="861">
      <c r="A861" t="n">
        <v>860</v>
      </c>
      <c r="B861" t="inlineStr">
        <is>
          <t>135161266908</t>
        </is>
      </c>
      <c r="C861" t="inlineStr">
        <is>
          <t>RFQ1757840</t>
        </is>
      </c>
      <c r="D861" t="inlineStr">
        <is>
          <t>25-51-A-PMO-ES-SSN</t>
        </is>
      </c>
      <c r="E861" t="inlineStr">
        <is>
          <t>U.S. Department of the Treasury</t>
        </is>
      </c>
      <c r="F861" t="inlineStr">
        <is>
          <t>Washington, D.C.</t>
        </is>
      </c>
      <c r="G861" t="inlineStr">
        <is>
          <t>Closed Lost</t>
        </is>
      </c>
      <c r="H861" t="inlineStr">
        <is>
          <t>No</t>
        </is>
      </c>
      <c r="J861" s="96" t="n">
        <v>46106</v>
      </c>
      <c r="N861" t="inlineStr">
        <is>
          <t>Email</t>
        </is>
      </c>
      <c r="O861" t="inlineStr">
        <is>
          <t>Madhav Mitruka</t>
        </is>
      </c>
      <c r="Y861" t="inlineStr">
        <is>
          <t>2025-07-31</t>
        </is>
      </c>
      <c r="Z861" t="inlineStr">
        <is>
          <t>https://app.hubspot.com/contacts/243046792/record/0-3/135161266908</t>
        </is>
      </c>
    </row>
    <row r="862">
      <c r="A862" t="n">
        <v>861</v>
      </c>
      <c r="B862" t="inlineStr">
        <is>
          <t>110691507903</t>
        </is>
      </c>
      <c r="D862" t="inlineStr">
        <is>
          <t>020-25 - GIS Services: Data, Metadata, Application Development, and Training</t>
        </is>
      </c>
      <c r="G862" t="inlineStr">
        <is>
          <t>Closed Lost</t>
        </is>
      </c>
      <c r="H862" t="inlineStr">
        <is>
          <t>No</t>
        </is>
      </c>
      <c r="J862" s="96" t="n">
        <v>46112</v>
      </c>
      <c r="L862" s="65" t="n">
        <v>96200</v>
      </c>
      <c r="O862" t="inlineStr">
        <is>
          <t>Madhav Mitruka</t>
        </is>
      </c>
      <c r="Y862" t="inlineStr">
        <is>
          <t>2025-07-01</t>
        </is>
      </c>
      <c r="Z862" t="inlineStr">
        <is>
          <t>https://app.hubspot.com/contacts/243046792/record/0-3/110691507903</t>
        </is>
      </c>
    </row>
    <row r="863">
      <c r="A863" t="n">
        <v>862</v>
      </c>
      <c r="B863" t="inlineStr">
        <is>
          <t>110691507909</t>
        </is>
      </c>
      <c r="D863" t="inlineStr">
        <is>
          <t>CONSULTATION AND INFORMATION TECHNOLOGY SUPPORT SERVICES</t>
        </is>
      </c>
      <c r="G863" t="inlineStr">
        <is>
          <t>Closed Lost</t>
        </is>
      </c>
      <c r="H863" t="inlineStr">
        <is>
          <t>No</t>
        </is>
      </c>
      <c r="J863" s="96" t="n">
        <v>46112</v>
      </c>
      <c r="O863" t="inlineStr">
        <is>
          <t>Madhav Mitruka</t>
        </is>
      </c>
      <c r="Y863" t="inlineStr">
        <is>
          <t>2025-07-01</t>
        </is>
      </c>
      <c r="Z863" t="inlineStr">
        <is>
          <t>https://app.hubspot.com/contacts/243046792/record/0-3/110691507909</t>
        </is>
      </c>
    </row>
    <row r="864">
      <c r="A864" t="n">
        <v>863</v>
      </c>
      <c r="B864" t="inlineStr">
        <is>
          <t>108771377911</t>
        </is>
      </c>
      <c r="D864" t="inlineStr">
        <is>
          <t>Facilities and Information Technology Infrastructure Assessment</t>
        </is>
      </c>
      <c r="G864" t="inlineStr">
        <is>
          <t>Closed Lost</t>
        </is>
      </c>
      <c r="H864" t="inlineStr">
        <is>
          <t>No</t>
        </is>
      </c>
      <c r="J864" s="96" t="n">
        <v>46112</v>
      </c>
      <c r="O864" t="inlineStr">
        <is>
          <t>Madhav Mitruka</t>
        </is>
      </c>
      <c r="Y864" t="inlineStr">
        <is>
          <t>2025-07-01</t>
        </is>
      </c>
      <c r="Z864" t="inlineStr">
        <is>
          <t>https://app.hubspot.com/contacts/243046792/record/0-3/108771377911</t>
        </is>
      </c>
    </row>
    <row r="865">
      <c r="A865" t="n">
        <v>864</v>
      </c>
      <c r="B865" t="inlineStr">
        <is>
          <t>120893940419</t>
        </is>
      </c>
      <c r="C865" t="inlineStr">
        <is>
          <t>#25-038-RFP)</t>
        </is>
      </c>
      <c r="D865" t="inlineStr">
        <is>
          <t>HUMAN RESOURCES INFORMATION SYSTEM (“HRIS”) &amp; LEARNING MANAGEMENT SYSTEM (“LMS”) REPLACEMENT</t>
        </is>
      </c>
      <c r="G865" t="inlineStr">
        <is>
          <t>Closed Lost</t>
        </is>
      </c>
      <c r="H865" t="inlineStr">
        <is>
          <t>No</t>
        </is>
      </c>
      <c r="J865" s="96" t="n">
        <v>46112</v>
      </c>
      <c r="M865" t="inlineStr">
        <is>
          <t>Platform Implementation (ERP, CRMs)</t>
        </is>
      </c>
      <c r="O865" t="inlineStr">
        <is>
          <t>Yashaswini Gautam</t>
        </is>
      </c>
      <c r="Y865" t="inlineStr">
        <is>
          <t>2025-07-14</t>
        </is>
      </c>
      <c r="Z865" t="inlineStr">
        <is>
          <t>https://app.hubspot.com/contacts/243046792/record/0-3/120893940419</t>
        </is>
      </c>
    </row>
    <row r="866">
      <c r="A866" t="n">
        <v>865</v>
      </c>
      <c r="B866" t="inlineStr">
        <is>
          <t>114864654049</t>
        </is>
      </c>
      <c r="D866" t="inlineStr">
        <is>
          <t>M365 Tenant backup</t>
        </is>
      </c>
      <c r="G866" t="inlineStr">
        <is>
          <t>Closed Lost</t>
        </is>
      </c>
      <c r="H866" t="inlineStr">
        <is>
          <t>No</t>
        </is>
      </c>
      <c r="J866" s="96" t="n">
        <v>46112</v>
      </c>
      <c r="O866" t="inlineStr">
        <is>
          <t>Yashaswini Gautam</t>
        </is>
      </c>
      <c r="Y866" t="inlineStr">
        <is>
          <t>2025-07-09</t>
        </is>
      </c>
      <c r="Z866" t="inlineStr">
        <is>
          <t>https://app.hubspot.com/contacts/243046792/record/0-3/114864654049</t>
        </is>
      </c>
    </row>
    <row r="867">
      <c r="A867" t="n">
        <v>866</v>
      </c>
      <c r="B867" t="inlineStr">
        <is>
          <t>317194645231</t>
        </is>
      </c>
      <c r="C867" t="inlineStr">
        <is>
          <t>BCH-C25-008</t>
        </is>
      </c>
      <c r="D867" t="inlineStr">
        <is>
          <t>Data Migration (CMAS RFP)</t>
        </is>
      </c>
      <c r="E867" t="inlineStr">
        <is>
          <t>Business, Consumer Services and Housing Agency</t>
        </is>
      </c>
      <c r="F867" t="inlineStr">
        <is>
          <t>California</t>
        </is>
      </c>
      <c r="G867" t="inlineStr">
        <is>
          <t>RFx Cancelled</t>
        </is>
      </c>
      <c r="H867" t="inlineStr">
        <is>
          <t>No</t>
        </is>
      </c>
      <c r="J867" s="96" t="n">
        <v>46115</v>
      </c>
      <c r="M867" t="inlineStr">
        <is>
          <t>Modernization / Migration</t>
        </is>
      </c>
      <c r="O867" t="inlineStr">
        <is>
          <t>Darshan Tiwari</t>
        </is>
      </c>
      <c r="Y867" t="inlineStr">
        <is>
          <t>2026-03-20</t>
        </is>
      </c>
      <c r="Z867" t="inlineStr">
        <is>
          <t>https://app.hubspot.com/contacts/243046792/record/0-3/317194645231</t>
        </is>
      </c>
    </row>
    <row r="868">
      <c r="A868" t="n">
        <v>867</v>
      </c>
      <c r="B868" t="inlineStr">
        <is>
          <t>317945474767</t>
        </is>
      </c>
      <c r="D868" t="inlineStr">
        <is>
          <t>ServiceNow Technical Services</t>
        </is>
      </c>
      <c r="E868" t="inlineStr">
        <is>
          <t>City of Sacramento</t>
        </is>
      </c>
      <c r="F868" t="inlineStr">
        <is>
          <t>California</t>
        </is>
      </c>
      <c r="G868" t="inlineStr">
        <is>
          <t>RFx Cancelled</t>
        </is>
      </c>
      <c r="H868" t="inlineStr">
        <is>
          <t>No</t>
        </is>
      </c>
      <c r="J868" s="96" t="n">
        <v>46129</v>
      </c>
      <c r="O868" t="inlineStr">
        <is>
          <t>Jyothsna Nanda kishore</t>
        </is>
      </c>
      <c r="Y868" t="inlineStr">
        <is>
          <t>2026-03-26</t>
        </is>
      </c>
      <c r="Z868" t="inlineStr">
        <is>
          <t>https://app.hubspot.com/contacts/243046792/record/0-3/317945474767</t>
        </is>
      </c>
    </row>
    <row r="869">
      <c r="A869" t="n">
        <v>868</v>
      </c>
      <c r="B869" t="inlineStr">
        <is>
          <t>323239766721</t>
        </is>
      </c>
      <c r="D869" t="inlineStr">
        <is>
          <t xml:space="preserve">Information Technology Services for Computing and Networking Infrastructure Support </t>
        </is>
      </c>
      <c r="E869" t="inlineStr">
        <is>
          <t>Great Parks of Hamilton County</t>
        </is>
      </c>
      <c r="F869" t="inlineStr">
        <is>
          <t>Ohio</t>
        </is>
      </c>
      <c r="G869" t="inlineStr">
        <is>
          <t>Submitted</t>
        </is>
      </c>
      <c r="H869" t="inlineStr">
        <is>
          <t>No</t>
        </is>
      </c>
      <c r="J869" s="96" t="n">
        <v>46155</v>
      </c>
      <c r="L869" s="65" t="n">
        <v>184700</v>
      </c>
      <c r="M869" t="inlineStr">
        <is>
          <t>Managed Services (MSP)</t>
        </is>
      </c>
      <c r="N869" t="inlineStr">
        <is>
          <t>Email</t>
        </is>
      </c>
      <c r="O869" t="inlineStr">
        <is>
          <t>Ashutosh Chauhan</t>
        </is>
      </c>
      <c r="Y869" t="inlineStr">
        <is>
          <t>2026-05-01</t>
        </is>
      </c>
      <c r="Z869" t="inlineStr">
        <is>
          <t>https://app.hubspot.com/contacts/243046792/record/0-3/323239766721</t>
        </is>
      </c>
    </row>
    <row r="870">
      <c r="A870" t="n">
        <v>869</v>
      </c>
      <c r="B870" t="inlineStr">
        <is>
          <t>325178884841</t>
        </is>
      </c>
      <c r="D870" t="inlineStr">
        <is>
          <t>Test RFX (Please Ignore)</t>
        </is>
      </c>
      <c r="E870" t="inlineStr">
        <is>
          <t>Test associated agency for trello</t>
        </is>
      </c>
      <c r="G870" t="inlineStr">
        <is>
          <t>Closed Won</t>
        </is>
      </c>
      <c r="H870" t="inlineStr">
        <is>
          <t>No</t>
        </is>
      </c>
      <c r="J870" t="inlineStr">
        <is>
          <t>2026-05-14</t>
        </is>
      </c>
      <c r="M870" t="inlineStr">
        <is>
          <t>Training</t>
        </is>
      </c>
      <c r="O870" t="inlineStr">
        <is>
          <t>Akshat Tripathi</t>
        </is>
      </c>
      <c r="Y870" t="inlineStr">
        <is>
          <t>2026-05-14</t>
        </is>
      </c>
      <c r="Z870" t="inlineStr">
        <is>
          <t>https://app.hubspot.com/contacts/243046792/record/0-3/325178884841</t>
        </is>
      </c>
    </row>
    <row r="871">
      <c r="A871" t="n">
        <v>870</v>
      </c>
      <c r="B871" t="inlineStr">
        <is>
          <t>317911067336</t>
        </is>
      </c>
      <c r="D871" t="inlineStr">
        <is>
          <t>Enterprise Data Warehouse</t>
        </is>
      </c>
      <c r="E871" t="inlineStr">
        <is>
          <t>Michigan Department of Technology Management and Budget</t>
        </is>
      </c>
      <c r="F871" t="inlineStr">
        <is>
          <t>Michigan</t>
        </is>
      </c>
      <c r="G871" t="inlineStr">
        <is>
          <t>RFx Cancelled</t>
        </is>
      </c>
      <c r="H871" t="inlineStr">
        <is>
          <t>No</t>
        </is>
      </c>
      <c r="J871" s="96" t="n">
        <v>46159</v>
      </c>
      <c r="O871" t="inlineStr">
        <is>
          <t>Ashutosh Chauhan</t>
        </is>
      </c>
      <c r="Y871" t="inlineStr">
        <is>
          <t>2026-03-26</t>
        </is>
      </c>
      <c r="Z871" t="inlineStr">
        <is>
          <t>https://app.hubspot.com/contacts/243046792/record/0-3/317911067336</t>
        </is>
      </c>
    </row>
    <row r="872">
      <c r="A872" t="n">
        <v>871</v>
      </c>
      <c r="B872" t="inlineStr">
        <is>
          <t>321765371626</t>
        </is>
      </c>
      <c r="C872" t="inlineStr">
        <is>
          <t>207-26</t>
        </is>
      </c>
      <c r="D872" t="inlineStr">
        <is>
          <t>Professional and Consulting Services for Strategy and Technology Division</t>
        </is>
      </c>
      <c r="E872" t="inlineStr">
        <is>
          <t>Fulton County Schools</t>
        </is>
      </c>
      <c r="F872" t="inlineStr">
        <is>
          <t>Georgia</t>
        </is>
      </c>
      <c r="G872" t="inlineStr">
        <is>
          <t>RFx Cancelled</t>
        </is>
      </c>
      <c r="H872" t="inlineStr">
        <is>
          <t>No</t>
        </is>
      </c>
      <c r="J872" s="96" t="n">
        <v>46161</v>
      </c>
      <c r="O872" t="inlineStr">
        <is>
          <t>Jyothsna Nanda kishore</t>
        </is>
      </c>
      <c r="Y872" s="96" t="n">
        <v>46134</v>
      </c>
      <c r="Z872" t="inlineStr">
        <is>
          <t>https://app.hubspot.com/contacts/243046792/record/0-3/321765371626</t>
        </is>
      </c>
    </row>
    <row r="873">
      <c r="A873" t="n">
        <v>872</v>
      </c>
      <c r="B873" t="inlineStr">
        <is>
          <t>321905743581</t>
        </is>
      </c>
      <c r="D873" t="inlineStr">
        <is>
          <t>ERP Needs Assessment Consulting Services</t>
        </is>
      </c>
      <c r="E873" t="inlineStr">
        <is>
          <t>Greater Dayton Regional Transit Authority</t>
        </is>
      </c>
      <c r="F873" t="inlineStr">
        <is>
          <t>Ohio</t>
        </is>
      </c>
      <c r="G873" t="inlineStr">
        <is>
          <t>RFx Cancelled</t>
        </is>
      </c>
      <c r="H873" t="inlineStr">
        <is>
          <t>No</t>
        </is>
      </c>
      <c r="J873" s="96" t="n">
        <v>46168</v>
      </c>
      <c r="M873" t="inlineStr">
        <is>
          <t>Consulting</t>
        </is>
      </c>
      <c r="O873" t="inlineStr">
        <is>
          <t>Ashutosh Chauhan</t>
        </is>
      </c>
      <c r="Y873" s="96" t="n">
        <v>46135</v>
      </c>
      <c r="Z873" t="inlineStr">
        <is>
          <t>https://app.hubspot.com/contacts/243046792/record/0-3/321905743581</t>
        </is>
      </c>
    </row>
    <row r="874">
      <c r="A874" t="n">
        <v>873</v>
      </c>
      <c r="B874" t="inlineStr">
        <is>
          <t>324841842382</t>
        </is>
      </c>
      <c r="C874" t="inlineStr">
        <is>
          <t>2026.13</t>
        </is>
      </c>
      <c r="D874" t="inlineStr">
        <is>
          <t>OFF - Information Technology Services</t>
        </is>
      </c>
      <c r="E874" t="inlineStr">
        <is>
          <t>St. John the Baptist Parish Government</t>
        </is>
      </c>
      <c r="F874" t="inlineStr">
        <is>
          <t>Louisiana</t>
        </is>
      </c>
      <c r="G874" t="inlineStr">
        <is>
          <t>Submitted</t>
        </is>
      </c>
      <c r="H874" t="inlineStr">
        <is>
          <t>No</t>
        </is>
      </c>
      <c r="J874" s="96" t="n">
        <v>46182</v>
      </c>
      <c r="L874" s="65" t="n">
        <v>424440</v>
      </c>
      <c r="M874" t="inlineStr">
        <is>
          <t>Managed Services (MSP)</t>
        </is>
      </c>
      <c r="N874" t="inlineStr">
        <is>
          <t>Offline</t>
        </is>
      </c>
      <c r="O874" t="inlineStr">
        <is>
          <t>Ashutosh Chauhan</t>
        </is>
      </c>
      <c r="Y874" t="inlineStr">
        <is>
          <t>2026-05-14</t>
        </is>
      </c>
      <c r="Z874" t="inlineStr">
        <is>
          <t>https://app.hubspot.com/contacts/243046792/record/0-3/324841842382</t>
        </is>
      </c>
    </row>
    <row r="875">
      <c r="A875" t="n">
        <v>874</v>
      </c>
      <c r="B875" t="inlineStr">
        <is>
          <t>328510794433</t>
        </is>
      </c>
      <c r="D875" t="inlineStr">
        <is>
          <t>Madison Metropolitan Sewerage District - Workday BA - (SOW 4)</t>
        </is>
      </c>
      <c r="E875" t="inlineStr">
        <is>
          <t>Madison Metropolitan Sewerage District</t>
        </is>
      </c>
      <c r="F875" t="inlineStr">
        <is>
          <t>Wisconsin</t>
        </is>
      </c>
      <c r="G875" t="inlineStr">
        <is>
          <t>Closed Won</t>
        </is>
      </c>
      <c r="H875" t="inlineStr">
        <is>
          <t>No</t>
        </is>
      </c>
      <c r="J875" s="96" t="n">
        <v>46184</v>
      </c>
      <c r="K875" s="96" t="n">
        <v>46184</v>
      </c>
      <c r="L875" s="65" t="n">
        <v>170560</v>
      </c>
      <c r="M875" t="inlineStr">
        <is>
          <t>Managed Services (MSP);Staff Augmentation</t>
        </is>
      </c>
      <c r="O875" t="inlineStr">
        <is>
          <t>Amber Soni</t>
        </is>
      </c>
      <c r="S875" s="96" t="n">
        <v>46184</v>
      </c>
      <c r="Y875" s="96" t="n">
        <v>46178</v>
      </c>
      <c r="Z875" t="inlineStr">
        <is>
          <t>https://app.hubspot.com/contacts/243046792/record/0-3/328510794433</t>
        </is>
      </c>
    </row>
    <row r="876">
      <c r="A876" t="n">
        <v>875</v>
      </c>
      <c r="B876" t="inlineStr">
        <is>
          <t>327712756453</t>
        </is>
      </c>
      <c r="D876" t="inlineStr">
        <is>
          <t>Vendor Service Contract for IT Professional Services</t>
        </is>
      </c>
      <c r="E876" t="inlineStr">
        <is>
          <t>City of milwaukee</t>
        </is>
      </c>
      <c r="F876" t="inlineStr">
        <is>
          <t>Wisconsin</t>
        </is>
      </c>
      <c r="G876" t="inlineStr">
        <is>
          <t>RFx Cancelled</t>
        </is>
      </c>
      <c r="H876" t="inlineStr">
        <is>
          <t>No</t>
        </is>
      </c>
      <c r="J876" s="96" t="n">
        <v>46196</v>
      </c>
      <c r="N876" t="inlineStr">
        <is>
          <t>Portal</t>
        </is>
      </c>
      <c r="O876" t="inlineStr">
        <is>
          <t>Jyothsna Nanda kishore</t>
        </is>
      </c>
      <c r="Y876" t="inlineStr">
        <is>
          <t>2026-06-03</t>
        </is>
      </c>
      <c r="Z876" t="inlineStr">
        <is>
          <t>https://app.hubspot.com/contacts/243046792/record/0-3/327712756453</t>
        </is>
      </c>
    </row>
    <row r="877">
      <c r="A877" t="n">
        <v>876</v>
      </c>
      <c r="B877" t="inlineStr">
        <is>
          <t>328510627557</t>
        </is>
      </c>
      <c r="D877" t="inlineStr">
        <is>
          <t>Information Technology Services Contract</t>
        </is>
      </c>
      <c r="E877" t="inlineStr">
        <is>
          <t>New Mexico Crime Victims Reparations Commission</t>
        </is>
      </c>
      <c r="F877" t="inlineStr">
        <is>
          <t>New Mexico</t>
        </is>
      </c>
      <c r="G877" t="inlineStr">
        <is>
          <t>RFx Cancelled</t>
        </is>
      </c>
      <c r="H877" t="inlineStr">
        <is>
          <t>No</t>
        </is>
      </c>
      <c r="J877" s="96" t="n">
        <v>46197</v>
      </c>
      <c r="O877" t="inlineStr">
        <is>
          <t>Jyothsna Nanda kishore</t>
        </is>
      </c>
      <c r="Y877" s="96" t="n">
        <v>46184</v>
      </c>
      <c r="Z877" t="inlineStr">
        <is>
          <t>https://app.hubspot.com/contacts/243046792/record/0-3/328510627557</t>
        </is>
      </c>
    </row>
    <row r="878">
      <c r="A878" t="n">
        <v>877</v>
      </c>
      <c r="B878" t="inlineStr">
        <is>
          <t>325724829410</t>
        </is>
      </c>
      <c r="C878" t="inlineStr">
        <is>
          <t>2135184</t>
        </is>
      </c>
      <c r="D878" t="inlineStr">
        <is>
          <t>Remote Database Administration (DBA) Services</t>
        </is>
      </c>
      <c r="E878" t="inlineStr">
        <is>
          <t>Capital District Transportation Authority</t>
        </is>
      </c>
      <c r="F878" t="inlineStr">
        <is>
          <t>New York</t>
        </is>
      </c>
      <c r="G878" t="inlineStr">
        <is>
          <t>Closed Lost</t>
        </is>
      </c>
      <c r="H878" t="inlineStr">
        <is>
          <t>No</t>
        </is>
      </c>
      <c r="J878" s="96" t="n">
        <v>46296</v>
      </c>
      <c r="K878" s="96" t="n">
        <v>46202</v>
      </c>
      <c r="L878" t="n">
        <v>324496</v>
      </c>
      <c r="M878" t="inlineStr">
        <is>
          <t>Managed Services (MSP);Support &amp; Maintenance</t>
        </is>
      </c>
      <c r="O878" t="inlineStr">
        <is>
          <t>Jyothsna Nanda kishore</t>
        </is>
      </c>
      <c r="Y878" s="96" t="n">
        <v>46161</v>
      </c>
      <c r="Z878" t="inlineStr">
        <is>
          <t>https://app.hubspot.com/contacts/243046792/record/0-3/325724829410</t>
        </is>
      </c>
    </row>
    <row r="879">
      <c r="A879" t="n">
        <v>878</v>
      </c>
      <c r="B879" t="inlineStr">
        <is>
          <t>328164559552</t>
        </is>
      </c>
      <c r="D879" t="inlineStr">
        <is>
          <t>IT NEEDS ASSESSMENT: SURVEY DESIGN AND MARKET ANALYSIS</t>
        </is>
      </c>
      <c r="E879" t="inlineStr">
        <is>
          <t>Community Purchasing Alliance Cooperative (CPA)</t>
        </is>
      </c>
      <c r="F879" t="inlineStr">
        <is>
          <t>Washington</t>
        </is>
      </c>
      <c r="G879" t="inlineStr">
        <is>
          <t>Submitted</t>
        </is>
      </c>
      <c r="H879" t="inlineStr">
        <is>
          <t>No</t>
        </is>
      </c>
      <c r="J879" s="96" t="n">
        <v>46203</v>
      </c>
      <c r="K879" s="96" t="n">
        <v>46202</v>
      </c>
      <c r="M879" t="inlineStr">
        <is>
          <t>Staff Augmentation</t>
        </is>
      </c>
      <c r="O879" t="inlineStr">
        <is>
          <t>Ashutosh Chauhan</t>
        </is>
      </c>
      <c r="Y879" s="96" t="n">
        <v>46177</v>
      </c>
      <c r="Z879" t="inlineStr">
        <is>
          <t>https://app.hubspot.com/contacts/243046792/record/0-3/328164559552</t>
        </is>
      </c>
    </row>
    <row r="880">
      <c r="A880" t="n">
        <v>879</v>
      </c>
      <c r="B880" t="inlineStr">
        <is>
          <t>328164557505</t>
        </is>
      </c>
      <c r="D880" t="inlineStr">
        <is>
          <t>Enterprise Asset Management and Computerized Maintenance Management System Technology Consulting Services</t>
        </is>
      </c>
      <c r="E880" t="inlineStr">
        <is>
          <t>City of Rocklin</t>
        </is>
      </c>
      <c r="F880" t="inlineStr">
        <is>
          <t>California</t>
        </is>
      </c>
      <c r="G880" t="inlineStr">
        <is>
          <t>Closed Lost</t>
        </is>
      </c>
      <c r="H880" t="inlineStr">
        <is>
          <t>No</t>
        </is>
      </c>
      <c r="J880" s="96" t="n">
        <v>46253</v>
      </c>
      <c r="K880" s="96" t="n">
        <v>46199</v>
      </c>
      <c r="L880" t="n">
        <v>125000</v>
      </c>
      <c r="M880" t="inlineStr">
        <is>
          <t>Consulting</t>
        </is>
      </c>
      <c r="O880" t="inlineStr">
        <is>
          <t>Jyothsna Nanda kishore</t>
        </is>
      </c>
      <c r="Y880" s="96" t="n">
        <v>46177</v>
      </c>
      <c r="Z880" t="inlineStr">
        <is>
          <t>https://app.hubspot.com/contacts/243046792/record/0-3/328164557505</t>
        </is>
      </c>
    </row>
    <row r="881">
      <c r="A881" t="n">
        <v>880</v>
      </c>
      <c r="B881" t="inlineStr">
        <is>
          <t>332844379853</t>
        </is>
      </c>
      <c r="D881" t="inlineStr">
        <is>
          <t>Airtable Vendor Tracking</t>
        </is>
      </c>
      <c r="E881" t="inlineStr">
        <is>
          <t>Marin Housing Authority</t>
        </is>
      </c>
      <c r="F881" t="inlineStr">
        <is>
          <t>California</t>
        </is>
      </c>
      <c r="G881" t="inlineStr">
        <is>
          <t>Submitted</t>
        </is>
      </c>
      <c r="H881" t="inlineStr">
        <is>
          <t>No</t>
        </is>
      </c>
      <c r="J881" s="96" t="n">
        <v>46188</v>
      </c>
      <c r="K881" s="96" t="n">
        <v>46188</v>
      </c>
      <c r="L881" t="n">
        <v>1920</v>
      </c>
      <c r="M881" t="inlineStr">
        <is>
          <t>Modernization / Migration</t>
        </is>
      </c>
      <c r="O881" t="inlineStr">
        <is>
          <t>Hrithik Srivastava</t>
        </is>
      </c>
      <c r="Y881" s="96" t="n">
        <v>46202</v>
      </c>
      <c r="Z881" t="inlineStr">
        <is>
          <t>https://app.hubspot.com/contacts/243046792/record/0-3/332844379853</t>
        </is>
      </c>
    </row>
    <row r="882">
      <c r="A882" t="n">
        <v>881</v>
      </c>
      <c r="B882" t="inlineStr">
        <is>
          <t>328509679308</t>
        </is>
      </c>
      <c r="C882" t="inlineStr">
        <is>
          <t>25-26.24</t>
        </is>
      </c>
      <c r="D882" t="inlineStr">
        <is>
          <t>Desktop Support Services</t>
        </is>
      </c>
      <c r="E882" t="inlineStr">
        <is>
          <t>City of Orange</t>
        </is>
      </c>
      <c r="F882" t="inlineStr">
        <is>
          <t>California</t>
        </is>
      </c>
      <c r="G882" t="inlineStr">
        <is>
          <t>Submitted</t>
        </is>
      </c>
      <c r="H882" t="inlineStr">
        <is>
          <t>No</t>
        </is>
      </c>
      <c r="J882" s="96" t="n">
        <v>46198</v>
      </c>
      <c r="K882" s="96" t="n">
        <v>46198</v>
      </c>
      <c r="O882" t="inlineStr">
        <is>
          <t>Savya Atrey</t>
        </is>
      </c>
      <c r="Y882" s="96" t="n">
        <v>46182</v>
      </c>
      <c r="Z882" t="inlineStr">
        <is>
          <t>https://app.hubspot.com/contacts/243046792/record/0-3/328509679308</t>
        </is>
      </c>
    </row>
    <row r="883">
      <c r="A883" t="n">
        <v>882</v>
      </c>
      <c r="B883" t="inlineStr">
        <is>
          <t>332614164195</t>
        </is>
      </c>
      <c r="D883" t="inlineStr">
        <is>
          <t xml:space="preserve">BOX.COM Enterprise License </t>
        </is>
      </c>
      <c r="E883" t="inlineStr">
        <is>
          <t xml:space="preserve">Orange County Public Works </t>
        </is>
      </c>
      <c r="F883" t="inlineStr">
        <is>
          <t>California</t>
        </is>
      </c>
      <c r="G883" t="inlineStr">
        <is>
          <t>Submitted</t>
        </is>
      </c>
      <c r="H883" t="inlineStr">
        <is>
          <t>No</t>
        </is>
      </c>
      <c r="J883" s="96" t="n">
        <v>46200</v>
      </c>
      <c r="K883" s="96" t="n">
        <v>46199</v>
      </c>
      <c r="L883" t="n">
        <v>280041</v>
      </c>
      <c r="M883" t="inlineStr">
        <is>
          <t>Reseller</t>
        </is>
      </c>
      <c r="N883" t="inlineStr">
        <is>
          <t>Email</t>
        </is>
      </c>
      <c r="O883" t="inlineStr">
        <is>
          <t>Ashutosh Chauhan</t>
        </is>
      </c>
      <c r="Y883" s="96" t="n">
        <v>46199</v>
      </c>
      <c r="Z883" t="inlineStr">
        <is>
          <t>https://app.hubspot.com/contacts/243046792/record/0-3/332614164195</t>
        </is>
      </c>
    </row>
    <row r="884">
      <c r="A884" t="n">
        <v>883</v>
      </c>
      <c r="B884" t="inlineStr">
        <is>
          <t>332203022011</t>
        </is>
      </c>
      <c r="D884" t="inlineStr">
        <is>
          <t>Azure Architect Staffing</t>
        </is>
      </c>
      <c r="E884" t="inlineStr">
        <is>
          <t>El Paso County</t>
        </is>
      </c>
      <c r="F884" t="inlineStr">
        <is>
          <t>Colorado</t>
        </is>
      </c>
      <c r="G884" t="inlineStr">
        <is>
          <t>Submitted</t>
        </is>
      </c>
      <c r="H884" t="inlineStr">
        <is>
          <t>No</t>
        </is>
      </c>
      <c r="J884" s="96" t="n">
        <v>46190</v>
      </c>
      <c r="K884" s="96" t="n">
        <v>46190</v>
      </c>
      <c r="M884" t="inlineStr">
        <is>
          <t>Staff Augmentation</t>
        </is>
      </c>
      <c r="O884" t="inlineStr">
        <is>
          <t>Jyothsna Nanda kishore</t>
        </is>
      </c>
      <c r="Y884" s="96" t="n">
        <v>46197</v>
      </c>
      <c r="Z884" t="inlineStr">
        <is>
          <t>https://app.hubspot.com/contacts/243046792/record/0-3/332203022011</t>
        </is>
      </c>
    </row>
    <row r="885">
      <c r="A885" t="n">
        <v>884</v>
      </c>
      <c r="B885" t="inlineStr">
        <is>
          <t>332226695929</t>
        </is>
      </c>
      <c r="D885" t="inlineStr">
        <is>
          <t>ColdFusion Staffing Services</t>
        </is>
      </c>
      <c r="E885" t="inlineStr">
        <is>
          <t>El Paso County</t>
        </is>
      </c>
      <c r="F885" t="inlineStr">
        <is>
          <t>Colorado</t>
        </is>
      </c>
      <c r="G885" t="inlineStr">
        <is>
          <t>Submitted</t>
        </is>
      </c>
      <c r="H885" t="inlineStr">
        <is>
          <t>No</t>
        </is>
      </c>
      <c r="J885" s="96" t="n">
        <v>46192</v>
      </c>
      <c r="K885" s="96" t="n">
        <v>46190</v>
      </c>
      <c r="M885" t="inlineStr">
        <is>
          <t>Staff Augmentation</t>
        </is>
      </c>
      <c r="N885" t="inlineStr">
        <is>
          <t>Email</t>
        </is>
      </c>
      <c r="O885" t="inlineStr">
        <is>
          <t>Jyothsna Nanda kishore</t>
        </is>
      </c>
      <c r="Y885" s="96" t="n">
        <v>46196</v>
      </c>
      <c r="Z885" t="inlineStr">
        <is>
          <t>https://app.hubspot.com/contacts/243046792/record/0-3/332226695929</t>
        </is>
      </c>
    </row>
    <row r="886">
      <c r="A886" t="n">
        <v>885</v>
      </c>
      <c r="B886" t="inlineStr">
        <is>
          <t>330227416799</t>
        </is>
      </c>
      <c r="D886" t="inlineStr">
        <is>
          <t>Mass Communication Platform</t>
        </is>
      </c>
      <c r="E886" t="inlineStr">
        <is>
          <t>Suffolk County Water Authority (SCWA)</t>
        </is>
      </c>
      <c r="F886" t="inlineStr">
        <is>
          <t>New York</t>
        </is>
      </c>
      <c r="G886" t="inlineStr">
        <is>
          <t>Closed Lost</t>
        </is>
      </c>
      <c r="H886" t="inlineStr">
        <is>
          <t>No</t>
        </is>
      </c>
      <c r="J886" s="96" t="n">
        <v>46232</v>
      </c>
      <c r="K886" s="96" t="n">
        <v>46196</v>
      </c>
      <c r="M886" t="inlineStr">
        <is>
          <t>Platform Implementation (ERP, CRMs)</t>
        </is>
      </c>
      <c r="N886" t="inlineStr">
        <is>
          <t>Portal</t>
        </is>
      </c>
      <c r="O886" t="inlineStr">
        <is>
          <t>Jyothsna Nanda kishore</t>
        </is>
      </c>
      <c r="Y886" s="96" t="n">
        <v>46190</v>
      </c>
      <c r="Z886" t="inlineStr">
        <is>
          <t>https://app.hubspot.com/contacts/243046792/record/0-3/330227416799</t>
        </is>
      </c>
    </row>
    <row r="887">
      <c r="A887" t="n">
        <v>886</v>
      </c>
      <c r="B887" t="inlineStr">
        <is>
          <t>330059608800</t>
        </is>
      </c>
      <c r="D887" t="inlineStr">
        <is>
          <t>Senior Solution Architecture Lead</t>
        </is>
      </c>
      <c r="E887" t="inlineStr">
        <is>
          <t>California State Teachers' Retirement System</t>
        </is>
      </c>
      <c r="F887" t="inlineStr">
        <is>
          <t>California</t>
        </is>
      </c>
      <c r="G887" t="inlineStr">
        <is>
          <t>Submitted</t>
        </is>
      </c>
      <c r="H887" t="inlineStr">
        <is>
          <t>No</t>
        </is>
      </c>
      <c r="J887" s="96" t="n">
        <v>46199</v>
      </c>
      <c r="K887" s="96" t="n">
        <v>46199</v>
      </c>
      <c r="O887" t="inlineStr">
        <is>
          <t>Ashutosh Chauhan</t>
        </is>
      </c>
      <c r="Y887" s="96" t="n">
        <v>46189</v>
      </c>
      <c r="Z887" t="inlineStr">
        <is>
          <t>https://app.hubspot.com/contacts/243046792/record/0-3/330059608800</t>
        </is>
      </c>
    </row>
    <row r="888">
      <c r="A888" t="n">
        <v>887</v>
      </c>
      <c r="B888" t="inlineStr">
        <is>
          <t>329984268993</t>
        </is>
      </c>
      <c r="D888" t="inlineStr">
        <is>
          <t>27-0034 SOFTWARE - MAINTENANCE - IBM</t>
        </is>
      </c>
      <c r="E888" t="inlineStr">
        <is>
          <t>LA County- Internal Services Department</t>
        </is>
      </c>
      <c r="F888" t="inlineStr">
        <is>
          <t>California</t>
        </is>
      </c>
      <c r="G888" t="inlineStr">
        <is>
          <t>Submitted</t>
        </is>
      </c>
      <c r="H888" t="inlineStr">
        <is>
          <t>No</t>
        </is>
      </c>
      <c r="J888" s="96" t="n">
        <v>46198</v>
      </c>
      <c r="K888" s="96" t="n">
        <v>46198</v>
      </c>
      <c r="M888" t="inlineStr">
        <is>
          <t>Support &amp; Maintenance</t>
        </is>
      </c>
      <c r="N888" t="inlineStr">
        <is>
          <t>Portal</t>
        </is>
      </c>
      <c r="O888" t="inlineStr">
        <is>
          <t>Jyothsna Nanda kishore</t>
        </is>
      </c>
      <c r="Y888" s="96" t="n">
        <v>46188</v>
      </c>
      <c r="Z888" t="inlineStr">
        <is>
          <t>https://app.hubspot.com/contacts/243046792/record/0-3/329984268993</t>
        </is>
      </c>
    </row>
    <row r="889">
      <c r="A889" t="n">
        <v>888</v>
      </c>
      <c r="B889" t="inlineStr">
        <is>
          <t>330005263069</t>
        </is>
      </c>
      <c r="D889" t="inlineStr">
        <is>
          <t>Managed IT Services &amp; Cybersecurity Support</t>
        </is>
      </c>
      <c r="E889" t="inlineStr">
        <is>
          <t>Holcomb R-III</t>
        </is>
      </c>
      <c r="F889" t="inlineStr">
        <is>
          <t>Missouri</t>
        </is>
      </c>
      <c r="G889" t="inlineStr">
        <is>
          <t>Closed Lost</t>
        </is>
      </c>
      <c r="H889" t="inlineStr">
        <is>
          <t>No</t>
        </is>
      </c>
      <c r="J889" s="96" t="n">
        <v>46294</v>
      </c>
      <c r="K889" s="96" t="n">
        <v>46197</v>
      </c>
      <c r="L889" t="n">
        <v>102684</v>
      </c>
      <c r="M889" t="inlineStr">
        <is>
          <t>Managed Services (MSP)</t>
        </is>
      </c>
      <c r="O889" t="inlineStr">
        <is>
          <t>Jyothsna Nanda kishore</t>
        </is>
      </c>
      <c r="Y889" s="96" t="n">
        <v>46188</v>
      </c>
      <c r="Z889" t="inlineStr">
        <is>
          <t>https://app.hubspot.com/contacts/243046792/record/0-3/330005263069</t>
        </is>
      </c>
    </row>
    <row r="890">
      <c r="A890" t="n">
        <v>889</v>
      </c>
      <c r="B890" t="inlineStr">
        <is>
          <t>330005263055</t>
        </is>
      </c>
      <c r="D890" t="inlineStr">
        <is>
          <t>Electronic Local Government Information &amp; Taxation Evaluation System (ELITES)</t>
        </is>
      </c>
      <c r="E890" t="inlineStr">
        <is>
          <t>Michigan Department of Technology Management and Budget</t>
        </is>
      </c>
      <c r="F890" t="inlineStr">
        <is>
          <t>Michigan</t>
        </is>
      </c>
      <c r="G890" t="inlineStr">
        <is>
          <t>Closed Lost</t>
        </is>
      </c>
      <c r="H890" t="inlineStr">
        <is>
          <t>No</t>
        </is>
      </c>
      <c r="J890" s="96" t="n">
        <v>46294</v>
      </c>
      <c r="K890" s="96" t="n">
        <v>46196</v>
      </c>
      <c r="O890" t="inlineStr">
        <is>
          <t>Jyothsna Nanda kishore</t>
        </is>
      </c>
      <c r="Y890" s="96" t="n">
        <v>46188</v>
      </c>
      <c r="Z890" t="inlineStr">
        <is>
          <t>https://app.hubspot.com/contacts/243046792/record/0-3/330005263055</t>
        </is>
      </c>
    </row>
    <row r="891">
      <c r="A891" t="n">
        <v>890</v>
      </c>
      <c r="B891" t="inlineStr">
        <is>
          <t>329111686875</t>
        </is>
      </c>
      <c r="C891" t="inlineStr">
        <is>
          <t>00002357</t>
        </is>
      </c>
      <c r="D891" t="inlineStr">
        <is>
          <t>DHS User Acceptance Testing</t>
        </is>
      </c>
      <c r="E891" t="inlineStr">
        <is>
          <t>State of Arkansas - Department of Finance and Administration</t>
        </is>
      </c>
      <c r="F891" t="inlineStr">
        <is>
          <t>Arkansas</t>
        </is>
      </c>
      <c r="G891" t="inlineStr">
        <is>
          <t>Submitted</t>
        </is>
      </c>
      <c r="H891" t="inlineStr">
        <is>
          <t>No</t>
        </is>
      </c>
      <c r="J891" s="96" t="n">
        <v>46199</v>
      </c>
      <c r="K891" s="96" t="n">
        <v>46199</v>
      </c>
      <c r="L891" t="n">
        <v>423798</v>
      </c>
      <c r="M891" t="inlineStr">
        <is>
          <t>Consulting;Staff Augmentation</t>
        </is>
      </c>
      <c r="N891" t="inlineStr">
        <is>
          <t>Portal</t>
        </is>
      </c>
      <c r="O891" t="inlineStr">
        <is>
          <t>Ashutosh Chauhan</t>
        </is>
      </c>
      <c r="Y891" s="96" t="n">
        <v>46188</v>
      </c>
      <c r="Z891" t="inlineStr">
        <is>
          <t>https://app.hubspot.com/contacts/243046792/record/0-3/329111686875</t>
        </is>
      </c>
    </row>
    <row r="892">
      <c r="A892" t="n">
        <v>891</v>
      </c>
      <c r="B892" t="inlineStr">
        <is>
          <t>328749708001</t>
        </is>
      </c>
      <c r="D892" t="inlineStr">
        <is>
          <t>DISTRICT-WIDE MICROSOFT LICENSING</t>
        </is>
      </c>
      <c r="E892" t="inlineStr">
        <is>
          <t>POUDRE SCHOOL DISTRICT</t>
        </is>
      </c>
      <c r="F892" t="inlineStr">
        <is>
          <t>Colorado</t>
        </is>
      </c>
      <c r="G892" t="inlineStr">
        <is>
          <t>Closed Lost</t>
        </is>
      </c>
      <c r="H892" t="inlineStr">
        <is>
          <t>No</t>
        </is>
      </c>
      <c r="J892" s="96" t="n">
        <v>46223</v>
      </c>
      <c r="K892" s="96" t="n">
        <v>46196</v>
      </c>
      <c r="O892" t="inlineStr">
        <is>
          <t>Jyothsna Nanda kishore</t>
        </is>
      </c>
      <c r="Y892" s="96" t="n">
        <v>46185</v>
      </c>
      <c r="Z892" t="inlineStr">
        <is>
          <t>https://app.hubspot.com/contacts/243046792/record/0-3/328749708001</t>
        </is>
      </c>
    </row>
    <row r="893">
      <c r="A893" t="n">
        <v>892</v>
      </c>
      <c r="B893" t="inlineStr">
        <is>
          <t>329109819084</t>
        </is>
      </c>
      <c r="D893" t="inlineStr">
        <is>
          <t>DEN ON-CALL GEOSPATIAL SUPPORT SERVICES</t>
        </is>
      </c>
      <c r="E893" t="inlineStr">
        <is>
          <t>Denver International Airport</t>
        </is>
      </c>
      <c r="F893" t="inlineStr">
        <is>
          <t>Colorado</t>
        </is>
      </c>
      <c r="G893" t="inlineStr">
        <is>
          <t>Closed Lost</t>
        </is>
      </c>
      <c r="H893" t="inlineStr">
        <is>
          <t>No</t>
        </is>
      </c>
      <c r="J893" s="96" t="n">
        <v>46231</v>
      </c>
      <c r="K893" s="96" t="n">
        <v>46198</v>
      </c>
      <c r="O893" t="inlineStr">
        <is>
          <t>Jyothsna Nanda kishore</t>
        </is>
      </c>
      <c r="Y893" s="96" t="n">
        <v>46185</v>
      </c>
      <c r="Z893" t="inlineStr">
        <is>
          <t>https://app.hubspot.com/contacts/243046792/record/0-3/329109819084</t>
        </is>
      </c>
    </row>
    <row r="894">
      <c r="A894" t="n">
        <v>893</v>
      </c>
      <c r="B894" t="inlineStr">
        <is>
          <t>328749705939</t>
        </is>
      </c>
      <c r="D894" t="inlineStr">
        <is>
          <t xml:space="preserve">Azure Virtual Desktop </t>
        </is>
      </c>
      <c r="E894" t="inlineStr">
        <is>
          <t>Chief Technology Officer (OCTO)</t>
        </is>
      </c>
      <c r="F894" t="inlineStr">
        <is>
          <t>District of Columbia</t>
        </is>
      </c>
      <c r="G894" t="inlineStr">
        <is>
          <t>Submitted</t>
        </is>
      </c>
      <c r="H894" t="inlineStr">
        <is>
          <t>No</t>
        </is>
      </c>
      <c r="J894" s="96" t="n">
        <v>46188</v>
      </c>
      <c r="K894" s="96" t="n">
        <v>46188</v>
      </c>
      <c r="M894" t="inlineStr">
        <is>
          <t>Reseller</t>
        </is>
      </c>
      <c r="O894" t="inlineStr">
        <is>
          <t>Jyothsna Nanda kishore</t>
        </is>
      </c>
      <c r="Y894" s="96" t="n">
        <v>46185</v>
      </c>
      <c r="Z894" t="inlineStr">
        <is>
          <t>https://app.hubspot.com/contacts/243046792/record/0-3/328749705939</t>
        </is>
      </c>
    </row>
    <row r="895">
      <c r="A895" t="n">
        <v>894</v>
      </c>
      <c r="B895" t="inlineStr">
        <is>
          <t>329158945469</t>
        </is>
      </c>
      <c r="D895" t="inlineStr">
        <is>
          <t>OFF - Information Technology (IT) Services</t>
        </is>
      </c>
      <c r="E895" t="inlineStr">
        <is>
          <t>HOUSING AUTHORITY OF THE CITY OF HARLINGEN</t>
        </is>
      </c>
      <c r="F895" t="inlineStr">
        <is>
          <t>Texas</t>
        </is>
      </c>
      <c r="G895" t="inlineStr">
        <is>
          <t>Submitted</t>
        </is>
      </c>
      <c r="H895" t="inlineStr">
        <is>
          <t>No</t>
        </is>
      </c>
      <c r="J895" s="96" t="n">
        <v>46199</v>
      </c>
      <c r="K895" s="96" t="n">
        <v>46199</v>
      </c>
      <c r="L895" t="n">
        <v>44160</v>
      </c>
      <c r="M895" t="inlineStr">
        <is>
          <t>Managed Services (MSP)</t>
        </is>
      </c>
      <c r="N895" t="inlineStr">
        <is>
          <t>Offline</t>
        </is>
      </c>
      <c r="O895" t="inlineStr">
        <is>
          <t>Ashutosh Chauhan</t>
        </is>
      </c>
      <c r="Y895" s="96" t="n">
        <v>46184</v>
      </c>
      <c r="Z895" t="inlineStr">
        <is>
          <t>https://app.hubspot.com/contacts/243046792/record/0-3/329158945469</t>
        </is>
      </c>
    </row>
    <row r="896">
      <c r="A896" t="n">
        <v>895</v>
      </c>
      <c r="B896" t="inlineStr">
        <is>
          <t>328749487853</t>
        </is>
      </c>
      <c r="D896" t="inlineStr">
        <is>
          <t>Jotform Subscription</t>
        </is>
      </c>
      <c r="E896" t="inlineStr">
        <is>
          <t>Texas Department of Insurance</t>
        </is>
      </c>
      <c r="F896" t="inlineStr">
        <is>
          <t>Texas</t>
        </is>
      </c>
      <c r="G896" t="inlineStr">
        <is>
          <t>Submitted</t>
        </is>
      </c>
      <c r="H896" t="inlineStr">
        <is>
          <t>No</t>
        </is>
      </c>
      <c r="J896" s="96" t="n">
        <v>46202</v>
      </c>
      <c r="K896" s="96" t="n">
        <v>46202</v>
      </c>
      <c r="L896" t="n">
        <v>34250</v>
      </c>
      <c r="M896" t="inlineStr">
        <is>
          <t>Reseller</t>
        </is>
      </c>
      <c r="O896" t="inlineStr">
        <is>
          <t>Jyothsna Nanda kishore</t>
        </is>
      </c>
      <c r="Y896" s="96" t="n">
        <v>46183</v>
      </c>
      <c r="Z896" t="inlineStr">
        <is>
          <t>https://app.hubspot.com/contacts/243046792/record/0-3/328749487853</t>
        </is>
      </c>
    </row>
    <row r="897">
      <c r="A897" t="n">
        <v>896</v>
      </c>
      <c r="B897" t="inlineStr">
        <is>
          <t>328748676795</t>
        </is>
      </c>
      <c r="D897" t="inlineStr">
        <is>
          <t>IT and Audit Advisory Services</t>
        </is>
      </c>
      <c r="E897" t="inlineStr">
        <is>
          <t>State Universities Retirement System</t>
        </is>
      </c>
      <c r="F897" t="inlineStr">
        <is>
          <t>Illinois</t>
        </is>
      </c>
      <c r="G897" t="inlineStr">
        <is>
          <t>Closed Lost</t>
        </is>
      </c>
      <c r="H897" t="inlineStr">
        <is>
          <t>No</t>
        </is>
      </c>
      <c r="J897" s="96" t="n">
        <v>46273</v>
      </c>
      <c r="K897" s="96" t="n">
        <v>46199</v>
      </c>
      <c r="M897" t="inlineStr">
        <is>
          <t>Audits and Assessment;Consulting</t>
        </is>
      </c>
      <c r="O897" t="inlineStr">
        <is>
          <t>Ashutosh Chauhan</t>
        </is>
      </c>
      <c r="Y897" s="96" t="n">
        <v>46182</v>
      </c>
      <c r="Z897" t="inlineStr">
        <is>
          <t>https://app.hubspot.com/contacts/243046792/record/0-3/328748676795</t>
        </is>
      </c>
    </row>
    <row r="898">
      <c r="A898" t="n">
        <v>897</v>
      </c>
      <c r="B898" t="inlineStr">
        <is>
          <t>329158258425</t>
        </is>
      </c>
      <c r="D898" t="inlineStr">
        <is>
          <t>OFF: Request For Statements Of Qualifications To Provide Certain Information Technology Support &amp; Maintenance Services</t>
        </is>
      </c>
      <c r="E898" t="inlineStr">
        <is>
          <t>Nassau County Industrial Development Agency</t>
        </is>
      </c>
      <c r="F898" t="inlineStr">
        <is>
          <t>New York</t>
        </is>
      </c>
      <c r="G898" t="inlineStr">
        <is>
          <t>Submitted</t>
        </is>
      </c>
      <c r="H898" t="inlineStr">
        <is>
          <t>No</t>
        </is>
      </c>
      <c r="J898" s="96" t="n">
        <v>46196</v>
      </c>
      <c r="K898" s="96" t="n">
        <v>46197</v>
      </c>
      <c r="M898" t="inlineStr">
        <is>
          <t>Support &amp; Maintenance</t>
        </is>
      </c>
      <c r="O898" t="inlineStr">
        <is>
          <t>Ashutosh Chauhan</t>
        </is>
      </c>
      <c r="Y898" s="96" t="n">
        <v>46182</v>
      </c>
      <c r="Z898" t="inlineStr">
        <is>
          <t>https://app.hubspot.com/contacts/243046792/record/0-3/329158258425</t>
        </is>
      </c>
    </row>
    <row r="899">
      <c r="A899" t="n">
        <v>898</v>
      </c>
      <c r="B899" t="inlineStr">
        <is>
          <t>328599437036</t>
        </is>
      </c>
      <c r="D899" t="inlineStr">
        <is>
          <t xml:space="preserve">Information Technology Services-Microsoft Enterprise Agreement Renewal </t>
        </is>
      </c>
      <c r="E899" t="inlineStr">
        <is>
          <t>South Central Foundation</t>
        </is>
      </c>
      <c r="F899" t="inlineStr">
        <is>
          <t>Alaska</t>
        </is>
      </c>
      <c r="G899" t="inlineStr">
        <is>
          <t>Closed Lost</t>
        </is>
      </c>
      <c r="H899" t="inlineStr">
        <is>
          <t>No</t>
        </is>
      </c>
      <c r="J899" s="96" t="n">
        <v>46294</v>
      </c>
      <c r="K899" s="96" t="n">
        <v>46190</v>
      </c>
      <c r="M899" t="inlineStr">
        <is>
          <t>Support &amp; Maintenance</t>
        </is>
      </c>
      <c r="O899" t="inlineStr">
        <is>
          <t>Jyothsna Nanda kishore</t>
        </is>
      </c>
      <c r="Y899" s="96" t="n">
        <v>46178</v>
      </c>
      <c r="Z899" t="inlineStr">
        <is>
          <t>https://app.hubspot.com/contacts/243046792/record/0-3/328599437036</t>
        </is>
      </c>
    </row>
    <row r="900">
      <c r="A900" t="n">
        <v>899</v>
      </c>
      <c r="B900" t="inlineStr">
        <is>
          <t>328207582925</t>
        </is>
      </c>
      <c r="D900" t="inlineStr">
        <is>
          <t xml:space="preserve">Southern California 511 Web &amp; Mobile App Modernization </t>
        </is>
      </c>
      <c r="E900" t="inlineStr">
        <is>
          <t>Los Angeles County Metropolitan Transportation Authority (LACMTA)</t>
        </is>
      </c>
      <c r="F900" t="inlineStr">
        <is>
          <t>California</t>
        </is>
      </c>
      <c r="G900" t="inlineStr">
        <is>
          <t>Closed Lost</t>
        </is>
      </c>
      <c r="H900" t="inlineStr">
        <is>
          <t>No</t>
        </is>
      </c>
      <c r="J900" s="96" t="n">
        <v>46266</v>
      </c>
      <c r="K900" s="96" t="n">
        <v>46195</v>
      </c>
      <c r="L900" t="n">
        <v>2559000</v>
      </c>
      <c r="M900" t="inlineStr">
        <is>
          <t>Modernization / Migration;Custom development</t>
        </is>
      </c>
      <c r="N900" t="inlineStr">
        <is>
          <t>Email</t>
        </is>
      </c>
      <c r="O900" t="inlineStr">
        <is>
          <t>Jyothsna Nanda kishore</t>
        </is>
      </c>
      <c r="Y900" s="96" t="n">
        <v>46177</v>
      </c>
      <c r="Z900" t="inlineStr">
        <is>
          <t>https://app.hubspot.com/contacts/243046792/record/0-3/328207582925</t>
        </is>
      </c>
    </row>
    <row r="901">
      <c r="A901" t="n">
        <v>900</v>
      </c>
      <c r="B901" t="inlineStr">
        <is>
          <t>327704828656</t>
        </is>
      </c>
      <c r="D901" t="inlineStr">
        <is>
          <t>Township Website Migration and Hosting Services</t>
        </is>
      </c>
      <c r="E901" t="inlineStr">
        <is>
          <t>Township Of Belleville</t>
        </is>
      </c>
      <c r="F901" t="inlineStr">
        <is>
          <t>New Jersey</t>
        </is>
      </c>
      <c r="G901" t="inlineStr">
        <is>
          <t>Submitted</t>
        </is>
      </c>
      <c r="H901" t="inlineStr">
        <is>
          <t>No</t>
        </is>
      </c>
      <c r="J901" s="96" t="n">
        <v>46199</v>
      </c>
      <c r="K901" s="96" t="n">
        <v>46199</v>
      </c>
      <c r="O901" t="inlineStr">
        <is>
          <t>Ashutosh Chauhan</t>
        </is>
      </c>
      <c r="Y901" s="96" t="n">
        <v>46176</v>
      </c>
      <c r="Z901" t="inlineStr">
        <is>
          <t>https://app.hubspot.com/contacts/243046792/record/0-3/327704828656</t>
        </is>
      </c>
    </row>
    <row r="902">
      <c r="A902" t="n">
        <v>901</v>
      </c>
      <c r="B902" t="inlineStr">
        <is>
          <t>327713466069</t>
        </is>
      </c>
      <c r="D902" t="inlineStr">
        <is>
          <t>Facility Technology Integration &amp; Security System Services</t>
        </is>
      </c>
      <c r="E902" t="inlineStr">
        <is>
          <t>Region 4 ESC</t>
        </is>
      </c>
      <c r="F902" t="inlineStr">
        <is>
          <t>Texas</t>
        </is>
      </c>
      <c r="G902" t="inlineStr">
        <is>
          <t>Submitted</t>
        </is>
      </c>
      <c r="H902" t="inlineStr">
        <is>
          <t>No</t>
        </is>
      </c>
      <c r="J902" s="96" t="n">
        <v>46198</v>
      </c>
      <c r="K902" s="96" t="n">
        <v>46198</v>
      </c>
      <c r="M902" t="inlineStr">
        <is>
          <t>Support &amp; Maintenance;Modernization / Migration;Audits and Assessment;Consulting</t>
        </is>
      </c>
      <c r="N902" t="inlineStr">
        <is>
          <t>Portal</t>
        </is>
      </c>
      <c r="O902" t="inlineStr">
        <is>
          <t>Ashutosh Chauhan</t>
        </is>
      </c>
      <c r="Y902" s="96" t="n">
        <v>46176</v>
      </c>
      <c r="Z902" t="inlineStr">
        <is>
          <t>https://app.hubspot.com/contacts/243046792/record/0-3/327713466069</t>
        </is>
      </c>
    </row>
    <row r="903">
      <c r="A903" t="n">
        <v>902</v>
      </c>
      <c r="B903" t="inlineStr">
        <is>
          <t>327714172640</t>
        </is>
      </c>
      <c r="D903" t="inlineStr">
        <is>
          <t>Facilities Management Software and Solutions</t>
        </is>
      </c>
      <c r="E903" t="inlineStr">
        <is>
          <t>Region 4 ESC</t>
        </is>
      </c>
      <c r="F903" t="inlineStr">
        <is>
          <t>Texas</t>
        </is>
      </c>
      <c r="G903" t="inlineStr">
        <is>
          <t>Submitted</t>
        </is>
      </c>
      <c r="H903" t="inlineStr">
        <is>
          <t>No</t>
        </is>
      </c>
      <c r="J903" s="96" t="n">
        <v>46198</v>
      </c>
      <c r="K903" s="96" t="n">
        <v>46198</v>
      </c>
      <c r="M903" t="inlineStr">
        <is>
          <t>Platform Implementation (ERP, CRMs)</t>
        </is>
      </c>
      <c r="N903" t="inlineStr">
        <is>
          <t>Portal</t>
        </is>
      </c>
      <c r="O903" t="inlineStr">
        <is>
          <t>Jyothsna Nanda kishore</t>
        </is>
      </c>
      <c r="Y903" s="96" t="n">
        <v>46176</v>
      </c>
      <c r="Z903" t="inlineStr">
        <is>
          <t>https://app.hubspot.com/contacts/243046792/record/0-3/327714172640</t>
        </is>
      </c>
    </row>
    <row r="904">
      <c r="A904" t="n">
        <v>903</v>
      </c>
      <c r="B904" t="inlineStr">
        <is>
          <t>327704825585</t>
        </is>
      </c>
      <c r="D904" t="inlineStr">
        <is>
          <t xml:space="preserve">MANAGED IT SERVICES </t>
        </is>
      </c>
      <c r="E904" t="inlineStr">
        <is>
          <t xml:space="preserve">JOHNSON COUNTY SPECIAL UTILITY DISTRICT </t>
        </is>
      </c>
      <c r="F904" t="inlineStr">
        <is>
          <t>Texas</t>
        </is>
      </c>
      <c r="G904" t="inlineStr">
        <is>
          <t>Closed Lost</t>
        </is>
      </c>
      <c r="H904" t="inlineStr">
        <is>
          <t>No</t>
        </is>
      </c>
      <c r="J904" s="96" t="n">
        <v>46231</v>
      </c>
      <c r="K904" s="96" t="n">
        <v>46197</v>
      </c>
      <c r="L904" t="n">
        <v>384709.28</v>
      </c>
      <c r="M904" t="inlineStr">
        <is>
          <t>Managed Services (MSP)</t>
        </is>
      </c>
      <c r="O904" t="inlineStr">
        <is>
          <t>Jyothsna Nanda kishore</t>
        </is>
      </c>
      <c r="Y904" s="96" t="n">
        <v>46176</v>
      </c>
      <c r="Z904" t="inlineStr">
        <is>
          <t>https://app.hubspot.com/contacts/243046792/record/0-3/327704825585</t>
        </is>
      </c>
    </row>
    <row r="905">
      <c r="A905" t="n">
        <v>904</v>
      </c>
      <c r="B905" t="inlineStr">
        <is>
          <t>326061443789</t>
        </is>
      </c>
      <c r="D905" t="inlineStr">
        <is>
          <t>Cloud Based Artificial Intelligence Platform for City of Southlake</t>
        </is>
      </c>
      <c r="E905" t="inlineStr">
        <is>
          <t>City of Southlake</t>
        </is>
      </c>
      <c r="F905" t="inlineStr">
        <is>
          <t>Texas</t>
        </is>
      </c>
      <c r="G905" t="inlineStr">
        <is>
          <t>Closed Lost</t>
        </is>
      </c>
      <c r="H905" t="inlineStr">
        <is>
          <t>No</t>
        </is>
      </c>
      <c r="J905" s="96" t="n">
        <v>46301</v>
      </c>
      <c r="K905" s="96" t="n">
        <v>46199</v>
      </c>
      <c r="M905" t="inlineStr">
        <is>
          <t>Custom development</t>
        </is>
      </c>
      <c r="N905" t="inlineStr">
        <is>
          <t>Portal</t>
        </is>
      </c>
      <c r="O905" t="inlineStr">
        <is>
          <t>Jyothsna Nanda kishore</t>
        </is>
      </c>
      <c r="Y905" s="96" t="n">
        <v>46163</v>
      </c>
      <c r="Z905" t="inlineStr">
        <is>
          <t>https://app.hubspot.com/contacts/243046792/record/0-3/326061443789</t>
        </is>
      </c>
    </row>
    <row r="906">
      <c r="A906" t="n">
        <v>905</v>
      </c>
      <c r="B906" t="inlineStr">
        <is>
          <t>325816187578</t>
        </is>
      </c>
      <c r="D906" t="inlineStr">
        <is>
          <t>Information Technology Modernization 2026–2027</t>
        </is>
      </c>
      <c r="E906" t="inlineStr">
        <is>
          <t xml:space="preserve">Wesley Community Center </t>
        </is>
      </c>
      <c r="F906" t="inlineStr">
        <is>
          <t>Texas</t>
        </is>
      </c>
      <c r="G906" t="inlineStr">
        <is>
          <t>Closed Lost</t>
        </is>
      </c>
      <c r="H906" t="inlineStr">
        <is>
          <t>No</t>
        </is>
      </c>
      <c r="J906" s="96" t="n">
        <v>46294</v>
      </c>
      <c r="K906" s="96" t="n">
        <v>46199</v>
      </c>
      <c r="L906" t="n">
        <v>435500</v>
      </c>
      <c r="M906" t="inlineStr">
        <is>
          <t>Modernization / Migration;Managed Services (MSP)</t>
        </is>
      </c>
      <c r="N906" t="inlineStr">
        <is>
          <t>Portal</t>
        </is>
      </c>
      <c r="O906" t="inlineStr">
        <is>
          <t>Jyothsna Nanda kishore</t>
        </is>
      </c>
      <c r="Y906" s="96" t="n">
        <v>46162</v>
      </c>
      <c r="Z906" t="inlineStr">
        <is>
          <t>https://app.hubspot.com/contacts/243046792/record/0-3/325816187578</t>
        </is>
      </c>
    </row>
    <row r="907">
      <c r="A907" t="n">
        <v>906</v>
      </c>
      <c r="B907" t="inlineStr">
        <is>
          <t>325724112575</t>
        </is>
      </c>
      <c r="D907" t="inlineStr">
        <is>
          <t xml:space="preserve">Health Data Infrastructure Transformation  </t>
        </is>
      </c>
      <c r="E907" t="inlineStr">
        <is>
          <t xml:space="preserve">Green Mountain Care Board  </t>
        </is>
      </c>
      <c r="F907" t="inlineStr">
        <is>
          <t>Vermont</t>
        </is>
      </c>
      <c r="G907" t="inlineStr">
        <is>
          <t>Submitted</t>
        </is>
      </c>
      <c r="H907" t="inlineStr">
        <is>
          <t>No</t>
        </is>
      </c>
      <c r="J907" s="96" t="n">
        <v>46199</v>
      </c>
      <c r="K907" s="96" t="n">
        <v>46199</v>
      </c>
      <c r="L907" t="n">
        <v>2662900</v>
      </c>
      <c r="M907" t="inlineStr">
        <is>
          <t>Modernization / Migration</t>
        </is>
      </c>
      <c r="N907" t="inlineStr">
        <is>
          <t>Email</t>
        </is>
      </c>
      <c r="O907" t="inlineStr">
        <is>
          <t>Jyothsna Nanda kishore</t>
        </is>
      </c>
      <c r="Y907" s="96" t="n">
        <v>46161</v>
      </c>
      <c r="Z907" t="inlineStr">
        <is>
          <t>https://app.hubspot.com/contacts/243046792/record/0-3/325724112575</t>
        </is>
      </c>
    </row>
    <row r="908">
      <c r="A908" t="n">
        <v>907</v>
      </c>
      <c r="B908" t="inlineStr">
        <is>
          <t>325179331301</t>
        </is>
      </c>
      <c r="D908" t="inlineStr">
        <is>
          <t>Salesforce CRM Software Maintenance</t>
        </is>
      </c>
      <c r="E908" t="inlineStr">
        <is>
          <t>Rochester Genesee Regional Transportation Authority (RGRTA)</t>
        </is>
      </c>
      <c r="F908" t="inlineStr">
        <is>
          <t>New York</t>
        </is>
      </c>
      <c r="G908" t="inlineStr">
        <is>
          <t>Submitted</t>
        </is>
      </c>
      <c r="H908" t="inlineStr">
        <is>
          <t>No</t>
        </is>
      </c>
      <c r="J908" s="96" t="n">
        <v>46199</v>
      </c>
      <c r="K908" s="96" t="n">
        <v>46199</v>
      </c>
      <c r="O908" t="inlineStr">
        <is>
          <t>Ashutosh Chauhan</t>
        </is>
      </c>
      <c r="Y908" s="96" t="n">
        <v>46161</v>
      </c>
      <c r="Z908" t="inlineStr">
        <is>
          <t>https://app.hubspot.com/contacts/243046792/record/0-3/325179331301</t>
        </is>
      </c>
    </row>
    <row r="909">
      <c r="A909" t="n">
        <v>908</v>
      </c>
      <c r="B909" t="inlineStr">
        <is>
          <t>324817244916</t>
        </is>
      </c>
      <c r="D909" t="inlineStr">
        <is>
          <t>Professional Services to Perform Implementation of a Microsoft 365-Based Intranet and Collaboration Platform (SharePoint)</t>
        </is>
      </c>
      <c r="E909" t="inlineStr">
        <is>
          <t>Redwood City</t>
        </is>
      </c>
      <c r="F909" t="inlineStr">
        <is>
          <t>California</t>
        </is>
      </c>
      <c r="G909" t="inlineStr">
        <is>
          <t>Submitted</t>
        </is>
      </c>
      <c r="H909" t="inlineStr">
        <is>
          <t>No</t>
        </is>
      </c>
      <c r="J909" s="96" t="n">
        <v>46195</v>
      </c>
      <c r="K909" s="96" t="n">
        <v>46195</v>
      </c>
      <c r="L909" t="n">
        <v>337490</v>
      </c>
      <c r="M909" t="inlineStr">
        <is>
          <t>Modernization / Migration;Custom development</t>
        </is>
      </c>
      <c r="N909" t="inlineStr">
        <is>
          <t>Email</t>
        </is>
      </c>
      <c r="O909" t="inlineStr">
        <is>
          <t>Jyothsna Nanda kishore</t>
        </is>
      </c>
      <c r="Y909" s="96" t="n">
        <v>46155</v>
      </c>
      <c r="Z909" t="inlineStr">
        <is>
          <t>https://app.hubspot.com/contacts/243046792/record/0-3/324817244916</t>
        </is>
      </c>
    </row>
    <row r="910">
      <c r="A910" t="n">
        <v>909</v>
      </c>
      <c r="B910" t="inlineStr">
        <is>
          <t>333487904454</t>
        </is>
      </c>
      <c r="D910" t="inlineStr">
        <is>
          <t>IT Strategic Planning</t>
        </is>
      </c>
      <c r="E910" t="inlineStr">
        <is>
          <t>Commonwealth of Virginia Department of Health (VDH)</t>
        </is>
      </c>
      <c r="F910" t="inlineStr">
        <is>
          <t>Virginia</t>
        </is>
      </c>
      <c r="G910" t="inlineStr">
        <is>
          <t>Submitted</t>
        </is>
      </c>
      <c r="H910" t="inlineStr">
        <is>
          <t>No</t>
        </is>
      </c>
      <c r="J910" s="96" t="n">
        <v>46204</v>
      </c>
      <c r="K910" s="96" t="n">
        <v>46203</v>
      </c>
      <c r="L910" t="n">
        <v>18900</v>
      </c>
      <c r="M910" t="inlineStr">
        <is>
          <t>Consulting</t>
        </is>
      </c>
      <c r="O910" t="inlineStr">
        <is>
          <t>Jyothsna Nanda kishore</t>
        </is>
      </c>
      <c r="Y910" s="96" t="n">
        <v>46203</v>
      </c>
      <c r="Z910" t="inlineStr">
        <is>
          <t>https://app.hubspot.com/contacts/243046792/record/0-3/333487904454</t>
        </is>
      </c>
    </row>
    <row r="911">
      <c r="A911" t="n">
        <v>910</v>
      </c>
      <c r="B911" t="inlineStr">
        <is>
          <t>329158378204</t>
        </is>
      </c>
      <c r="D911" t="inlineStr">
        <is>
          <t>Professional Managed IT Services</t>
        </is>
      </c>
      <c r="E911" t="inlineStr">
        <is>
          <t xml:space="preserve">Town of Mountain View </t>
        </is>
      </c>
      <c r="F911" t="inlineStr">
        <is>
          <t>California</t>
        </is>
      </c>
      <c r="G911" t="inlineStr">
        <is>
          <t>Submitted</t>
        </is>
      </c>
      <c r="H911" t="inlineStr">
        <is>
          <t>No</t>
        </is>
      </c>
      <c r="J911" s="96" t="n">
        <v>46202</v>
      </c>
      <c r="K911" s="96" t="n">
        <v>46202</v>
      </c>
      <c r="M911" t="inlineStr">
        <is>
          <t>Managed Services (MSP)</t>
        </is>
      </c>
      <c r="O911" t="inlineStr">
        <is>
          <t>Savya Atrey</t>
        </is>
      </c>
      <c r="Y911" s="96" t="n">
        <v>46183</v>
      </c>
      <c r="Z911" t="inlineStr">
        <is>
          <t>https://app.hubspot.com/contacts/243046792/record/0-3/329158378204</t>
        </is>
      </c>
    </row>
    <row r="912">
      <c r="A912" t="n">
        <v>911</v>
      </c>
      <c r="B912" t="inlineStr">
        <is>
          <t>324842428109</t>
        </is>
      </c>
      <c r="D912" t="inlineStr">
        <is>
          <t>Enterprise Resource Planning Replacement</t>
        </is>
      </c>
      <c r="E912" t="inlineStr">
        <is>
          <t>City of Beaumont</t>
        </is>
      </c>
      <c r="F912" t="inlineStr">
        <is>
          <t>Texas</t>
        </is>
      </c>
      <c r="G912" t="inlineStr">
        <is>
          <t>Submitted</t>
        </is>
      </c>
      <c r="H912" t="inlineStr">
        <is>
          <t>No</t>
        </is>
      </c>
      <c r="J912" s="96" t="n">
        <v>46205</v>
      </c>
      <c r="K912" s="96" t="n">
        <v>46203</v>
      </c>
      <c r="M912" t="inlineStr">
        <is>
          <t>Platform Implementation (ERP, CRMs)</t>
        </is>
      </c>
      <c r="O912" t="inlineStr">
        <is>
          <t>Savya Atrey</t>
        </is>
      </c>
      <c r="Y912" s="96" t="n">
        <v>46155</v>
      </c>
      <c r="Z912" t="inlineStr">
        <is>
          <t>https://app.hubspot.com/contacts/243046792/record/0-3/324842428109</t>
        </is>
      </c>
    </row>
    <row r="913">
      <c r="A913" t="n">
        <v>912</v>
      </c>
      <c r="B913" t="inlineStr">
        <is>
          <t>328748904159</t>
        </is>
      </c>
      <c r="D913" t="inlineStr">
        <is>
          <t>OFFLINE - CERTAIN WEBSITE HOSTING &amp; MAINTENANCE SERVICES</t>
        </is>
      </c>
      <c r="E913" t="inlineStr">
        <is>
          <t>Nassau County Industrial Development Agency</t>
        </is>
      </c>
      <c r="F913" t="inlineStr">
        <is>
          <t>New York</t>
        </is>
      </c>
      <c r="G913" t="inlineStr">
        <is>
          <t>Submitted</t>
        </is>
      </c>
      <c r="H913" t="inlineStr">
        <is>
          <t>No</t>
        </is>
      </c>
      <c r="J913" s="96" t="n">
        <v>46202</v>
      </c>
      <c r="K913" s="96" t="n">
        <v>46199</v>
      </c>
      <c r="M913" t="inlineStr">
        <is>
          <t>Consulting;Managed Services (MSP)</t>
        </is>
      </c>
      <c r="N913" t="inlineStr">
        <is>
          <t>Offline</t>
        </is>
      </c>
      <c r="O913" t="inlineStr">
        <is>
          <t>Abhishek Zalani</t>
        </is>
      </c>
      <c r="Y913" s="96" t="n">
        <v>46184</v>
      </c>
      <c r="Z913" t="inlineStr">
        <is>
          <t>https://app.hubspot.com/contacts/243046792/record/0-3/328748904159</t>
        </is>
      </c>
    </row>
    <row r="914">
      <c r="A914" t="n">
        <v>913</v>
      </c>
      <c r="B914" t="inlineStr">
        <is>
          <t>325250341571</t>
        </is>
      </c>
      <c r="D914" t="inlineStr">
        <is>
          <t>Municipal Fiber Network Operations Center (NOC) Support Services</t>
        </is>
      </c>
      <c r="E914" t="inlineStr">
        <is>
          <t>City of Alexandria</t>
        </is>
      </c>
      <c r="F914" t="inlineStr">
        <is>
          <t>Virginia</t>
        </is>
      </c>
      <c r="G914" t="inlineStr">
        <is>
          <t>Submitted</t>
        </is>
      </c>
      <c r="H914" t="inlineStr">
        <is>
          <t>No</t>
        </is>
      </c>
      <c r="J914" s="96" t="n">
        <v>46198</v>
      </c>
      <c r="K914" s="96" t="n">
        <v>46198</v>
      </c>
      <c r="L914" t="n">
        <v>1860960</v>
      </c>
      <c r="M914" t="inlineStr">
        <is>
          <t>Consulting;Support &amp; Maintenance</t>
        </is>
      </c>
      <c r="N914" t="inlineStr">
        <is>
          <t>Portal</t>
        </is>
      </c>
      <c r="O914" t="inlineStr">
        <is>
          <t>Savya Atrey</t>
        </is>
      </c>
      <c r="Y914" s="96" t="n">
        <v>46157</v>
      </c>
      <c r="Z914" t="inlineStr">
        <is>
          <t>https://app.hubspot.com/contacts/243046792/record/0-3/325250341571</t>
        </is>
      </c>
    </row>
    <row r="915">
      <c r="A915" t="n">
        <v>914</v>
      </c>
      <c r="B915" t="inlineStr">
        <is>
          <t>326365347576</t>
        </is>
      </c>
      <c r="D915" t="inlineStr">
        <is>
          <t>Managed IT Services</t>
        </is>
      </c>
      <c r="E915" t="inlineStr">
        <is>
          <t xml:space="preserve">Uncommon Schools </t>
        </is>
      </c>
      <c r="F915" t="inlineStr">
        <is>
          <t>New York</t>
        </is>
      </c>
      <c r="G915" t="inlineStr">
        <is>
          <t>Submitted</t>
        </is>
      </c>
      <c r="H915" t="inlineStr">
        <is>
          <t>No</t>
        </is>
      </c>
      <c r="J915" s="96" t="n">
        <v>46196</v>
      </c>
      <c r="K915" s="96" t="n">
        <v>46196</v>
      </c>
      <c r="L915" t="n">
        <v>8325000</v>
      </c>
      <c r="M915" t="inlineStr">
        <is>
          <t>Managed Services (MSP)</t>
        </is>
      </c>
      <c r="N915" t="inlineStr">
        <is>
          <t>Email</t>
        </is>
      </c>
      <c r="O915" t="inlineStr">
        <is>
          <t>Savya Atrey</t>
        </is>
      </c>
      <c r="Y915" s="96" t="n">
        <v>46169</v>
      </c>
      <c r="Z915" t="inlineStr">
        <is>
          <t>https://app.hubspot.com/contacts/243046792/record/0-3/326365347576</t>
        </is>
      </c>
    </row>
    <row r="916">
      <c r="A916" t="n">
        <v>915</v>
      </c>
      <c r="B916" t="inlineStr">
        <is>
          <t>328164557544</t>
        </is>
      </c>
      <c r="D916" t="inlineStr">
        <is>
          <t>OFFLINE - ITEM MASTER MANAGEMENT AND TRADING PARTNER INTEGRATION FOR ORACLE FUSION</t>
        </is>
      </c>
      <c r="E916" t="inlineStr">
        <is>
          <t>University Hospital Newark</t>
        </is>
      </c>
      <c r="F916" t="inlineStr">
        <is>
          <t>New Jersey</t>
        </is>
      </c>
      <c r="G916" t="inlineStr">
        <is>
          <t>Submitted</t>
        </is>
      </c>
      <c r="H916" t="inlineStr">
        <is>
          <t>No</t>
        </is>
      </c>
      <c r="J916" s="96" t="n">
        <v>46196</v>
      </c>
      <c r="K916" s="96" t="n">
        <v>46195</v>
      </c>
      <c r="L916" t="n">
        <v>1438824</v>
      </c>
      <c r="M916" t="inlineStr">
        <is>
          <t>Consulting</t>
        </is>
      </c>
      <c r="N916" t="inlineStr">
        <is>
          <t>Offline</t>
        </is>
      </c>
      <c r="O916" t="inlineStr">
        <is>
          <t>Savya Atrey</t>
        </is>
      </c>
      <c r="Y916" s="96" t="n">
        <v>46177</v>
      </c>
      <c r="Z916" t="inlineStr">
        <is>
          <t>https://app.hubspot.com/contacts/243046792/record/0-3/328164557544</t>
        </is>
      </c>
    </row>
    <row r="917">
      <c r="A917" t="n">
        <v>916</v>
      </c>
      <c r="B917" t="inlineStr">
        <is>
          <t>323519237873</t>
        </is>
      </c>
      <c r="D917" t="inlineStr">
        <is>
          <t>System Integrator (SI) Services</t>
        </is>
      </c>
      <c r="E917" t="inlineStr">
        <is>
          <t>State of Connecticut</t>
        </is>
      </c>
      <c r="F917" t="inlineStr">
        <is>
          <t>Connecticut</t>
        </is>
      </c>
      <c r="G917" t="inlineStr">
        <is>
          <t>Submitted</t>
        </is>
      </c>
      <c r="H917" t="inlineStr">
        <is>
          <t>No</t>
        </is>
      </c>
      <c r="J917" s="96" t="n">
        <v>46195</v>
      </c>
      <c r="K917" s="96" t="n">
        <v>46195</v>
      </c>
      <c r="M917" t="inlineStr">
        <is>
          <t>Consulting;Managed Services (MSP)</t>
        </is>
      </c>
      <c r="N917" t="inlineStr">
        <is>
          <t>Portal</t>
        </is>
      </c>
      <c r="O917" t="inlineStr">
        <is>
          <t>Savya Atrey</t>
        </is>
      </c>
      <c r="Y917" s="96" t="n">
        <v>46148</v>
      </c>
      <c r="Z917" t="inlineStr">
        <is>
          <t>https://app.hubspot.com/contacts/243046792/record/0-3/323519237873</t>
        </is>
      </c>
    </row>
    <row r="918">
      <c r="A918" t="n">
        <v>917</v>
      </c>
      <c r="B918" t="inlineStr">
        <is>
          <t>323519239870</t>
        </is>
      </c>
      <c r="D918" t="inlineStr">
        <is>
          <t>Cybersecurity Capability Maturity Program Assessment</t>
        </is>
      </c>
      <c r="E918" t="inlineStr">
        <is>
          <t xml:space="preserve">University of Michigan </t>
        </is>
      </c>
      <c r="F918" t="inlineStr">
        <is>
          <t>Michigan</t>
        </is>
      </c>
      <c r="G918" t="inlineStr">
        <is>
          <t>Submitted</t>
        </is>
      </c>
      <c r="H918" t="inlineStr">
        <is>
          <t>No</t>
        </is>
      </c>
      <c r="J918" s="96" t="n">
        <v>46195</v>
      </c>
      <c r="K918" s="96" t="n">
        <v>46195</v>
      </c>
      <c r="L918" t="n">
        <v>135506</v>
      </c>
      <c r="M918" t="inlineStr">
        <is>
          <t>Audits and Assessment</t>
        </is>
      </c>
      <c r="N918" t="inlineStr">
        <is>
          <t>Portal</t>
        </is>
      </c>
      <c r="O918" t="inlineStr">
        <is>
          <t>Savya Atrey</t>
        </is>
      </c>
      <c r="Y918" s="96" t="n">
        <v>46148</v>
      </c>
      <c r="Z918" t="inlineStr">
        <is>
          <t>https://app.hubspot.com/contacts/243046792/record/0-3/323519239870</t>
        </is>
      </c>
    </row>
    <row r="919">
      <c r="A919" t="n">
        <v>918</v>
      </c>
      <c r="B919" t="inlineStr">
        <is>
          <t>325179331318</t>
        </is>
      </c>
      <c r="D919" t="inlineStr">
        <is>
          <t>Technology/AI Integration for Legal Aid Intake System</t>
        </is>
      </c>
      <c r="E919" t="inlineStr">
        <is>
          <t>Southern Minnesota Regional Legal Services</t>
        </is>
      </c>
      <c r="F919" t="inlineStr">
        <is>
          <t>Minnesota</t>
        </is>
      </c>
      <c r="G919" t="inlineStr">
        <is>
          <t>Closed Lost</t>
        </is>
      </c>
      <c r="H919" t="inlineStr">
        <is>
          <t>Yes</t>
        </is>
      </c>
      <c r="J919" s="96" t="n">
        <v>46217</v>
      </c>
      <c r="K919" s="96" t="n">
        <v>46191</v>
      </c>
      <c r="L919" t="n">
        <v>78000</v>
      </c>
      <c r="M919" t="inlineStr">
        <is>
          <t>Consulting;Custom development</t>
        </is>
      </c>
      <c r="N919" t="inlineStr">
        <is>
          <t>Email</t>
        </is>
      </c>
      <c r="O919" t="inlineStr">
        <is>
          <t>Savya Atrey</t>
        </is>
      </c>
      <c r="P919" t="inlineStr">
        <is>
          <t>Interview Scheduled</t>
        </is>
      </c>
      <c r="Q919" s="96" t="n">
        <v>46211</v>
      </c>
      <c r="Y919" s="96" t="n">
        <v>46161</v>
      </c>
      <c r="Z919" t="inlineStr">
        <is>
          <t>https://app.hubspot.com/contacts/243046792/record/0-3/325179331318</t>
        </is>
      </c>
    </row>
    <row r="920">
      <c r="A920" t="n">
        <v>919</v>
      </c>
      <c r="B920" t="inlineStr">
        <is>
          <t>325816905440</t>
        </is>
      </c>
      <c r="D920" t="inlineStr">
        <is>
          <t>LED Salesforce Implementation for Grants, Incentives &amp; Operations Management</t>
        </is>
      </c>
      <c r="E920" t="inlineStr">
        <is>
          <t>State of Louisiana Louisiana Economic Development</t>
        </is>
      </c>
      <c r="F920" t="inlineStr">
        <is>
          <t>Louisiana</t>
        </is>
      </c>
      <c r="G920" t="inlineStr">
        <is>
          <t>Closed Lost</t>
        </is>
      </c>
      <c r="H920" t="inlineStr">
        <is>
          <t>No</t>
        </is>
      </c>
      <c r="J920" s="96" t="n">
        <v>46295</v>
      </c>
      <c r="K920" s="96" t="n">
        <v>46188</v>
      </c>
      <c r="L920" t="n">
        <v>464020</v>
      </c>
      <c r="M920" t="inlineStr">
        <is>
          <t>Consulting</t>
        </is>
      </c>
      <c r="N920" t="inlineStr">
        <is>
          <t>Email</t>
        </is>
      </c>
      <c r="O920" t="inlineStr">
        <is>
          <t>Savya Atrey</t>
        </is>
      </c>
      <c r="Y920" s="96" t="n">
        <v>46162</v>
      </c>
      <c r="Z920" t="inlineStr">
        <is>
          <t>https://app.hubspot.com/contacts/243046792/record/0-3/325816905440</t>
        </is>
      </c>
    </row>
    <row r="921">
      <c r="A921" t="n">
        <v>920</v>
      </c>
      <c r="B921" t="inlineStr">
        <is>
          <t>325178988258</t>
        </is>
      </c>
      <c r="D921" t="inlineStr">
        <is>
          <t>Student Virtual Desktop Infrastructure</t>
        </is>
      </c>
      <c r="E921" t="inlineStr">
        <is>
          <t>Clark County School District</t>
        </is>
      </c>
      <c r="F921" t="inlineStr">
        <is>
          <t>Nevada</t>
        </is>
      </c>
      <c r="G921" t="inlineStr">
        <is>
          <t>Submitted</t>
        </is>
      </c>
      <c r="H921" t="inlineStr">
        <is>
          <t>No</t>
        </is>
      </c>
      <c r="J921" s="96" t="n">
        <v>46177</v>
      </c>
      <c r="K921" s="96" t="n">
        <v>46177</v>
      </c>
      <c r="L921" t="n">
        <v>243239</v>
      </c>
      <c r="M921" t="inlineStr">
        <is>
          <t>Platform Implementation (ERP, CRMs)</t>
        </is>
      </c>
      <c r="N921" t="inlineStr">
        <is>
          <t>Portal</t>
        </is>
      </c>
      <c r="O921" t="inlineStr">
        <is>
          <t>Savya Atrey</t>
        </is>
      </c>
      <c r="Y921" s="96" t="n">
        <v>46157</v>
      </c>
      <c r="Z921" t="inlineStr">
        <is>
          <t>https://app.hubspot.com/contacts/243046792/record/0-3/325178988258</t>
        </is>
      </c>
    </row>
    <row r="922">
      <c r="A922" t="n">
        <v>921</v>
      </c>
      <c r="B922" t="inlineStr">
        <is>
          <t>331014129400</t>
        </is>
      </c>
      <c r="D922" t="inlineStr">
        <is>
          <t>Managed Vulnerability Management Services</t>
        </is>
      </c>
      <c r="E922" t="inlineStr">
        <is>
          <t>Coldwater City and Coldwater Board of Public Utilities (CBPU)</t>
        </is>
      </c>
      <c r="F922" t="inlineStr">
        <is>
          <t>Michigan</t>
        </is>
      </c>
      <c r="G922" t="inlineStr">
        <is>
          <t>Submitted</t>
        </is>
      </c>
      <c r="H922" t="inlineStr">
        <is>
          <t>No</t>
        </is>
      </c>
      <c r="J922" s="96" t="n">
        <v>46209</v>
      </c>
      <c r="K922" s="96" t="n">
        <v>46203</v>
      </c>
      <c r="M922" t="inlineStr">
        <is>
          <t>Managed Services (MSP)</t>
        </is>
      </c>
      <c r="N922" t="inlineStr">
        <is>
          <t>Email</t>
        </is>
      </c>
      <c r="O922" t="inlineStr">
        <is>
          <t>Yash More</t>
        </is>
      </c>
      <c r="Y922" s="96" t="n">
        <v>46191</v>
      </c>
      <c r="Z922" t="inlineStr">
        <is>
          <t>https://app.hubspot.com/contacts/243046792/record/0-3/331014129400</t>
        </is>
      </c>
    </row>
    <row r="923">
      <c r="A923" t="n">
        <v>922</v>
      </c>
      <c r="B923" t="inlineStr">
        <is>
          <t>328751728343</t>
        </is>
      </c>
      <c r="D923" t="inlineStr">
        <is>
          <t>Multi-Vendor Licensing, Subscription Management, and Support Services</t>
        </is>
      </c>
      <c r="E923" t="inlineStr">
        <is>
          <t>California Mental Health Services</t>
        </is>
      </c>
      <c r="F923" t="inlineStr">
        <is>
          <t>California</t>
        </is>
      </c>
      <c r="G923" t="inlineStr">
        <is>
          <t>Submitted</t>
        </is>
      </c>
      <c r="H923" t="inlineStr">
        <is>
          <t>No</t>
        </is>
      </c>
      <c r="J923" s="96" t="n">
        <v>46205</v>
      </c>
      <c r="K923" s="96" t="n">
        <v>46203</v>
      </c>
      <c r="M923" t="inlineStr">
        <is>
          <t>Managed Services (MSP);Reseller</t>
        </is>
      </c>
      <c r="O923" t="inlineStr">
        <is>
          <t>Ashutosh Chauhan</t>
        </is>
      </c>
      <c r="Y923" s="96" t="n">
        <v>46184</v>
      </c>
      <c r="Z923" t="inlineStr">
        <is>
          <t>https://app.hubspot.com/contacts/243046792/record/0-3/328751728343</t>
        </is>
      </c>
    </row>
    <row r="924">
      <c r="A924" t="n">
        <v>923</v>
      </c>
      <c r="B924" t="inlineStr">
        <is>
          <t>330340707029</t>
        </is>
      </c>
      <c r="D924" t="inlineStr">
        <is>
          <t>Managed IT Services and Infrastructure Administration</t>
        </is>
      </c>
      <c r="E924" t="inlineStr">
        <is>
          <t xml:space="preserve">Sussex Academy </t>
        </is>
      </c>
      <c r="F924" t="inlineStr">
        <is>
          <t>Delaware</t>
        </is>
      </c>
      <c r="G924" t="inlineStr">
        <is>
          <t>Closed Lost</t>
        </is>
      </c>
      <c r="H924" t="inlineStr">
        <is>
          <t>No</t>
        </is>
      </c>
      <c r="J924" s="96" t="n">
        <v>46216</v>
      </c>
      <c r="K924" s="96" t="n">
        <v>46203</v>
      </c>
      <c r="L924" t="n">
        <v>946770</v>
      </c>
      <c r="M924" t="inlineStr">
        <is>
          <t>Managed Services (MSP)</t>
        </is>
      </c>
      <c r="N924" t="inlineStr">
        <is>
          <t>Email</t>
        </is>
      </c>
      <c r="O924" t="inlineStr">
        <is>
          <t>Ashutosh Chauhan</t>
        </is>
      </c>
      <c r="Y924" s="96" t="n">
        <v>46190</v>
      </c>
      <c r="Z924" t="inlineStr">
        <is>
          <t>https://app.hubspot.com/contacts/243046792/record/0-3/330340707029</t>
        </is>
      </c>
    </row>
    <row r="925">
      <c r="A925" t="n">
        <v>924</v>
      </c>
      <c r="B925" t="inlineStr">
        <is>
          <t>326365351641</t>
        </is>
      </c>
      <c r="D925" t="inlineStr">
        <is>
          <t>KENOSHA JOINT SERVICES INFORMATION TECHNOLOGIES SERVICES</t>
        </is>
      </c>
      <c r="E925" t="inlineStr">
        <is>
          <t>City of Kenosha</t>
        </is>
      </c>
      <c r="F925" t="inlineStr">
        <is>
          <t>Wisconsin</t>
        </is>
      </c>
      <c r="G925" t="inlineStr">
        <is>
          <t>Closed Lost</t>
        </is>
      </c>
      <c r="H925" t="inlineStr">
        <is>
          <t>No</t>
        </is>
      </c>
      <c r="J925" s="96" t="n">
        <v>46296</v>
      </c>
      <c r="K925" s="96" t="n">
        <v>46203</v>
      </c>
      <c r="N925" t="inlineStr">
        <is>
          <t>Offline</t>
        </is>
      </c>
      <c r="O925" t="inlineStr">
        <is>
          <t>Jyothsna Nanda kishore</t>
        </is>
      </c>
      <c r="Y925" s="96" t="n">
        <v>46169</v>
      </c>
      <c r="Z925" t="inlineStr">
        <is>
          <t>https://app.hubspot.com/contacts/243046792/record/0-3/326365351641</t>
        </is>
      </c>
    </row>
    <row r="926">
      <c r="A926" t="n">
        <v>925</v>
      </c>
      <c r="B926" t="inlineStr">
        <is>
          <t>318654602983</t>
        </is>
      </c>
      <c r="D926" t="inlineStr">
        <is>
          <t>GRANT: TechAccess: AI-Ready America</t>
        </is>
      </c>
      <c r="E926" t="inlineStr">
        <is>
          <t>US National Science Foundation</t>
        </is>
      </c>
      <c r="F926" t="inlineStr">
        <is>
          <t>Virginia</t>
        </is>
      </c>
      <c r="G926" t="inlineStr">
        <is>
          <t>Submitted</t>
        </is>
      </c>
      <c r="H926" t="inlineStr">
        <is>
          <t>No</t>
        </is>
      </c>
      <c r="J926" s="96" t="n">
        <v>46219</v>
      </c>
      <c r="K926" s="96" t="n">
        <v>46203</v>
      </c>
      <c r="M926" t="inlineStr">
        <is>
          <t>Consulting</t>
        </is>
      </c>
      <c r="O926" t="inlineStr">
        <is>
          <t>Srikrishnadeva D</t>
        </is>
      </c>
      <c r="Y926" s="96" t="n">
        <v>46112</v>
      </c>
      <c r="Z926" t="inlineStr">
        <is>
          <t>https://app.hubspot.com/contacts/243046792/record/0-3/318654602983</t>
        </is>
      </c>
    </row>
    <row r="927">
      <c r="A927" t="n">
        <v>926</v>
      </c>
      <c r="B927" t="inlineStr">
        <is>
          <t>329158819564</t>
        </is>
      </c>
      <c r="D927" t="inlineStr">
        <is>
          <t>IT Technical Support On-Call Services</t>
        </is>
      </c>
      <c r="E927" t="inlineStr">
        <is>
          <t>Navajo Housing Authority</t>
        </is>
      </c>
      <c r="F927" t="inlineStr">
        <is>
          <t>Arizona</t>
        </is>
      </c>
      <c r="G927" t="inlineStr">
        <is>
          <t>Submitted</t>
        </is>
      </c>
      <c r="H927" t="inlineStr">
        <is>
          <t>No</t>
        </is>
      </c>
      <c r="J927" s="96" t="n">
        <v>46195</v>
      </c>
      <c r="K927" s="96" t="n">
        <v>46192</v>
      </c>
      <c r="M927" t="inlineStr">
        <is>
          <t>Managed Services (MSP)</t>
        </is>
      </c>
      <c r="O927" t="inlineStr">
        <is>
          <t>Yash More</t>
        </is>
      </c>
      <c r="Y927" s="96" t="n">
        <v>46188</v>
      </c>
      <c r="Z927" t="inlineStr">
        <is>
          <t>https://app.hubspot.com/contacts/243046792/record/0-3/329158819564</t>
        </is>
      </c>
    </row>
    <row r="928">
      <c r="A928" t="n">
        <v>927</v>
      </c>
      <c r="B928" t="inlineStr">
        <is>
          <t>328234447583</t>
        </is>
      </c>
      <c r="D928" t="inlineStr">
        <is>
          <t>Technology Challenge Pilot – AI for Muni-Code Search</t>
        </is>
      </c>
      <c r="E928" t="inlineStr">
        <is>
          <t>City of Detroit</t>
        </is>
      </c>
      <c r="F928" t="inlineStr">
        <is>
          <t>Michigan</t>
        </is>
      </c>
      <c r="G928" t="inlineStr">
        <is>
          <t>Submitted</t>
        </is>
      </c>
      <c r="H928" t="inlineStr">
        <is>
          <t>No</t>
        </is>
      </c>
      <c r="J928" s="96" t="n">
        <v>46192</v>
      </c>
      <c r="K928" s="96" t="n">
        <v>46192</v>
      </c>
      <c r="M928" t="inlineStr">
        <is>
          <t>Consulting</t>
        </is>
      </c>
      <c r="O928" t="inlineStr">
        <is>
          <t>Savya Atrey</t>
        </is>
      </c>
      <c r="Y928" s="96" t="n">
        <v>46177</v>
      </c>
      <c r="Z928" t="inlineStr">
        <is>
          <t>https://app.hubspot.com/contacts/243046792/record/0-3/328234447583</t>
        </is>
      </c>
    </row>
    <row r="929">
      <c r="A929" t="n">
        <v>928</v>
      </c>
      <c r="B929" t="inlineStr">
        <is>
          <t>135181083328</t>
        </is>
      </c>
      <c r="D929" t="inlineStr">
        <is>
          <t>On Call Services - Servicenow Platform Development</t>
        </is>
      </c>
      <c r="E929" t="inlineStr">
        <is>
          <t>City of Portland, Bureau of Technology Services (BTS)</t>
        </is>
      </c>
      <c r="F929" t="inlineStr">
        <is>
          <t>Maine</t>
        </is>
      </c>
      <c r="G929" t="inlineStr">
        <is>
          <t>RFx Cancelled</t>
        </is>
      </c>
      <c r="H929" t="inlineStr">
        <is>
          <t>No</t>
        </is>
      </c>
      <c r="J929" s="96" t="n">
        <v>45862</v>
      </c>
      <c r="K929" s="96" t="n">
        <v>45862</v>
      </c>
      <c r="O929" t="inlineStr">
        <is>
          <t>Madhav Mitruka</t>
        </is>
      </c>
      <c r="Y929" s="96" t="n">
        <v>45869</v>
      </c>
      <c r="Z929" t="inlineStr">
        <is>
          <t>https://app.hubspot.com/contacts/243046792/record/0-3/135181083328</t>
        </is>
      </c>
    </row>
    <row r="930">
      <c r="A930" t="n">
        <v>929</v>
      </c>
      <c r="B930" t="inlineStr">
        <is>
          <t>134586525415</t>
        </is>
      </c>
      <c r="D930" t="inlineStr">
        <is>
          <t>On Call Services - Project Management</t>
        </is>
      </c>
      <c r="E930" t="inlineStr">
        <is>
          <t>City of Portland, Bureau of Technology Services (BTS)</t>
        </is>
      </c>
      <c r="F930" t="inlineStr">
        <is>
          <t>Maine</t>
        </is>
      </c>
      <c r="G930" t="inlineStr">
        <is>
          <t>RFx Cancelled</t>
        </is>
      </c>
      <c r="H930" t="inlineStr">
        <is>
          <t>No</t>
        </is>
      </c>
      <c r="J930" s="96" t="n">
        <v>45862</v>
      </c>
      <c r="K930" s="96" t="n">
        <v>45862</v>
      </c>
      <c r="O930" t="inlineStr">
        <is>
          <t>Madhav Mitruka</t>
        </is>
      </c>
      <c r="Y930" s="96" t="n">
        <v>45869</v>
      </c>
      <c r="Z930" t="inlineStr">
        <is>
          <t>https://app.hubspot.com/contacts/243046792/record/0-3/134586525415</t>
        </is>
      </c>
    </row>
    <row r="931">
      <c r="A931" t="n">
        <v>930</v>
      </c>
      <c r="B931" t="inlineStr">
        <is>
          <t>134586525390</t>
        </is>
      </c>
      <c r="D931" t="inlineStr">
        <is>
          <t>On Call Services - Web Application Development</t>
        </is>
      </c>
      <c r="E931" t="inlineStr">
        <is>
          <t>City of Portland, Bureau of Technology Services (BTS)</t>
        </is>
      </c>
      <c r="F931" t="inlineStr">
        <is>
          <t>Maine</t>
        </is>
      </c>
      <c r="G931" t="inlineStr">
        <is>
          <t>RFx Cancelled</t>
        </is>
      </c>
      <c r="H931" t="inlineStr">
        <is>
          <t>No</t>
        </is>
      </c>
      <c r="J931" s="96" t="n">
        <v>45862</v>
      </c>
      <c r="K931" s="96" t="n">
        <v>45862</v>
      </c>
      <c r="O931" t="inlineStr">
        <is>
          <t>Madhav Mitruka</t>
        </is>
      </c>
      <c r="Y931" s="96" t="n">
        <v>45869</v>
      </c>
      <c r="Z931" t="inlineStr">
        <is>
          <t>https://app.hubspot.com/contacts/243046792/record/0-3/134586525390</t>
        </is>
      </c>
    </row>
    <row r="932">
      <c r="A932" t="n">
        <v>931</v>
      </c>
      <c r="B932" t="inlineStr">
        <is>
          <t>135181082361</t>
        </is>
      </c>
      <c r="D932" t="inlineStr">
        <is>
          <t>On Call Services - GIS Product and PlatformDevelopment Data PlatformEngineering Development</t>
        </is>
      </c>
      <c r="E932" t="inlineStr">
        <is>
          <t>City of Portland, Bureau of Technology Services (BTS)</t>
        </is>
      </c>
      <c r="F932" t="inlineStr">
        <is>
          <t>Maine</t>
        </is>
      </c>
      <c r="G932" t="inlineStr">
        <is>
          <t>RFx Cancelled</t>
        </is>
      </c>
      <c r="H932" t="inlineStr">
        <is>
          <t>No</t>
        </is>
      </c>
      <c r="J932" s="96" t="n">
        <v>45862</v>
      </c>
      <c r="K932" s="96" t="n">
        <v>45862</v>
      </c>
      <c r="O932" t="inlineStr">
        <is>
          <t>Madhav Mitruka</t>
        </is>
      </c>
      <c r="Y932" s="96" t="n">
        <v>45869</v>
      </c>
      <c r="Z932" t="inlineStr">
        <is>
          <t>https://app.hubspot.com/contacts/243046792/record/0-3/135181082361</t>
        </is>
      </c>
    </row>
    <row r="933">
      <c r="A933" t="n">
        <v>932</v>
      </c>
      <c r="B933" t="inlineStr">
        <is>
          <t>134586525395</t>
        </is>
      </c>
      <c r="D933" t="inlineStr">
        <is>
          <t>On-Call Services - Data Product and PlatformDevelopment</t>
        </is>
      </c>
      <c r="E933" t="inlineStr">
        <is>
          <t>City of Portland, Bureau of Technology Services (BTS)</t>
        </is>
      </c>
      <c r="F933" t="inlineStr">
        <is>
          <t>Maine</t>
        </is>
      </c>
      <c r="G933" t="inlineStr">
        <is>
          <t>RFx Cancelled</t>
        </is>
      </c>
      <c r="H933" t="inlineStr">
        <is>
          <t>No</t>
        </is>
      </c>
      <c r="J933" s="96" t="n">
        <v>45862</v>
      </c>
      <c r="K933" s="96" t="n">
        <v>45862</v>
      </c>
      <c r="O933" t="inlineStr">
        <is>
          <t>Madhav Mitruka</t>
        </is>
      </c>
      <c r="Y933" s="96" t="n">
        <v>45869</v>
      </c>
      <c r="Z933" t="inlineStr">
        <is>
          <t>https://app.hubspot.com/contacts/243046792/record/0-3/134586525395</t>
        </is>
      </c>
    </row>
    <row r="934">
      <c r="A934" t="n">
        <v>933</v>
      </c>
      <c r="B934" t="inlineStr">
        <is>
          <t>134586525386</t>
        </is>
      </c>
      <c r="D934" t="inlineStr">
        <is>
          <t>On Call Services - Product Management Services</t>
        </is>
      </c>
      <c r="E934" t="inlineStr">
        <is>
          <t>City of Portland, Bureau of Technology Services (BTS)</t>
        </is>
      </c>
      <c r="F934" t="inlineStr">
        <is>
          <t>Maine</t>
        </is>
      </c>
      <c r="G934" t="inlineStr">
        <is>
          <t>RFx Cancelled</t>
        </is>
      </c>
      <c r="H934" t="inlineStr">
        <is>
          <t>No</t>
        </is>
      </c>
      <c r="J934" s="96" t="n">
        <v>45862</v>
      </c>
      <c r="K934" s="96" t="n">
        <v>45862</v>
      </c>
      <c r="O934" t="inlineStr">
        <is>
          <t>Madhav Mitruka</t>
        </is>
      </c>
      <c r="Y934" s="96" t="n">
        <v>45869</v>
      </c>
      <c r="Z934" t="inlineStr">
        <is>
          <t>https://app.hubspot.com/contacts/243046792/record/0-3/134586525386</t>
        </is>
      </c>
    </row>
    <row r="935">
      <c r="A935" t="n">
        <v>934</v>
      </c>
      <c r="B935" t="inlineStr">
        <is>
          <t>134586525380</t>
        </is>
      </c>
      <c r="D935" t="inlineStr">
        <is>
          <t>On Call Services - UI/UX and Service Design</t>
        </is>
      </c>
      <c r="E935" t="inlineStr">
        <is>
          <t>City of Portland, Bureau of Technology Services (BTS)</t>
        </is>
      </c>
      <c r="F935" t="inlineStr">
        <is>
          <t>Maine</t>
        </is>
      </c>
      <c r="G935" t="inlineStr">
        <is>
          <t>RFx Cancelled</t>
        </is>
      </c>
      <c r="H935" t="inlineStr">
        <is>
          <t>No</t>
        </is>
      </c>
      <c r="J935" s="96" t="n">
        <v>45862</v>
      </c>
      <c r="K935" s="96" t="n">
        <v>45862</v>
      </c>
      <c r="O935" t="inlineStr">
        <is>
          <t>Madhav Mitruka</t>
        </is>
      </c>
      <c r="Y935" s="96" t="n">
        <v>45869</v>
      </c>
      <c r="Z935" t="inlineStr">
        <is>
          <t>https://app.hubspot.com/contacts/243046792/record/0-3/134586525380</t>
        </is>
      </c>
    </row>
    <row r="936">
      <c r="A936" t="n">
        <v>935</v>
      </c>
      <c r="B936" t="inlineStr">
        <is>
          <t>134586525377</t>
        </is>
      </c>
      <c r="D936" t="inlineStr">
        <is>
          <t>On call Services - SAP Development</t>
        </is>
      </c>
      <c r="E936" t="inlineStr">
        <is>
          <t>City of Portland, Bureau of Technology Services (BTS)</t>
        </is>
      </c>
      <c r="F936" t="inlineStr">
        <is>
          <t>Maine</t>
        </is>
      </c>
      <c r="G936" t="inlineStr">
        <is>
          <t>RFx Cancelled</t>
        </is>
      </c>
      <c r="H936" t="inlineStr">
        <is>
          <t>No</t>
        </is>
      </c>
      <c r="J936" s="96" t="n">
        <v>45862</v>
      </c>
      <c r="K936" s="96" t="n">
        <v>45862</v>
      </c>
      <c r="O936" t="inlineStr">
        <is>
          <t>Madhav Mitruka</t>
        </is>
      </c>
      <c r="Y936" s="96" t="n">
        <v>45869</v>
      </c>
      <c r="Z936" t="inlineStr">
        <is>
          <t>https://app.hubspot.com/contacts/243046792/record/0-3/134586525377</t>
        </is>
      </c>
    </row>
    <row r="937">
      <c r="A937" t="n">
        <v>936</v>
      </c>
      <c r="B937" t="inlineStr">
        <is>
          <t>135180363460</t>
        </is>
      </c>
      <c r="D937" t="inlineStr">
        <is>
          <t>On-Call Services - SAP Basis and System Supportand Engineering</t>
        </is>
      </c>
      <c r="E937" t="inlineStr">
        <is>
          <t>City of Portland, Bureau of Technology Services (BTS)</t>
        </is>
      </c>
      <c r="F937" t="inlineStr">
        <is>
          <t>Maine</t>
        </is>
      </c>
      <c r="G937" t="inlineStr">
        <is>
          <t>RFx Cancelled</t>
        </is>
      </c>
      <c r="H937" t="inlineStr">
        <is>
          <t>No</t>
        </is>
      </c>
      <c r="J937" s="96" t="n">
        <v>45862</v>
      </c>
      <c r="K937" s="96" t="n">
        <v>45862</v>
      </c>
      <c r="O937" t="inlineStr">
        <is>
          <t>Madhav Mitruka</t>
        </is>
      </c>
      <c r="Y937" s="96" t="n">
        <v>45869</v>
      </c>
      <c r="Z937" t="inlineStr">
        <is>
          <t>https://app.hubspot.com/contacts/243046792/record/0-3/135180363460</t>
        </is>
      </c>
    </row>
    <row r="938">
      <c r="A938" t="n">
        <v>937</v>
      </c>
      <c r="B938" t="inlineStr">
        <is>
          <t>135181083336</t>
        </is>
      </c>
      <c r="D938" t="inlineStr">
        <is>
          <t>On Call Services - Quality Assurance</t>
        </is>
      </c>
      <c r="E938" t="inlineStr">
        <is>
          <t>City of Portland, Bureau of Technology Services (BTS)</t>
        </is>
      </c>
      <c r="F938" t="inlineStr">
        <is>
          <t>Maine</t>
        </is>
      </c>
      <c r="G938" t="inlineStr">
        <is>
          <t>RFx Cancelled</t>
        </is>
      </c>
      <c r="H938" t="inlineStr">
        <is>
          <t>No</t>
        </is>
      </c>
      <c r="J938" s="96" t="n">
        <v>45862</v>
      </c>
      <c r="K938" s="96" t="n">
        <v>45862</v>
      </c>
      <c r="O938" t="inlineStr">
        <is>
          <t>Madhav Mitruka</t>
        </is>
      </c>
      <c r="Y938" s="96" t="n">
        <v>45869</v>
      </c>
      <c r="Z938" t="inlineStr">
        <is>
          <t>https://app.hubspot.com/contacts/243046792/record/0-3/135181083336</t>
        </is>
      </c>
    </row>
    <row r="939">
      <c r="A939" t="n">
        <v>938</v>
      </c>
      <c r="B939" t="inlineStr">
        <is>
          <t>134586525418</t>
        </is>
      </c>
      <c r="D939" t="inlineStr">
        <is>
          <t>On Call Services - Information TechnologiesPlanning, Business Analysis,Professional Development, AndProcess Facilitation</t>
        </is>
      </c>
      <c r="E939" t="inlineStr">
        <is>
          <t>City of Portland, Bureau of Technology Services (BTS)</t>
        </is>
      </c>
      <c r="F939" t="inlineStr">
        <is>
          <t>Maine</t>
        </is>
      </c>
      <c r="G939" t="inlineStr">
        <is>
          <t>RFx Cancelled</t>
        </is>
      </c>
      <c r="H939" t="inlineStr">
        <is>
          <t>No</t>
        </is>
      </c>
      <c r="J939" s="96" t="n">
        <v>45862</v>
      </c>
      <c r="K939" s="96" t="n">
        <v>45862</v>
      </c>
      <c r="O939" t="inlineStr">
        <is>
          <t>Madhav Mitruka</t>
        </is>
      </c>
      <c r="Y939" s="96" t="n">
        <v>45869</v>
      </c>
      <c r="Z939" t="inlineStr">
        <is>
          <t>https://app.hubspot.com/contacts/243046792/record/0-3/134586525418</t>
        </is>
      </c>
    </row>
    <row r="940">
      <c r="A940" t="n">
        <v>939</v>
      </c>
      <c r="B940" t="inlineStr">
        <is>
          <t>110689918668</t>
        </is>
      </c>
      <c r="D940" t="inlineStr">
        <is>
          <t>On Call Services - General Application Development</t>
        </is>
      </c>
      <c r="E940" t="inlineStr">
        <is>
          <t>City of Portland, Bureau of Technology Services (BTS)</t>
        </is>
      </c>
      <c r="F940" t="inlineStr">
        <is>
          <t>Maine</t>
        </is>
      </c>
      <c r="G940" t="inlineStr">
        <is>
          <t>RFx Cancelled</t>
        </is>
      </c>
      <c r="H940" t="inlineStr">
        <is>
          <t>No</t>
        </is>
      </c>
      <c r="J940" s="96" t="n">
        <v>45861</v>
      </c>
      <c r="K940" s="96" t="n">
        <v>45862</v>
      </c>
      <c r="N940" t="inlineStr">
        <is>
          <t>Portal</t>
        </is>
      </c>
      <c r="O940" t="inlineStr">
        <is>
          <t>Madhav Mitruka</t>
        </is>
      </c>
      <c r="Y940" s="96" t="n">
        <v>45839</v>
      </c>
      <c r="Z940" t="inlineStr">
        <is>
          <t>https://app.hubspot.com/contacts/243046792/record/0-3/110689918668</t>
        </is>
      </c>
    </row>
    <row r="941">
      <c r="A941" t="n">
        <v>940</v>
      </c>
      <c r="B941" t="inlineStr">
        <is>
          <t>108771377910</t>
        </is>
      </c>
      <c r="D941" t="inlineStr">
        <is>
          <t>IT Advisory ServicesBoston Water &amp; Sewer Commission</t>
        </is>
      </c>
      <c r="F941" t="inlineStr">
        <is>
          <t>Massachusetts</t>
        </is>
      </c>
      <c r="G941" t="inlineStr">
        <is>
          <t>Closed Lost</t>
        </is>
      </c>
      <c r="H941" t="inlineStr">
        <is>
          <t>No</t>
        </is>
      </c>
      <c r="J941" s="96" t="n">
        <v>46203</v>
      </c>
      <c r="N941" t="inlineStr">
        <is>
          <t>Portal</t>
        </is>
      </c>
      <c r="O941" t="inlineStr">
        <is>
          <t>Madhav Mitruka</t>
        </is>
      </c>
      <c r="Y941" s="96" t="n">
        <v>45839</v>
      </c>
      <c r="Z941" t="inlineStr">
        <is>
          <t>https://app.hubspot.com/contacts/243046792/record/0-3/108771377910</t>
        </is>
      </c>
    </row>
    <row r="942">
      <c r="A942" t="n">
        <v>941</v>
      </c>
      <c r="B942" t="inlineStr">
        <is>
          <t>116977705712</t>
        </is>
      </c>
      <c r="D942" t="inlineStr">
        <is>
          <t>Veeam Backup and Recovery Renewal</t>
        </is>
      </c>
      <c r="E942" t="inlineStr">
        <is>
          <t>Metropolitan Community College</t>
        </is>
      </c>
      <c r="F942" t="inlineStr">
        <is>
          <t>Missouri</t>
        </is>
      </c>
      <c r="G942" t="inlineStr">
        <is>
          <t>Closed Lost</t>
        </is>
      </c>
      <c r="H942" t="inlineStr">
        <is>
          <t>No</t>
        </is>
      </c>
      <c r="J942" s="96" t="n">
        <v>46203</v>
      </c>
      <c r="K942" s="96" t="n">
        <v>45856</v>
      </c>
      <c r="M942" t="inlineStr">
        <is>
          <t>Reseller</t>
        </is>
      </c>
      <c r="O942" t="inlineStr">
        <is>
          <t>Madhav Mitruka</t>
        </is>
      </c>
      <c r="Y942" s="96" t="n">
        <v>45848</v>
      </c>
      <c r="Z942" t="inlineStr">
        <is>
          <t>https://app.hubspot.com/contacts/243046792/record/0-3/116977705712</t>
        </is>
      </c>
    </row>
    <row r="943">
      <c r="A943" t="n">
        <v>942</v>
      </c>
      <c r="B943" t="inlineStr">
        <is>
          <t>332227415747</t>
        </is>
      </c>
      <c r="D943" t="inlineStr">
        <is>
          <t>Azure Synapse Database Development - Managed Services</t>
        </is>
      </c>
      <c r="E943" t="inlineStr">
        <is>
          <t>El Paso County</t>
        </is>
      </c>
      <c r="F943" t="inlineStr">
        <is>
          <t>Colorado</t>
        </is>
      </c>
      <c r="G943" t="inlineStr">
        <is>
          <t>Submitted</t>
        </is>
      </c>
      <c r="H943" t="inlineStr">
        <is>
          <t>No</t>
        </is>
      </c>
      <c r="J943" s="96" t="n">
        <v>46203</v>
      </c>
      <c r="K943" s="96" t="n">
        <v>46202</v>
      </c>
      <c r="L943" t="n">
        <v>35600</v>
      </c>
      <c r="M943" t="inlineStr">
        <is>
          <t>Managed Services (MSP);Staff Augmentation</t>
        </is>
      </c>
      <c r="O943" t="inlineStr">
        <is>
          <t>Jyothsna Nanda kishore</t>
        </is>
      </c>
      <c r="Y943" s="96" t="n">
        <v>46196</v>
      </c>
      <c r="Z943" t="inlineStr">
        <is>
          <t>https://app.hubspot.com/contacts/243046792/record/0-3/332227415747</t>
        </is>
      </c>
    </row>
    <row r="944">
      <c r="A944" t="n">
        <v>943</v>
      </c>
      <c r="B944" t="inlineStr">
        <is>
          <t>328233725634</t>
        </is>
      </c>
      <c r="D944" t="inlineStr">
        <is>
          <t>MANAGED SERVICES SUPPORT OF SALESFORCE</t>
        </is>
      </c>
      <c r="E944" t="inlineStr">
        <is>
          <t>Connecticut Green Bank</t>
        </is>
      </c>
      <c r="F944" t="inlineStr">
        <is>
          <t>Connecticut</t>
        </is>
      </c>
      <c r="G944" t="inlineStr">
        <is>
          <t>Closed Lost</t>
        </is>
      </c>
      <c r="H944" t="inlineStr">
        <is>
          <t>No</t>
        </is>
      </c>
      <c r="J944" s="96" t="n">
        <v>46293</v>
      </c>
      <c r="K944" s="96" t="n">
        <v>46203</v>
      </c>
      <c r="L944" t="n">
        <v>37950</v>
      </c>
      <c r="M944" t="inlineStr">
        <is>
          <t>Support &amp; Maintenance</t>
        </is>
      </c>
      <c r="N944" t="inlineStr">
        <is>
          <t>Email</t>
        </is>
      </c>
      <c r="O944" t="inlineStr">
        <is>
          <t>Jyothsna Nanda kishore</t>
        </is>
      </c>
      <c r="Y944" s="96" t="n">
        <v>46177</v>
      </c>
      <c r="Z944" t="inlineStr">
        <is>
          <t>https://app.hubspot.com/contacts/243046792/record/0-3/328233725634</t>
        </is>
      </c>
    </row>
    <row r="945">
      <c r="A945" t="n">
        <v>944</v>
      </c>
      <c r="B945" t="inlineStr">
        <is>
          <t>108771381962</t>
        </is>
      </c>
      <c r="D945" t="inlineStr">
        <is>
          <t>Cloud-Based Document Management Software And Related Services</t>
        </is>
      </c>
      <c r="E945" t="inlineStr">
        <is>
          <t>Las Virgenes Municipal Water District</t>
        </is>
      </c>
      <c r="F945" t="inlineStr">
        <is>
          <t>California</t>
        </is>
      </c>
      <c r="G945" t="inlineStr">
        <is>
          <t>Closed Lost</t>
        </is>
      </c>
      <c r="H945" t="inlineStr">
        <is>
          <t>No</t>
        </is>
      </c>
      <c r="J945" s="96" t="n">
        <v>46203</v>
      </c>
      <c r="K945" s="96" t="n">
        <v>45856</v>
      </c>
      <c r="M945" t="inlineStr">
        <is>
          <t>Platform Implementation (ERP, CRMs);Modernization / Migration</t>
        </is>
      </c>
      <c r="N945" t="inlineStr">
        <is>
          <t>Portal</t>
        </is>
      </c>
      <c r="O945" t="inlineStr">
        <is>
          <t>Madhav Mitruka</t>
        </is>
      </c>
      <c r="Y945" s="96" t="n">
        <v>45839</v>
      </c>
      <c r="Z945" t="inlineStr">
        <is>
          <t>https://app.hubspot.com/contacts/243046792/record/0-3/108771381962</t>
        </is>
      </c>
    </row>
    <row r="946">
      <c r="A946" t="n">
        <v>945</v>
      </c>
      <c r="B946" t="inlineStr">
        <is>
          <t>328510515911</t>
        </is>
      </c>
      <c r="D946" t="inlineStr">
        <is>
          <t>OFFLINE Website Consultant for the Essex County Commissioners</t>
        </is>
      </c>
      <c r="E946" t="inlineStr">
        <is>
          <t>Essex County</t>
        </is>
      </c>
      <c r="F946" t="inlineStr">
        <is>
          <t>New Jersey</t>
        </is>
      </c>
      <c r="G946" t="inlineStr">
        <is>
          <t>Closed Lost</t>
        </is>
      </c>
      <c r="H946" t="inlineStr">
        <is>
          <t>No</t>
        </is>
      </c>
      <c r="J946" s="96" t="n">
        <v>46233</v>
      </c>
      <c r="K946" s="96" t="n">
        <v>46211</v>
      </c>
      <c r="M946" t="inlineStr">
        <is>
          <t>Support &amp; Maintenance</t>
        </is>
      </c>
      <c r="O946" t="inlineStr">
        <is>
          <t>Savya Atrey</t>
        </is>
      </c>
      <c r="Y946" s="96" t="n">
        <v>46183</v>
      </c>
      <c r="Z946" t="inlineStr">
        <is>
          <t>https://app.hubspot.com/contacts/243046792/record/0-3/328510515911</t>
        </is>
      </c>
    </row>
    <row r="947">
      <c r="A947" t="n">
        <v>946</v>
      </c>
      <c r="B947" t="inlineStr">
        <is>
          <t>327714178777</t>
        </is>
      </c>
      <c r="D947" t="inlineStr">
        <is>
          <t>Information Technology Managed Services and Operational Support (Rebid)</t>
        </is>
      </c>
      <c r="E947" t="inlineStr">
        <is>
          <t xml:space="preserve">Capital Regional Transportation Council </t>
        </is>
      </c>
      <c r="F947" t="inlineStr">
        <is>
          <t>New York</t>
        </is>
      </c>
      <c r="G947" t="inlineStr">
        <is>
          <t>Interview</t>
        </is>
      </c>
      <c r="H947" t="inlineStr">
        <is>
          <t>Yes</t>
        </is>
      </c>
      <c r="J947" s="96" t="n">
        <v>46199</v>
      </c>
      <c r="K947" s="96" t="n">
        <v>46199</v>
      </c>
      <c r="M947" t="inlineStr">
        <is>
          <t>Managed Services (MSP)</t>
        </is>
      </c>
      <c r="O947" t="inlineStr">
        <is>
          <t>Savya Atrey</t>
        </is>
      </c>
      <c r="Y947" s="96" t="n">
        <v>46176</v>
      </c>
      <c r="Z947" t="inlineStr">
        <is>
          <t>https://app.hubspot.com/contacts/243046792/record/0-3/327714178777</t>
        </is>
      </c>
    </row>
    <row r="948">
      <c r="A948" t="n">
        <v>947</v>
      </c>
      <c r="B948" t="inlineStr">
        <is>
          <t>326363915973</t>
        </is>
      </c>
      <c r="D948" t="inlineStr">
        <is>
          <t>Azure Managed Services Provider</t>
        </is>
      </c>
      <c r="E948" t="inlineStr">
        <is>
          <t>American Association of Motor Vehicle Administrators</t>
        </is>
      </c>
      <c r="F948" t="inlineStr">
        <is>
          <t>Virginia</t>
        </is>
      </c>
      <c r="G948" t="inlineStr">
        <is>
          <t>Closed Lost</t>
        </is>
      </c>
      <c r="H948" t="inlineStr">
        <is>
          <t>Yes</t>
        </is>
      </c>
      <c r="J948" s="96" t="n">
        <v>46276</v>
      </c>
      <c r="K948" s="96" t="n">
        <v>46202</v>
      </c>
      <c r="L948" t="n">
        <v>2511912</v>
      </c>
      <c r="M948" t="inlineStr">
        <is>
          <t>Managed Services (MSP)</t>
        </is>
      </c>
      <c r="N948" t="inlineStr">
        <is>
          <t>Email</t>
        </is>
      </c>
      <c r="O948" t="inlineStr">
        <is>
          <t>Jyothsna Nanda kishore</t>
        </is>
      </c>
      <c r="Q948" s="96" t="n">
        <v>46248</v>
      </c>
      <c r="Y948" s="96" t="n">
        <v>46169</v>
      </c>
      <c r="Z948" t="inlineStr">
        <is>
          <t>https://app.hubspot.com/contacts/243046792/record/0-3/326363915973</t>
        </is>
      </c>
    </row>
    <row r="949">
      <c r="A949" t="n">
        <v>948</v>
      </c>
      <c r="B949" t="inlineStr">
        <is>
          <t>330226695867</t>
        </is>
      </c>
      <c r="D949" t="inlineStr">
        <is>
          <t>Microsoft Office 365 with Teams</t>
        </is>
      </c>
      <c r="E949" t="inlineStr">
        <is>
          <t>City of Morristown</t>
        </is>
      </c>
      <c r="F949" t="inlineStr">
        <is>
          <t>Tennessee</t>
        </is>
      </c>
      <c r="G949" t="inlineStr">
        <is>
          <t>RFx Cancelled</t>
        </is>
      </c>
      <c r="H949" t="inlineStr">
        <is>
          <t>No</t>
        </is>
      </c>
      <c r="J949" s="96" t="n">
        <v>46205</v>
      </c>
      <c r="M949" t="inlineStr">
        <is>
          <t>Managed Services (MSP)</t>
        </is>
      </c>
      <c r="O949" t="inlineStr">
        <is>
          <t>Ashutosh Chauhan</t>
        </is>
      </c>
      <c r="Y949" s="96" t="n">
        <v>46190</v>
      </c>
      <c r="Z949" t="inlineStr">
        <is>
          <t>https://app.hubspot.com/contacts/243046792/record/0-3/330226695867</t>
        </is>
      </c>
    </row>
    <row r="950">
      <c r="A950" t="n">
        <v>949</v>
      </c>
      <c r="B950" t="inlineStr">
        <is>
          <t>144836949712</t>
        </is>
      </c>
      <c r="C950" t="inlineStr">
        <is>
          <t>2000004198</t>
        </is>
      </c>
      <c r="D950" t="inlineStr">
        <is>
          <t>IT Staff Augmentation - Cybersecurity Support</t>
        </is>
      </c>
      <c r="E950" t="inlineStr">
        <is>
          <t>Fairfax County</t>
        </is>
      </c>
      <c r="F950" t="inlineStr">
        <is>
          <t>Virginia</t>
        </is>
      </c>
      <c r="G950" t="inlineStr">
        <is>
          <t>Closed Lost</t>
        </is>
      </c>
      <c r="H950" t="inlineStr">
        <is>
          <t>No</t>
        </is>
      </c>
      <c r="J950" s="96" t="n">
        <v>46196</v>
      </c>
      <c r="K950" s="96" t="n">
        <v>45891</v>
      </c>
      <c r="M950" t="inlineStr">
        <is>
          <t>Staff Augmentation</t>
        </is>
      </c>
      <c r="N950" t="inlineStr">
        <is>
          <t>Portal</t>
        </is>
      </c>
      <c r="O950" t="inlineStr">
        <is>
          <t>Jyothsna Nanda kishore</t>
        </is>
      </c>
      <c r="Y950" s="96" t="n">
        <v>45891</v>
      </c>
      <c r="Z950" t="inlineStr">
        <is>
          <t>https://app.hubspot.com/contacts/243046792/record/0-3/144836949712</t>
        </is>
      </c>
    </row>
    <row r="951">
      <c r="A951" t="n">
        <v>950</v>
      </c>
      <c r="B951" t="inlineStr">
        <is>
          <t>310415416029</t>
        </is>
      </c>
      <c r="D951" t="inlineStr">
        <is>
          <t>MRC Technology and Support Services RFR</t>
        </is>
      </c>
      <c r="E951" t="inlineStr">
        <is>
          <t>Massability</t>
        </is>
      </c>
      <c r="F951" t="inlineStr">
        <is>
          <t>Massachusetts</t>
        </is>
      </c>
      <c r="G951" t="inlineStr">
        <is>
          <t>Submitted</t>
        </is>
      </c>
      <c r="H951" t="inlineStr">
        <is>
          <t>No</t>
        </is>
      </c>
      <c r="J951" s="96" t="n">
        <v>46203</v>
      </c>
      <c r="K951" s="96" t="n">
        <v>46203</v>
      </c>
      <c r="M951" t="inlineStr">
        <is>
          <t>Managed Services (MSP)</t>
        </is>
      </c>
      <c r="O951" t="inlineStr">
        <is>
          <t>Savya Atrey</t>
        </is>
      </c>
      <c r="Y951" s="96" t="n">
        <v>46084</v>
      </c>
      <c r="Z951" t="inlineStr">
        <is>
          <t>https://app.hubspot.com/contacts/243046792/record/0-3/310415416029</t>
        </is>
      </c>
    </row>
    <row r="952">
      <c r="A952" t="n">
        <v>951</v>
      </c>
      <c r="B952" t="inlineStr">
        <is>
          <t>324817243866</t>
        </is>
      </c>
      <c r="C952" t="inlineStr">
        <is>
          <t>RFP No. 2026MMCD04</t>
        </is>
      </c>
      <c r="D952" t="inlineStr">
        <is>
          <t>IT Support Services</t>
        </is>
      </c>
      <c r="E952" t="inlineStr">
        <is>
          <t>Metropolitan Mosquito Control District</t>
        </is>
      </c>
      <c r="F952" t="inlineStr">
        <is>
          <t>Minnesota</t>
        </is>
      </c>
      <c r="G952" t="inlineStr">
        <is>
          <t>Submitted</t>
        </is>
      </c>
      <c r="H952" t="inlineStr">
        <is>
          <t>No</t>
        </is>
      </c>
      <c r="J952" s="96" t="n">
        <v>46185</v>
      </c>
      <c r="K952" s="96" t="n">
        <v>46185</v>
      </c>
      <c r="L952" t="n">
        <v>33800</v>
      </c>
      <c r="M952" t="inlineStr">
        <is>
          <t>Managed Services (MSP)</t>
        </is>
      </c>
      <c r="N952" t="inlineStr">
        <is>
          <t>Email</t>
        </is>
      </c>
      <c r="O952" t="inlineStr">
        <is>
          <t>Savya Atrey</t>
        </is>
      </c>
      <c r="Y952" s="96" t="n">
        <v>46155</v>
      </c>
      <c r="Z952" t="inlineStr">
        <is>
          <t>https://app.hubspot.com/contacts/243046792/record/0-3/324817243866</t>
        </is>
      </c>
    </row>
    <row r="953">
      <c r="A953" t="n">
        <v>952</v>
      </c>
      <c r="B953" t="inlineStr">
        <is>
          <t>326064320220</t>
        </is>
      </c>
      <c r="C953" t="inlineStr">
        <is>
          <t>26-115RC</t>
        </is>
      </c>
      <c r="D953" t="inlineStr">
        <is>
          <t>Wyoming 511 Mobile Application Modernization For Both Android And Ios Platforms</t>
        </is>
      </c>
      <c r="E953" t="inlineStr">
        <is>
          <t>Wyoming Department of Transportation</t>
        </is>
      </c>
      <c r="F953" t="inlineStr">
        <is>
          <t>Wyoming</t>
        </is>
      </c>
      <c r="G953" t="inlineStr">
        <is>
          <t>Submitted</t>
        </is>
      </c>
      <c r="H953" t="inlineStr">
        <is>
          <t>No</t>
        </is>
      </c>
      <c r="J953" s="96" t="n">
        <v>46203</v>
      </c>
      <c r="K953" s="96" t="n">
        <v>46203</v>
      </c>
      <c r="M953" t="inlineStr">
        <is>
          <t>Custom development</t>
        </is>
      </c>
      <c r="O953" t="inlineStr">
        <is>
          <t>Savya Atrey</t>
        </is>
      </c>
      <c r="Y953" s="96" t="n">
        <v>46163</v>
      </c>
      <c r="Z953" t="inlineStr">
        <is>
          <t>https://app.hubspot.com/contacts/243046792/record/0-3/326064320220</t>
        </is>
      </c>
    </row>
    <row r="954">
      <c r="A954" t="n">
        <v>953</v>
      </c>
      <c r="B954" t="inlineStr">
        <is>
          <t>326613033706</t>
        </is>
      </c>
      <c r="D954" t="inlineStr">
        <is>
          <t>Geographical Information Systems (GIS) Contract Support Services</t>
        </is>
      </c>
      <c r="E954" t="inlineStr">
        <is>
          <t>City of Norco</t>
        </is>
      </c>
      <c r="F954" t="inlineStr">
        <is>
          <t>California</t>
        </is>
      </c>
      <c r="G954" t="inlineStr">
        <is>
          <t>Submitted</t>
        </is>
      </c>
      <c r="H954" t="inlineStr">
        <is>
          <t>No</t>
        </is>
      </c>
      <c r="J954" s="96" t="n">
        <v>46204</v>
      </c>
      <c r="K954" s="96" t="n">
        <v>46203</v>
      </c>
      <c r="M954" t="inlineStr">
        <is>
          <t>Support &amp; Maintenance</t>
        </is>
      </c>
      <c r="O954" t="inlineStr">
        <is>
          <t>Savya Atrey</t>
        </is>
      </c>
      <c r="Y954" s="96" t="n">
        <v>46169</v>
      </c>
      <c r="Z954" t="inlineStr">
        <is>
          <t>https://app.hubspot.com/contacts/243046792/record/0-3/326613033706</t>
        </is>
      </c>
    </row>
    <row r="955">
      <c r="A955" t="n">
        <v>954</v>
      </c>
      <c r="B955" t="inlineStr">
        <is>
          <t>327714846400</t>
        </is>
      </c>
      <c r="C955" t="inlineStr">
        <is>
          <t>PE-66551-NONST-2027-000000017</t>
        </is>
      </c>
      <c r="D955" t="inlineStr">
        <is>
          <t>Municipal Information Technology Services</t>
        </is>
      </c>
      <c r="E955" t="inlineStr">
        <is>
          <t>City of Cairo - Georgia</t>
        </is>
      </c>
      <c r="F955" t="inlineStr">
        <is>
          <t>Georgia</t>
        </is>
      </c>
      <c r="G955" t="inlineStr">
        <is>
          <t>Submitted</t>
        </is>
      </c>
      <c r="H955" t="inlineStr">
        <is>
          <t>No</t>
        </is>
      </c>
      <c r="J955" s="96" t="n">
        <v>46204</v>
      </c>
      <c r="K955" s="96" t="n">
        <v>46203</v>
      </c>
      <c r="M955" t="inlineStr">
        <is>
          <t>Managed Services (MSP)</t>
        </is>
      </c>
      <c r="O955" t="inlineStr">
        <is>
          <t>Savya Atrey</t>
        </is>
      </c>
      <c r="Y955" s="96" t="n">
        <v>46176</v>
      </c>
      <c r="Z955" t="inlineStr">
        <is>
          <t>https://app.hubspot.com/contacts/243046792/record/0-3/327714846400</t>
        </is>
      </c>
    </row>
    <row r="956">
      <c r="A956" t="n">
        <v>955</v>
      </c>
      <c r="B956" t="inlineStr">
        <is>
          <t>328204746456</t>
        </is>
      </c>
      <c r="C956" t="inlineStr">
        <is>
          <t>06012026/ET</t>
        </is>
      </c>
      <c r="D956" t="inlineStr">
        <is>
          <t>Custom Application Development and Artificial Intelligence (AI) Services</t>
        </is>
      </c>
      <c r="E956" t="inlineStr">
        <is>
          <t>Institute of International Education</t>
        </is>
      </c>
      <c r="F956" t="inlineStr">
        <is>
          <t>New York</t>
        </is>
      </c>
      <c r="G956" t="inlineStr">
        <is>
          <t>Submitted</t>
        </is>
      </c>
      <c r="H956" t="inlineStr">
        <is>
          <t>No</t>
        </is>
      </c>
      <c r="J956" s="96" t="n">
        <v>46209</v>
      </c>
      <c r="K956" s="96" t="n">
        <v>46203</v>
      </c>
      <c r="M956" t="inlineStr">
        <is>
          <t>Custom development</t>
        </is>
      </c>
      <c r="O956" t="inlineStr">
        <is>
          <t>Savya Atrey</t>
        </is>
      </c>
      <c r="Y956" s="96" t="n">
        <v>46177</v>
      </c>
      <c r="Z956" t="inlineStr">
        <is>
          <t>https://app.hubspot.com/contacts/243046792/record/0-3/328204746456</t>
        </is>
      </c>
    </row>
    <row r="957">
      <c r="A957" t="n">
        <v>956</v>
      </c>
      <c r="B957" t="inlineStr">
        <is>
          <t>328206903014</t>
        </is>
      </c>
      <c r="C957" t="inlineStr">
        <is>
          <t>ITT FY26-223</t>
        </is>
      </c>
      <c r="D957" t="inlineStr">
        <is>
          <t>IT Support Service</t>
        </is>
      </c>
      <c r="E957" t="inlineStr">
        <is>
          <t>Plan International</t>
        </is>
      </c>
      <c r="F957" t="inlineStr">
        <is>
          <t>Rhode Island</t>
        </is>
      </c>
      <c r="G957" t="inlineStr">
        <is>
          <t>Submitted</t>
        </is>
      </c>
      <c r="H957" t="inlineStr">
        <is>
          <t>No</t>
        </is>
      </c>
      <c r="J957" s="96" t="n">
        <v>46206</v>
      </c>
      <c r="K957" s="96" t="n">
        <v>46203</v>
      </c>
      <c r="O957" t="inlineStr">
        <is>
          <t>Ashutosh Chauhan</t>
        </is>
      </c>
      <c r="Y957" s="96" t="n">
        <v>46177</v>
      </c>
      <c r="Z957" t="inlineStr">
        <is>
          <t>https://app.hubspot.com/contacts/243046792/record/0-3/328206903014</t>
        </is>
      </c>
    </row>
    <row r="958">
      <c r="A958" t="n">
        <v>957</v>
      </c>
      <c r="B958" t="inlineStr">
        <is>
          <t>328509329108</t>
        </is>
      </c>
      <c r="C958" t="inlineStr">
        <is>
          <t>2026-19</t>
        </is>
      </c>
      <c r="D958" t="inlineStr">
        <is>
          <t>24/7 Cybersecurity Monitoring, Patch Management, And Cyber Network Monitoring Services</t>
        </is>
      </c>
      <c r="E958" t="inlineStr">
        <is>
          <t xml:space="preserve">Jasper County </t>
        </is>
      </c>
      <c r="F958" t="inlineStr">
        <is>
          <t>South Carolina</t>
        </is>
      </c>
      <c r="G958" t="inlineStr">
        <is>
          <t>Interview</t>
        </is>
      </c>
      <c r="H958" t="inlineStr">
        <is>
          <t>Yes</t>
        </is>
      </c>
      <c r="J958" s="96" t="n">
        <v>46204</v>
      </c>
      <c r="K958" s="96" t="n">
        <v>46203</v>
      </c>
      <c r="L958" t="n">
        <v>1015650</v>
      </c>
      <c r="M958" t="inlineStr">
        <is>
          <t>Managed Services (MSP)</t>
        </is>
      </c>
      <c r="N958" t="inlineStr">
        <is>
          <t>Portal</t>
        </is>
      </c>
      <c r="O958" t="inlineStr">
        <is>
          <t>Ashutosh Chauhan</t>
        </is>
      </c>
      <c r="P958" t="inlineStr">
        <is>
          <t>Interview Scheduled</t>
        </is>
      </c>
      <c r="Q958" s="96" t="n">
        <v>46217</v>
      </c>
      <c r="Y958" s="96" t="n">
        <v>46178</v>
      </c>
      <c r="Z958" t="inlineStr">
        <is>
          <t>https://app.hubspot.com/contacts/243046792/record/0-3/328509329108</t>
        </is>
      </c>
    </row>
    <row r="959">
      <c r="A959" t="n">
        <v>958</v>
      </c>
      <c r="B959" t="inlineStr">
        <is>
          <t>328748676824</t>
        </is>
      </c>
      <c r="C959" t="inlineStr">
        <is>
          <t>5200</t>
        </is>
      </c>
      <c r="D959" t="inlineStr">
        <is>
          <t>Temporary Technology Services</t>
        </is>
      </c>
      <c r="E959" t="inlineStr">
        <is>
          <t>Virginia Beach City Public Schools</t>
        </is>
      </c>
      <c r="F959" t="inlineStr">
        <is>
          <t>Virginia</t>
        </is>
      </c>
      <c r="G959" t="inlineStr">
        <is>
          <t>Submitted</t>
        </is>
      </c>
      <c r="H959" t="inlineStr">
        <is>
          <t>No</t>
        </is>
      </c>
      <c r="J959" s="96" t="n">
        <v>46205</v>
      </c>
      <c r="K959" s="96" t="n">
        <v>46203</v>
      </c>
      <c r="M959" t="inlineStr">
        <is>
          <t>Managed Services (MSP);Consulting</t>
        </is>
      </c>
      <c r="N959" t="inlineStr">
        <is>
          <t>Portal</t>
        </is>
      </c>
      <c r="O959" t="inlineStr">
        <is>
          <t>Ashutosh Chauhan</t>
        </is>
      </c>
      <c r="Y959" s="96" t="n">
        <v>46182</v>
      </c>
      <c r="Z959" t="inlineStr">
        <is>
          <t>https://app.hubspot.com/contacts/243046792/record/0-3/328748676824</t>
        </is>
      </c>
    </row>
    <row r="960">
      <c r="A960" t="n">
        <v>959</v>
      </c>
      <c r="B960" t="inlineStr">
        <is>
          <t>329983316693</t>
        </is>
      </c>
      <c r="C960" t="inlineStr">
        <is>
          <t>IT 26-04</t>
        </is>
      </c>
      <c r="D960" t="inlineStr">
        <is>
          <t>Managed Cybersecurity Operations, Monitoring, Digital Forensics, Incident Response, and Notification Support Services</t>
        </is>
      </c>
      <c r="E960" t="inlineStr">
        <is>
          <t>Redwood City</t>
        </is>
      </c>
      <c r="F960" t="inlineStr">
        <is>
          <t>California</t>
        </is>
      </c>
      <c r="G960" t="inlineStr">
        <is>
          <t>Submitted</t>
        </is>
      </c>
      <c r="H960" t="inlineStr">
        <is>
          <t>No</t>
        </is>
      </c>
      <c r="J960" s="96" t="n">
        <v>46206</v>
      </c>
      <c r="K960" s="96" t="n">
        <v>46203</v>
      </c>
      <c r="M960" t="inlineStr">
        <is>
          <t>Managed Services (MSP)</t>
        </is>
      </c>
      <c r="O960" t="inlineStr">
        <is>
          <t>Yash More</t>
        </is>
      </c>
      <c r="Y960" s="96" t="n">
        <v>46188</v>
      </c>
      <c r="Z960" t="inlineStr">
        <is>
          <t>https://app.hubspot.com/contacts/243046792/record/0-3/329983316693</t>
        </is>
      </c>
    </row>
    <row r="961">
      <c r="A961" t="n">
        <v>960</v>
      </c>
      <c r="B961" t="inlineStr">
        <is>
          <t>331236492004</t>
        </is>
      </c>
      <c r="C961" t="inlineStr">
        <is>
          <t>2256113757</t>
        </is>
      </c>
      <c r="D961" t="inlineStr">
        <is>
          <t>Software Development Services School Support Applications</t>
        </is>
      </c>
      <c r="E961" t="inlineStr">
        <is>
          <t>Los Angeles Unified School District (LAUSD)</t>
        </is>
      </c>
      <c r="F961" t="inlineStr">
        <is>
          <t>California</t>
        </is>
      </c>
      <c r="G961" t="inlineStr">
        <is>
          <t>Closed Lost</t>
        </is>
      </c>
      <c r="H961" t="inlineStr">
        <is>
          <t>No</t>
        </is>
      </c>
      <c r="J961" s="96" t="n">
        <v>46274</v>
      </c>
      <c r="K961" s="96" t="n">
        <v>46203</v>
      </c>
      <c r="M961" t="inlineStr">
        <is>
          <t>Staff Augmentation</t>
        </is>
      </c>
      <c r="N961" t="inlineStr">
        <is>
          <t>Portal</t>
        </is>
      </c>
      <c r="O961" t="inlineStr">
        <is>
          <t>Ashutosh Chauhan</t>
        </is>
      </c>
      <c r="Y961" s="96" t="n">
        <v>46192</v>
      </c>
      <c r="Z961" t="inlineStr">
        <is>
          <t>https://app.hubspot.com/contacts/243046792/record/0-3/331236492004</t>
        </is>
      </c>
    </row>
    <row r="962">
      <c r="A962" t="n">
        <v>961</v>
      </c>
      <c r="B962" t="inlineStr">
        <is>
          <t>331236493020</t>
        </is>
      </c>
      <c r="C962" t="inlineStr">
        <is>
          <t>2256011297</t>
        </is>
      </c>
      <c r="D962" t="inlineStr">
        <is>
          <t>Software Development Services - Enrollment Applications</t>
        </is>
      </c>
      <c r="E962" t="inlineStr">
        <is>
          <t>Los Angeles Unified School District (LAUSD)</t>
        </is>
      </c>
      <c r="F962" t="inlineStr">
        <is>
          <t>California</t>
        </is>
      </c>
      <c r="G962" t="inlineStr">
        <is>
          <t>Closed Lost</t>
        </is>
      </c>
      <c r="H962" t="inlineStr">
        <is>
          <t>No</t>
        </is>
      </c>
      <c r="J962" s="96" t="n">
        <v>46273</v>
      </c>
      <c r="K962" s="96" t="n">
        <v>46203</v>
      </c>
      <c r="M962" t="inlineStr">
        <is>
          <t>Staff Augmentation</t>
        </is>
      </c>
      <c r="N962" t="inlineStr">
        <is>
          <t>Portal</t>
        </is>
      </c>
      <c r="O962" t="inlineStr">
        <is>
          <t>Ashutosh Chauhan</t>
        </is>
      </c>
      <c r="Y962" s="96" t="n">
        <v>46192</v>
      </c>
      <c r="Z962" t="inlineStr">
        <is>
          <t>https://app.hubspot.com/contacts/243046792/record/0-3/331236493020</t>
        </is>
      </c>
    </row>
    <row r="963">
      <c r="A963" t="n">
        <v>962</v>
      </c>
      <c r="B963" t="inlineStr">
        <is>
          <t>331237208773</t>
        </is>
      </c>
      <c r="C963" t="inlineStr">
        <is>
          <t>2250070887</t>
        </is>
      </c>
      <c r="D963" t="inlineStr">
        <is>
          <t>Software Development Services- Transportation Modernization Project</t>
        </is>
      </c>
      <c r="E963" t="inlineStr">
        <is>
          <t>Los Angeles Unified School District (LAUSD)</t>
        </is>
      </c>
      <c r="F963" t="inlineStr">
        <is>
          <t>California</t>
        </is>
      </c>
      <c r="G963" t="inlineStr">
        <is>
          <t>Closed Lost</t>
        </is>
      </c>
      <c r="H963" t="inlineStr">
        <is>
          <t>Yes</t>
        </is>
      </c>
      <c r="J963" s="96" t="n">
        <v>46274</v>
      </c>
      <c r="K963" s="96" t="n">
        <v>46203</v>
      </c>
      <c r="M963" t="inlineStr">
        <is>
          <t>Staff Augmentation</t>
        </is>
      </c>
      <c r="O963" t="inlineStr">
        <is>
          <t>Ashutosh Chauhan</t>
        </is>
      </c>
      <c r="Q963" s="96" t="n">
        <v>46245</v>
      </c>
      <c r="Y963" s="96" t="n">
        <v>46192</v>
      </c>
      <c r="Z963" t="inlineStr">
        <is>
          <t>https://app.hubspot.com/contacts/243046792/record/0-3/331237208773</t>
        </is>
      </c>
    </row>
    <row r="964">
      <c r="A964" t="n">
        <v>963</v>
      </c>
      <c r="B964" t="inlineStr">
        <is>
          <t>331240211184</t>
        </is>
      </c>
      <c r="C964" t="inlineStr">
        <is>
          <t>2256011221</t>
        </is>
      </c>
      <c r="D964" t="inlineStr">
        <is>
          <t>Software Development Services - Parent Facing Applications</t>
        </is>
      </c>
      <c r="E964" t="inlineStr">
        <is>
          <t>Los Angeles Unified School District (LAUSD)</t>
        </is>
      </c>
      <c r="F964" t="inlineStr">
        <is>
          <t>California</t>
        </is>
      </c>
      <c r="G964" t="inlineStr">
        <is>
          <t>Closed Lost</t>
        </is>
      </c>
      <c r="H964" t="inlineStr">
        <is>
          <t>No</t>
        </is>
      </c>
      <c r="J964" s="96" t="n">
        <v>46273</v>
      </c>
      <c r="K964" s="96" t="n">
        <v>46203</v>
      </c>
      <c r="M964" t="inlineStr">
        <is>
          <t>Staff Augmentation</t>
        </is>
      </c>
      <c r="N964" t="inlineStr">
        <is>
          <t>Portal</t>
        </is>
      </c>
      <c r="O964" t="inlineStr">
        <is>
          <t>Ashutosh Chauhan</t>
        </is>
      </c>
      <c r="Y964" s="96" t="n">
        <v>46192</v>
      </c>
      <c r="Z964" t="inlineStr">
        <is>
          <t>https://app.hubspot.com/contacts/243046792/record/0-3/331240211184</t>
        </is>
      </c>
    </row>
    <row r="965">
      <c r="A965" t="n">
        <v>964</v>
      </c>
      <c r="B965" t="inlineStr">
        <is>
          <t>332610669272</t>
        </is>
      </c>
      <c r="C965" t="inlineStr">
        <is>
          <t>RFB 3001 202600000000299</t>
        </is>
      </c>
      <c r="D965" t="inlineStr">
        <is>
          <t>City of Cleveland - Software Maintenance</t>
        </is>
      </c>
      <c r="E965" t="inlineStr">
        <is>
          <t xml:space="preserve">City of Cleveland </t>
        </is>
      </c>
      <c r="F965" t="inlineStr">
        <is>
          <t>Ohio</t>
        </is>
      </c>
      <c r="G965" t="inlineStr">
        <is>
          <t>Closed Won</t>
        </is>
      </c>
      <c r="H965" t="inlineStr">
        <is>
          <t>No</t>
        </is>
      </c>
      <c r="J965" s="96" t="n">
        <v>46268</v>
      </c>
      <c r="K965" s="96" t="n">
        <v>46202</v>
      </c>
      <c r="L965" t="n">
        <v>17600</v>
      </c>
      <c r="M965" t="inlineStr">
        <is>
          <t>Reseller</t>
        </is>
      </c>
      <c r="N965" t="inlineStr">
        <is>
          <t>Email</t>
        </is>
      </c>
      <c r="O965" t="inlineStr">
        <is>
          <t>Yash More</t>
        </is>
      </c>
      <c r="S965" s="96" t="n">
        <v>46226</v>
      </c>
      <c r="U965" s="96" t="n">
        <v>46226</v>
      </c>
      <c r="Y965" s="96" t="n">
        <v>46199</v>
      </c>
      <c r="Z965" t="inlineStr">
        <is>
          <t>https://app.hubspot.com/contacts/243046792/record/0-3/332610669272</t>
        </is>
      </c>
    </row>
    <row r="966">
      <c r="A966" t="n">
        <v>965</v>
      </c>
      <c r="B966" t="inlineStr">
        <is>
          <t>330059606760</t>
        </is>
      </c>
      <c r="D966" t="inlineStr">
        <is>
          <t>Information Technology Services</t>
        </is>
      </c>
      <c r="E966" t="inlineStr">
        <is>
          <t>Town of Cathlamet</t>
        </is>
      </c>
      <c r="F966" t="inlineStr">
        <is>
          <t>Washington</t>
        </is>
      </c>
      <c r="G966" t="inlineStr">
        <is>
          <t>Closed Lost</t>
        </is>
      </c>
      <c r="H966" t="inlineStr">
        <is>
          <t>No</t>
        </is>
      </c>
      <c r="J966" s="96" t="n">
        <v>46296</v>
      </c>
      <c r="K966" s="96" t="n">
        <v>46205</v>
      </c>
      <c r="O966" t="inlineStr">
        <is>
          <t>Jyothsna Nanda kishore</t>
        </is>
      </c>
      <c r="Y966" s="96" t="n">
        <v>46189</v>
      </c>
      <c r="Z966" t="inlineStr">
        <is>
          <t>https://app.hubspot.com/contacts/243046792/record/0-3/330059606760</t>
        </is>
      </c>
    </row>
    <row r="967">
      <c r="A967" t="n">
        <v>966</v>
      </c>
      <c r="B967" t="inlineStr">
        <is>
          <t>333511747279</t>
        </is>
      </c>
      <c r="D967" t="inlineStr">
        <is>
          <t>SAP S/4HANA Process Intelligence and Business ProcessManagement Platform</t>
        </is>
      </c>
      <c r="E967" t="inlineStr">
        <is>
          <t>Florida Department of Revenue</t>
        </is>
      </c>
      <c r="F967" t="inlineStr">
        <is>
          <t>Florida</t>
        </is>
      </c>
      <c r="G967" t="inlineStr">
        <is>
          <t>Submitted</t>
        </is>
      </c>
      <c r="H967" t="inlineStr">
        <is>
          <t>No</t>
        </is>
      </c>
      <c r="J967" s="96" t="n">
        <v>46206</v>
      </c>
      <c r="K967" s="96" t="n">
        <v>46206</v>
      </c>
      <c r="M967" t="inlineStr">
        <is>
          <t>Consulting;Platform Implementation (ERP, CRMs)</t>
        </is>
      </c>
      <c r="O967" t="inlineStr">
        <is>
          <t>Ashutosh Chauhan</t>
        </is>
      </c>
      <c r="Y967" s="96" t="n">
        <v>46204</v>
      </c>
      <c r="Z967" t="inlineStr">
        <is>
          <t>https://app.hubspot.com/contacts/243046792/record/0-3/333511747279</t>
        </is>
      </c>
    </row>
    <row r="968">
      <c r="A968" t="n">
        <v>967</v>
      </c>
      <c r="B968" t="inlineStr">
        <is>
          <t>316931046104</t>
        </is>
      </c>
      <c r="D968" t="inlineStr">
        <is>
          <t>Web-Based Retailer Licensing Application System</t>
        </is>
      </c>
      <c r="E968" t="inlineStr">
        <is>
          <t>Georgia Lottery Corporation</t>
        </is>
      </c>
      <c r="F968" t="inlineStr">
        <is>
          <t>Georgia</t>
        </is>
      </c>
      <c r="G968" t="inlineStr">
        <is>
          <t>Interview</t>
        </is>
      </c>
      <c r="H968" t="inlineStr">
        <is>
          <t>Yes</t>
        </is>
      </c>
      <c r="J968" s="96" t="n">
        <v>46209</v>
      </c>
      <c r="K968" s="96" t="n">
        <v>46209</v>
      </c>
      <c r="L968" t="n">
        <v>285120</v>
      </c>
      <c r="M968" t="inlineStr">
        <is>
          <t>Custom development</t>
        </is>
      </c>
      <c r="N968" t="inlineStr">
        <is>
          <t>Email</t>
        </is>
      </c>
      <c r="O968" t="inlineStr">
        <is>
          <t>Ashutosh Chauhan</t>
        </is>
      </c>
      <c r="Q968" s="96" t="n">
        <v>46294</v>
      </c>
      <c r="Y968" s="96" t="n">
        <v>46101</v>
      </c>
      <c r="Z968" t="inlineStr">
        <is>
          <t>https://app.hubspot.com/contacts/243046792/record/0-3/316931046104</t>
        </is>
      </c>
    </row>
    <row r="969">
      <c r="A969" t="n">
        <v>968</v>
      </c>
      <c r="B969" t="inlineStr">
        <is>
          <t>328479605495</t>
        </is>
      </c>
      <c r="D969" t="inlineStr">
        <is>
          <t xml:space="preserve"> Professional IT Services</t>
        </is>
      </c>
      <c r="E969" t="inlineStr">
        <is>
          <t xml:space="preserve"> City of Gilmer</t>
        </is>
      </c>
      <c r="F969" t="inlineStr">
        <is>
          <t>Texas</t>
        </is>
      </c>
      <c r="G969" t="inlineStr">
        <is>
          <t>Closed Lost</t>
        </is>
      </c>
      <c r="H969" t="inlineStr">
        <is>
          <t>No</t>
        </is>
      </c>
      <c r="J969" s="96" t="n">
        <v>46296</v>
      </c>
      <c r="K969" s="96" t="n">
        <v>46209</v>
      </c>
      <c r="L969" t="n">
        <v>281840</v>
      </c>
      <c r="N969" t="inlineStr">
        <is>
          <t>Offline</t>
        </is>
      </c>
      <c r="O969" t="inlineStr">
        <is>
          <t>Jyothsna Nanda kishore</t>
        </is>
      </c>
      <c r="Y969" s="96" t="n">
        <v>46182</v>
      </c>
      <c r="Z969" t="inlineStr">
        <is>
          <t>https://app.hubspot.com/contacts/243046792/record/0-3/328479605495</t>
        </is>
      </c>
    </row>
    <row r="970">
      <c r="A970" t="n">
        <v>969</v>
      </c>
      <c r="B970" t="inlineStr">
        <is>
          <t>325250342624</t>
        </is>
      </c>
      <c r="D970" t="inlineStr">
        <is>
          <t xml:space="preserve">OFF: Information Technology Services </t>
        </is>
      </c>
      <c r="E970" t="inlineStr">
        <is>
          <t xml:space="preserve">Sudbury Water District </t>
        </is>
      </c>
      <c r="F970" t="inlineStr">
        <is>
          <t>Massachusetts</t>
        </is>
      </c>
      <c r="G970" t="inlineStr">
        <is>
          <t>Submitted</t>
        </is>
      </c>
      <c r="H970" t="inlineStr">
        <is>
          <t>No</t>
        </is>
      </c>
      <c r="J970" s="96" t="n">
        <v>46210</v>
      </c>
      <c r="K970" s="96" t="n">
        <v>46210</v>
      </c>
      <c r="L970" t="n">
        <v>182200</v>
      </c>
      <c r="M970" t="inlineStr">
        <is>
          <t>Managed Services (MSP)</t>
        </is>
      </c>
      <c r="O970" t="inlineStr">
        <is>
          <t>Ashutosh Chauhan</t>
        </is>
      </c>
      <c r="Y970" s="96" t="n">
        <v>46157</v>
      </c>
      <c r="Z970" t="inlineStr">
        <is>
          <t>https://app.hubspot.com/contacts/243046792/record/0-3/325250342624</t>
        </is>
      </c>
    </row>
    <row r="971">
      <c r="A971" t="n">
        <v>970</v>
      </c>
      <c r="B971" t="inlineStr">
        <is>
          <t>328749707992</t>
        </is>
      </c>
      <c r="D971" t="inlineStr">
        <is>
          <t>Cisco Networking &amp; Telephony</t>
        </is>
      </c>
      <c r="E971" t="inlineStr">
        <is>
          <t>State of Alabama Office of Information Technology</t>
        </is>
      </c>
      <c r="F971" t="inlineStr">
        <is>
          <t>Alabama</t>
        </is>
      </c>
      <c r="G971" t="inlineStr">
        <is>
          <t>Submitted</t>
        </is>
      </c>
      <c r="H971" t="inlineStr">
        <is>
          <t>No</t>
        </is>
      </c>
      <c r="J971" s="96" t="n">
        <v>46210</v>
      </c>
      <c r="K971" s="96" t="n">
        <v>46210</v>
      </c>
      <c r="O971" t="inlineStr">
        <is>
          <t>Jyothsna Nanda kishore</t>
        </is>
      </c>
      <c r="Y971" s="96" t="n">
        <v>46185</v>
      </c>
      <c r="Z971" t="inlineStr">
        <is>
          <t>https://app.hubspot.com/contacts/243046792/record/0-3/328749707992</t>
        </is>
      </c>
    </row>
    <row r="972">
      <c r="A972" t="n">
        <v>971</v>
      </c>
      <c r="B972" t="inlineStr">
        <is>
          <t>334058764994</t>
        </is>
      </c>
      <c r="C972" t="inlineStr">
        <is>
          <t>14163 - FY27</t>
        </is>
      </c>
      <c r="D972" t="inlineStr">
        <is>
          <t>Microsoft 365 Government (rebid)</t>
        </is>
      </c>
      <c r="E972" t="inlineStr">
        <is>
          <t>City of Kirkwood</t>
        </is>
      </c>
      <c r="F972" t="inlineStr">
        <is>
          <t>Missouri</t>
        </is>
      </c>
      <c r="G972" t="inlineStr">
        <is>
          <t>Closed Lost</t>
        </is>
      </c>
      <c r="H972" t="inlineStr">
        <is>
          <t>No</t>
        </is>
      </c>
      <c r="J972" s="96" t="n">
        <v>46223</v>
      </c>
      <c r="K972" s="96" t="n">
        <v>46210</v>
      </c>
      <c r="L972" t="n">
        <v>82541.91</v>
      </c>
      <c r="M972" t="inlineStr">
        <is>
          <t>Reseller</t>
        </is>
      </c>
      <c r="N972" t="inlineStr">
        <is>
          <t>Portal</t>
        </is>
      </c>
      <c r="O972" t="inlineStr">
        <is>
          <t>Ashutosh Chauhan</t>
        </is>
      </c>
      <c r="Y972" s="96" t="n">
        <v>46210</v>
      </c>
      <c r="Z972" t="inlineStr">
        <is>
          <t>https://app.hubspot.com/contacts/243046792/record/0-3/334058764994</t>
        </is>
      </c>
    </row>
    <row r="973">
      <c r="A973" t="n">
        <v>972</v>
      </c>
      <c r="B973" t="inlineStr">
        <is>
          <t>329946865354</t>
        </is>
      </c>
      <c r="C973" t="inlineStr">
        <is>
          <t>1412181679</t>
        </is>
      </c>
      <c r="D973" t="inlineStr">
        <is>
          <t>Jacksonville Electric Authority (JEA), City of Jacksonville - IT/OT Communications Assessment</t>
        </is>
      </c>
      <c r="E973" t="inlineStr">
        <is>
          <t>JEA</t>
        </is>
      </c>
      <c r="F973" t="inlineStr">
        <is>
          <t>Florida</t>
        </is>
      </c>
      <c r="G973" t="inlineStr">
        <is>
          <t>Closed Won</t>
        </is>
      </c>
      <c r="H973" t="inlineStr">
        <is>
          <t>No</t>
        </is>
      </c>
      <c r="J973" s="96" t="n">
        <v>46248</v>
      </c>
      <c r="K973" s="96" t="n">
        <v>46210</v>
      </c>
      <c r="M973" t="inlineStr">
        <is>
          <t>Audits and Assessment</t>
        </is>
      </c>
      <c r="O973" t="inlineStr">
        <is>
          <t>Yash More</t>
        </is>
      </c>
      <c r="S973" s="96" t="n">
        <v>46240</v>
      </c>
      <c r="U973" s="96" t="n">
        <v>46247</v>
      </c>
      <c r="Y973" s="96" t="n">
        <v>46188</v>
      </c>
      <c r="Z973" t="inlineStr">
        <is>
          <t>https://app.hubspot.com/contacts/243046792/record/0-3/329946865354</t>
        </is>
      </c>
    </row>
    <row r="974">
      <c r="A974" t="n">
        <v>973</v>
      </c>
      <c r="B974" t="inlineStr">
        <is>
          <t>325178877653</t>
        </is>
      </c>
      <c r="D974" t="inlineStr">
        <is>
          <t xml:space="preserve">Enterprise Tech &amp; AI Strategic Roadmap  </t>
        </is>
      </c>
      <c r="E974" t="inlineStr">
        <is>
          <t>South Carolina Department of Transportation</t>
        </is>
      </c>
      <c r="F974" t="inlineStr">
        <is>
          <t>South Carolina</t>
        </is>
      </c>
      <c r="G974" t="inlineStr">
        <is>
          <t>Submitted</t>
        </is>
      </c>
      <c r="H974" t="inlineStr">
        <is>
          <t>No</t>
        </is>
      </c>
      <c r="J974" s="96" t="n">
        <v>46211</v>
      </c>
      <c r="K974" s="96" t="n">
        <v>46211</v>
      </c>
      <c r="M974" t="inlineStr">
        <is>
          <t>Consulting</t>
        </is>
      </c>
      <c r="O974" t="inlineStr">
        <is>
          <t>Savya Atrey</t>
        </is>
      </c>
      <c r="Y974" s="96" t="n">
        <v>46156</v>
      </c>
      <c r="Z974" t="inlineStr">
        <is>
          <t>https://app.hubspot.com/contacts/243046792/record/0-3/325178877653</t>
        </is>
      </c>
    </row>
    <row r="975">
      <c r="A975" t="n">
        <v>974</v>
      </c>
      <c r="B975" t="inlineStr">
        <is>
          <t>331242355436</t>
        </is>
      </c>
      <c r="D975" t="inlineStr">
        <is>
          <t>Advanced Email Security</t>
        </is>
      </c>
      <c r="E975" t="inlineStr">
        <is>
          <t>State of West Virginia</t>
        </is>
      </c>
      <c r="F975" t="inlineStr">
        <is>
          <t>West Virginia</t>
        </is>
      </c>
      <c r="G975" t="inlineStr">
        <is>
          <t>Submitted</t>
        </is>
      </c>
      <c r="H975" t="inlineStr">
        <is>
          <t>No</t>
        </is>
      </c>
      <c r="J975" s="96" t="n">
        <v>46211</v>
      </c>
      <c r="K975" s="96" t="n">
        <v>46211</v>
      </c>
      <c r="M975" t="inlineStr">
        <is>
          <t>Support &amp; Maintenance</t>
        </is>
      </c>
      <c r="O975" t="inlineStr">
        <is>
          <t>Jyothsna Nanda kishore</t>
        </is>
      </c>
      <c r="Y975" s="96" t="n">
        <v>46192</v>
      </c>
      <c r="Z975" t="inlineStr">
        <is>
          <t>https://app.hubspot.com/contacts/243046792/record/0-3/331242355436</t>
        </is>
      </c>
    </row>
    <row r="976">
      <c r="A976" t="n">
        <v>975</v>
      </c>
      <c r="B976" t="inlineStr">
        <is>
          <t>332789347034</t>
        </is>
      </c>
      <c r="C976" t="inlineStr">
        <is>
          <t>0304-M</t>
        </is>
      </c>
      <c r="D976" t="inlineStr">
        <is>
          <t>ManageEngine Endpoint Central Cloud Bid Request</t>
        </is>
      </c>
      <c r="E976" t="inlineStr">
        <is>
          <t>State of Wyoming</t>
        </is>
      </c>
      <c r="F976" t="inlineStr">
        <is>
          <t>Wyoming</t>
        </is>
      </c>
      <c r="G976" t="inlineStr">
        <is>
          <t>Submitted</t>
        </is>
      </c>
      <c r="H976" t="inlineStr">
        <is>
          <t>No</t>
        </is>
      </c>
      <c r="J976" s="96" t="n">
        <v>46212</v>
      </c>
      <c r="K976" s="96" t="n">
        <v>46212</v>
      </c>
      <c r="L976" t="n">
        <v>680000</v>
      </c>
      <c r="M976" t="inlineStr">
        <is>
          <t>Reseller</t>
        </is>
      </c>
      <c r="N976" t="inlineStr">
        <is>
          <t>Offline</t>
        </is>
      </c>
      <c r="O976" t="inlineStr">
        <is>
          <t>Ashutosh Chauhan</t>
        </is>
      </c>
      <c r="Y976" s="96" t="n">
        <v>46199</v>
      </c>
      <c r="Z976" t="inlineStr">
        <is>
          <t>https://app.hubspot.com/contacts/243046792/record/0-3/332789347034</t>
        </is>
      </c>
    </row>
    <row r="977">
      <c r="A977" t="n">
        <v>976</v>
      </c>
      <c r="B977" t="inlineStr">
        <is>
          <t>332601955027</t>
        </is>
      </c>
      <c r="D977" t="inlineStr">
        <is>
          <t>IT Managed Services</t>
        </is>
      </c>
      <c r="E977" t="inlineStr">
        <is>
          <t>Estancia Valley Classical Academy</t>
        </is>
      </c>
      <c r="F977" t="inlineStr">
        <is>
          <t>New Mexico</t>
        </is>
      </c>
      <c r="G977" t="inlineStr">
        <is>
          <t>Closed Lost</t>
        </is>
      </c>
      <c r="H977" t="inlineStr">
        <is>
          <t>No</t>
        </is>
      </c>
      <c r="J977" s="96" t="n">
        <v>46223</v>
      </c>
      <c r="K977" s="96" t="n">
        <v>46212</v>
      </c>
      <c r="O977" t="inlineStr">
        <is>
          <t>Jyothsna Nanda kishore</t>
        </is>
      </c>
      <c r="Y977" s="96" t="n">
        <v>46198</v>
      </c>
      <c r="Z977" t="inlineStr">
        <is>
          <t>https://app.hubspot.com/contacts/243046792/record/0-3/332601955027</t>
        </is>
      </c>
    </row>
    <row r="978">
      <c r="A978" t="n">
        <v>977</v>
      </c>
      <c r="B978" t="inlineStr">
        <is>
          <t>327714171593</t>
        </is>
      </c>
      <c r="C978" t="inlineStr">
        <is>
          <t>2026-032-7117</t>
        </is>
      </c>
      <c r="D978" t="inlineStr">
        <is>
          <t>Quality Engineering Managed Services</t>
        </is>
      </c>
      <c r="E978" t="inlineStr">
        <is>
          <t xml:space="preserve">Dallas County </t>
        </is>
      </c>
      <c r="F978" t="inlineStr">
        <is>
          <t>Texas</t>
        </is>
      </c>
      <c r="G978" t="inlineStr">
        <is>
          <t>Interview</t>
        </is>
      </c>
      <c r="H978" t="inlineStr">
        <is>
          <t>Yes</t>
        </is>
      </c>
      <c r="J978" s="96" t="n">
        <v>46212</v>
      </c>
      <c r="K978" s="96" t="n">
        <v>46212</v>
      </c>
      <c r="L978" t="n">
        <v>6888667.42</v>
      </c>
      <c r="N978" t="inlineStr">
        <is>
          <t>Portal</t>
        </is>
      </c>
      <c r="O978" t="inlineStr">
        <is>
          <t>Ashutosh Chauhan</t>
        </is>
      </c>
      <c r="Q978" s="96" t="n">
        <v>46241</v>
      </c>
      <c r="Y978" s="96" t="n">
        <v>46176</v>
      </c>
      <c r="Z978" t="inlineStr">
        <is>
          <t>https://app.hubspot.com/contacts/243046792/record/0-3/327714171593</t>
        </is>
      </c>
    </row>
    <row r="979">
      <c r="A979" t="n">
        <v>978</v>
      </c>
      <c r="B979" t="inlineStr">
        <is>
          <t>329984139984</t>
        </is>
      </c>
      <c r="D979" t="inlineStr">
        <is>
          <t>Managed Service Provider</t>
        </is>
      </c>
      <c r="E979" t="inlineStr">
        <is>
          <t>City of New Prague</t>
        </is>
      </c>
      <c r="F979" t="inlineStr">
        <is>
          <t>Minnesota</t>
        </is>
      </c>
      <c r="G979" t="inlineStr">
        <is>
          <t>Submitted</t>
        </is>
      </c>
      <c r="H979" t="inlineStr">
        <is>
          <t>No</t>
        </is>
      </c>
      <c r="J979" s="96" t="n">
        <v>46213</v>
      </c>
      <c r="K979" s="96" t="n">
        <v>46213</v>
      </c>
      <c r="L979" t="n">
        <v>144550</v>
      </c>
      <c r="M979" t="inlineStr">
        <is>
          <t>Managed Services (MSP)</t>
        </is>
      </c>
      <c r="O979" t="inlineStr">
        <is>
          <t>Ashutosh Chauhan</t>
        </is>
      </c>
      <c r="Y979" s="96" t="n">
        <v>46188</v>
      </c>
      <c r="Z979" t="inlineStr">
        <is>
          <t>https://app.hubspot.com/contacts/243046792/record/0-3/329984139984</t>
        </is>
      </c>
    </row>
    <row r="980">
      <c r="A980" t="n">
        <v>979</v>
      </c>
      <c r="B980" t="inlineStr">
        <is>
          <t>326366011085</t>
        </is>
      </c>
      <c r="C980" t="inlineStr">
        <is>
          <t>#8894</t>
        </is>
      </c>
      <c r="D980" t="inlineStr">
        <is>
          <t>SIEM and SOC Support Services</t>
        </is>
      </c>
      <c r="E980" t="inlineStr">
        <is>
          <t>Washtenaw County</t>
        </is>
      </c>
      <c r="F980" t="inlineStr">
        <is>
          <t>Michigan</t>
        </is>
      </c>
      <c r="G980" t="inlineStr">
        <is>
          <t>Submitted</t>
        </is>
      </c>
      <c r="H980" t="inlineStr">
        <is>
          <t>No</t>
        </is>
      </c>
      <c r="J980" s="96" t="n">
        <v>46213</v>
      </c>
      <c r="K980" s="96" t="n">
        <v>46216</v>
      </c>
      <c r="O980" t="inlineStr">
        <is>
          <t>Ashutosh Chauhan</t>
        </is>
      </c>
      <c r="Y980" s="96" t="n">
        <v>46169</v>
      </c>
      <c r="Z980" t="inlineStr">
        <is>
          <t>https://app.hubspot.com/contacts/243046792/record/0-3/326366011085</t>
        </is>
      </c>
    </row>
    <row r="981">
      <c r="A981" t="n">
        <v>980</v>
      </c>
      <c r="B981" t="inlineStr">
        <is>
          <t>330696040135</t>
        </is>
      </c>
      <c r="D981" t="inlineStr">
        <is>
          <t>MAXIMO APPLICATION SUITE(MAS) UPGRADE</t>
        </is>
      </c>
      <c r="E981" t="inlineStr">
        <is>
          <t>CITY OF HENDERSON</t>
        </is>
      </c>
      <c r="F981" t="inlineStr">
        <is>
          <t>Nevada</t>
        </is>
      </c>
      <c r="G981" t="inlineStr">
        <is>
          <t>Submitted</t>
        </is>
      </c>
      <c r="H981" t="inlineStr">
        <is>
          <t>No</t>
        </is>
      </c>
      <c r="J981" s="96" t="n">
        <v>46217</v>
      </c>
      <c r="K981" s="96" t="n">
        <v>46217</v>
      </c>
      <c r="L981" t="n">
        <v>3336834.49</v>
      </c>
      <c r="O981" t="inlineStr">
        <is>
          <t>Jyothsna Nanda kishore</t>
        </is>
      </c>
      <c r="Y981" s="96" t="n">
        <v>46191</v>
      </c>
      <c r="Z981" t="inlineStr">
        <is>
          <t>https://app.hubspot.com/contacts/243046792/record/0-3/330696040135</t>
        </is>
      </c>
    </row>
    <row r="982">
      <c r="A982" t="n">
        <v>981</v>
      </c>
      <c r="B982" t="inlineStr">
        <is>
          <t>333232981740</t>
        </is>
      </c>
      <c r="D982" t="inlineStr">
        <is>
          <t>Advanced Email Security, Phishing Simulation, and Security Awareness Training</t>
        </is>
      </c>
      <c r="E982" t="inlineStr">
        <is>
          <t>Hudson County Community College</t>
        </is>
      </c>
      <c r="F982" t="inlineStr">
        <is>
          <t>New Jersey</t>
        </is>
      </c>
      <c r="G982" t="inlineStr">
        <is>
          <t>Submitted</t>
        </is>
      </c>
      <c r="H982" t="inlineStr">
        <is>
          <t>No</t>
        </is>
      </c>
      <c r="J982" s="96" t="n">
        <v>46217</v>
      </c>
      <c r="K982" s="96" t="n">
        <v>46217</v>
      </c>
      <c r="M982" t="inlineStr">
        <is>
          <t>Training</t>
        </is>
      </c>
      <c r="N982" t="inlineStr">
        <is>
          <t>Offline</t>
        </is>
      </c>
      <c r="O982" t="inlineStr">
        <is>
          <t>Jyothsna Nanda kishore</t>
        </is>
      </c>
      <c r="Y982" s="96" t="n">
        <v>46203</v>
      </c>
      <c r="Z982" t="inlineStr">
        <is>
          <t>https://app.hubspot.com/contacts/243046792/record/0-3/333232981740</t>
        </is>
      </c>
    </row>
    <row r="983">
      <c r="A983" t="n">
        <v>982</v>
      </c>
      <c r="B983" t="inlineStr">
        <is>
          <t>328508247741</t>
        </is>
      </c>
      <c r="D983" t="inlineStr">
        <is>
          <t>offline INFORMATION TECHNOLOGY AND SECURITY SUPPORT SERVICES</t>
        </is>
      </c>
      <c r="E983" t="inlineStr">
        <is>
          <t>The Housing Authority of the City of Orange</t>
        </is>
      </c>
      <c r="F983" t="inlineStr">
        <is>
          <t>California</t>
        </is>
      </c>
      <c r="G983" t="inlineStr">
        <is>
          <t>Submitted</t>
        </is>
      </c>
      <c r="H983" t="inlineStr">
        <is>
          <t>No</t>
        </is>
      </c>
      <c r="J983" s="96" t="n">
        <v>46218</v>
      </c>
      <c r="K983" s="96" t="n">
        <v>46217</v>
      </c>
      <c r="M983" t="inlineStr">
        <is>
          <t>Managed Services (MSP)</t>
        </is>
      </c>
      <c r="O983" t="inlineStr">
        <is>
          <t>Savya Atrey</t>
        </is>
      </c>
      <c r="Y983" s="96" t="n">
        <v>46182</v>
      </c>
      <c r="Z983" t="inlineStr">
        <is>
          <t>https://app.hubspot.com/contacts/243046792/record/0-3/328508247741</t>
        </is>
      </c>
    </row>
    <row r="984">
      <c r="A984" t="n">
        <v>983</v>
      </c>
      <c r="B984" t="inlineStr">
        <is>
          <t>331240934120</t>
        </is>
      </c>
      <c r="D984" t="inlineStr">
        <is>
          <t>Incident Response Plan for Information Systems</t>
        </is>
      </c>
      <c r="E984" t="inlineStr">
        <is>
          <t>Essex County</t>
        </is>
      </c>
      <c r="F984" t="inlineStr">
        <is>
          <t>New Jersey</t>
        </is>
      </c>
      <c r="G984" t="inlineStr">
        <is>
          <t>Closed Lost</t>
        </is>
      </c>
      <c r="H984" t="inlineStr">
        <is>
          <t>No</t>
        </is>
      </c>
      <c r="J984" s="96" t="n">
        <v>46296</v>
      </c>
      <c r="K984" s="96" t="n">
        <v>46217</v>
      </c>
      <c r="O984" t="inlineStr">
        <is>
          <t>Jyothsna Nanda kishore</t>
        </is>
      </c>
      <c r="Y984" s="96" t="n">
        <v>46192</v>
      </c>
      <c r="Z984" t="inlineStr">
        <is>
          <t>https://app.hubspot.com/contacts/243046792/record/0-3/331240934120</t>
        </is>
      </c>
    </row>
    <row r="985">
      <c r="A985" t="n">
        <v>984</v>
      </c>
      <c r="B985" t="inlineStr">
        <is>
          <t>330021339838</t>
        </is>
      </c>
      <c r="D985" t="inlineStr">
        <is>
          <t>On-Call Project Control Support Services</t>
        </is>
      </c>
      <c r="E985" t="inlineStr">
        <is>
          <t>Port of Long Beach</t>
        </is>
      </c>
      <c r="F985" t="inlineStr">
        <is>
          <t>California</t>
        </is>
      </c>
      <c r="G985" t="inlineStr">
        <is>
          <t>Closed Lost</t>
        </is>
      </c>
      <c r="H985" t="inlineStr">
        <is>
          <t>No</t>
        </is>
      </c>
      <c r="J985" s="96" t="n">
        <v>46251</v>
      </c>
      <c r="K985" s="96" t="n">
        <v>46218</v>
      </c>
      <c r="O985" t="inlineStr">
        <is>
          <t>Jyothsna Nanda kishore</t>
        </is>
      </c>
      <c r="Y985" s="96" t="n">
        <v>46189</v>
      </c>
      <c r="Z985" t="inlineStr">
        <is>
          <t>https://app.hubspot.com/contacts/243046792/record/0-3/330021339838</t>
        </is>
      </c>
    </row>
    <row r="986">
      <c r="A986" t="n">
        <v>985</v>
      </c>
      <c r="B986" t="inlineStr">
        <is>
          <t>332610575054</t>
        </is>
      </c>
      <c r="D986" t="inlineStr">
        <is>
          <t>External IT Security Assessment</t>
        </is>
      </c>
      <c r="E986" t="inlineStr">
        <is>
          <t>Ohio Public Employees Retirement System</t>
        </is>
      </c>
      <c r="F986" t="inlineStr">
        <is>
          <t>Ohio</t>
        </is>
      </c>
      <c r="G986" t="inlineStr">
        <is>
          <t>Submitted</t>
        </is>
      </c>
      <c r="H986" t="inlineStr">
        <is>
          <t>No</t>
        </is>
      </c>
      <c r="J986" s="96" t="n">
        <v>46218</v>
      </c>
      <c r="K986" s="96" t="n">
        <v>46218</v>
      </c>
      <c r="L986" t="n">
        <v>64000</v>
      </c>
      <c r="M986" t="inlineStr">
        <is>
          <t>Audits and Assessment</t>
        </is>
      </c>
      <c r="N986" t="inlineStr">
        <is>
          <t>Email</t>
        </is>
      </c>
      <c r="O986" t="inlineStr">
        <is>
          <t>Ashutosh Chauhan</t>
        </is>
      </c>
      <c r="Y986" s="96" t="n">
        <v>46198</v>
      </c>
      <c r="Z986" t="inlineStr">
        <is>
          <t>https://app.hubspot.com/contacts/243046792/record/0-3/332610575054</t>
        </is>
      </c>
    </row>
    <row r="987">
      <c r="A987" t="n">
        <v>986</v>
      </c>
      <c r="B987" t="inlineStr">
        <is>
          <t>326064317133</t>
        </is>
      </c>
      <c r="D987" t="inlineStr">
        <is>
          <t>Artificial Intelligence (AI) Strategic Roadmap and Governance Framework Consultant</t>
        </is>
      </c>
      <c r="E987" t="inlineStr">
        <is>
          <t>Pinellas County</t>
        </is>
      </c>
      <c r="F987" t="inlineStr">
        <is>
          <t>Florida</t>
        </is>
      </c>
      <c r="G987" t="inlineStr">
        <is>
          <t>RFx Cancelled</t>
        </is>
      </c>
      <c r="H987" t="inlineStr">
        <is>
          <t>No</t>
        </is>
      </c>
      <c r="J987" s="96" t="n">
        <v>46219</v>
      </c>
      <c r="K987" s="96" t="n">
        <v>46219</v>
      </c>
      <c r="L987" t="n">
        <v>398250</v>
      </c>
      <c r="O987" t="inlineStr">
        <is>
          <t>Ashutosh Chauhan</t>
        </is>
      </c>
      <c r="Y987" s="96" t="n">
        <v>46163</v>
      </c>
      <c r="Z987" t="inlineStr">
        <is>
          <t>https://app.hubspot.com/contacts/243046792/record/0-3/326064317133</t>
        </is>
      </c>
    </row>
    <row r="988">
      <c r="A988" t="n">
        <v>987</v>
      </c>
      <c r="B988" t="inlineStr">
        <is>
          <t>334070283966</t>
        </is>
      </c>
      <c r="D988" t="inlineStr">
        <is>
          <t xml:space="preserve"> CLOUD INFRASTRUCTURE MIGRATION &amp; MODERNIZATION SERVICES</t>
        </is>
      </c>
      <c r="E988" t="inlineStr">
        <is>
          <t>U.S. Soybean Export Council (USSEC)</t>
        </is>
      </c>
      <c r="F988" t="inlineStr">
        <is>
          <t>Missouri</t>
        </is>
      </c>
      <c r="G988" t="inlineStr">
        <is>
          <t>Submitted</t>
        </is>
      </c>
      <c r="H988" t="inlineStr">
        <is>
          <t>No</t>
        </is>
      </c>
      <c r="J988" s="96" t="n">
        <v>46220</v>
      </c>
      <c r="K988" s="96" t="n">
        <v>46220</v>
      </c>
      <c r="N988" t="inlineStr">
        <is>
          <t>Email</t>
        </is>
      </c>
      <c r="O988" t="inlineStr">
        <is>
          <t>Jyothsna Nanda kishore</t>
        </is>
      </c>
      <c r="Y988" s="96" t="n">
        <v>46210</v>
      </c>
      <c r="Z988" t="inlineStr">
        <is>
          <t>https://app.hubspot.com/contacts/243046792/record/0-3/334070283966</t>
        </is>
      </c>
    </row>
    <row r="989">
      <c r="A989" t="n">
        <v>988</v>
      </c>
      <c r="B989" t="inlineStr">
        <is>
          <t>333252572916</t>
        </is>
      </c>
      <c r="D989" t="inlineStr">
        <is>
          <t>CYBERSECURITY SERVICES</t>
        </is>
      </c>
      <c r="E989" t="inlineStr">
        <is>
          <t>City of Wentzville</t>
        </is>
      </c>
      <c r="F989" t="inlineStr">
        <is>
          <t>Missouri</t>
        </is>
      </c>
      <c r="G989" t="inlineStr">
        <is>
          <t>Closed Lost</t>
        </is>
      </c>
      <c r="H989" t="inlineStr">
        <is>
          <t>No</t>
        </is>
      </c>
      <c r="J989" s="96" t="n">
        <v>46296</v>
      </c>
      <c r="K989" s="96" t="n">
        <v>46220</v>
      </c>
      <c r="O989" t="inlineStr">
        <is>
          <t>Jyothsna Nanda kishore</t>
        </is>
      </c>
      <c r="Y989" s="96" t="n">
        <v>46203</v>
      </c>
      <c r="Z989" t="inlineStr">
        <is>
          <t>https://app.hubspot.com/contacts/243046792/record/0-3/333252572916</t>
        </is>
      </c>
    </row>
    <row r="990">
      <c r="A990" t="n">
        <v>989</v>
      </c>
      <c r="B990" t="inlineStr">
        <is>
          <t>335870227161</t>
        </is>
      </c>
      <c r="D990" t="inlineStr">
        <is>
          <t>BPO for Data Governance Training</t>
        </is>
      </c>
      <c r="E990" t="inlineStr">
        <is>
          <t>Dallas Area Rapid Transit</t>
        </is>
      </c>
      <c r="F990" t="inlineStr">
        <is>
          <t>Texas</t>
        </is>
      </c>
      <c r="G990" t="inlineStr">
        <is>
          <t>Submitted</t>
        </is>
      </c>
      <c r="H990" t="inlineStr">
        <is>
          <t>No</t>
        </is>
      </c>
      <c r="J990" s="96" t="n">
        <v>46220</v>
      </c>
      <c r="K990" s="96" t="n">
        <v>46220</v>
      </c>
      <c r="O990" t="inlineStr">
        <is>
          <t>Ashutosh Chauhan</t>
        </is>
      </c>
      <c r="Y990" s="96" t="n">
        <v>46219</v>
      </c>
      <c r="Z990" t="inlineStr">
        <is>
          <t>https://app.hubspot.com/contacts/243046792/record/0-3/335870227161</t>
        </is>
      </c>
    </row>
    <row r="991">
      <c r="A991" t="n">
        <v>990</v>
      </c>
      <c r="B991" t="inlineStr">
        <is>
          <t>330392871658</t>
        </is>
      </c>
      <c r="D991" t="inlineStr">
        <is>
          <t>Managed Information Technology Services</t>
        </is>
      </c>
      <c r="E991" t="inlineStr">
        <is>
          <t>City of Spicer</t>
        </is>
      </c>
      <c r="F991" t="inlineStr">
        <is>
          <t>Minnesota</t>
        </is>
      </c>
      <c r="G991" t="inlineStr">
        <is>
          <t>Closed Lost</t>
        </is>
      </c>
      <c r="H991" t="inlineStr">
        <is>
          <t>Yes</t>
        </is>
      </c>
      <c r="J991" s="96" t="n">
        <v>46239</v>
      </c>
      <c r="K991" s="96" t="n">
        <v>46220</v>
      </c>
      <c r="L991" t="n">
        <v>285765</v>
      </c>
      <c r="M991" t="inlineStr">
        <is>
          <t>Managed Services (MSP)</t>
        </is>
      </c>
      <c r="N991" t="inlineStr">
        <is>
          <t>Email</t>
        </is>
      </c>
      <c r="O991" t="inlineStr">
        <is>
          <t>Ashutosh Chauhan</t>
        </is>
      </c>
      <c r="P991" t="inlineStr">
        <is>
          <t>Interview Scheduled</t>
        </is>
      </c>
      <c r="Q991" s="96" t="n">
        <v>46225</v>
      </c>
      <c r="Y991" s="96" t="n">
        <v>46190</v>
      </c>
      <c r="Z991" t="inlineStr">
        <is>
          <t>https://app.hubspot.com/contacts/243046792/record/0-3/330392871658</t>
        </is>
      </c>
    </row>
    <row r="992">
      <c r="A992" t="n">
        <v>991</v>
      </c>
      <c r="B992" t="inlineStr">
        <is>
          <t>121105455846</t>
        </is>
      </c>
      <c r="D992" t="inlineStr">
        <is>
          <t>IT Services - Palo Verde Valley Transit Agency</t>
        </is>
      </c>
      <c r="E992" t="inlineStr">
        <is>
          <t>Palo Verde Valley Transit Agency</t>
        </is>
      </c>
      <c r="F992" t="inlineStr">
        <is>
          <t>California</t>
        </is>
      </c>
      <c r="G992" t="inlineStr">
        <is>
          <t>Terminated</t>
        </is>
      </c>
      <c r="H992" t="inlineStr">
        <is>
          <t>No</t>
        </is>
      </c>
      <c r="J992" s="96" t="n">
        <v>46217</v>
      </c>
      <c r="K992" s="96" t="n">
        <v>45880</v>
      </c>
      <c r="L992" t="n">
        <v>24000</v>
      </c>
      <c r="M992" t="inlineStr">
        <is>
          <t>Managed Services (MSP)</t>
        </is>
      </c>
      <c r="N992" t="inlineStr">
        <is>
          <t>Email</t>
        </is>
      </c>
      <c r="O992" t="inlineStr">
        <is>
          <t>Madhav Mitruka</t>
        </is>
      </c>
      <c r="S992" s="96" t="n"/>
      <c r="U992" s="96" t="n"/>
      <c r="Y992" s="96" t="n">
        <v>45853</v>
      </c>
      <c r="Z992" t="inlineStr">
        <is>
          <t>https://app.hubspot.com/contacts/243046792/record/0-3/121105455846</t>
        </is>
      </c>
    </row>
    <row r="993">
      <c r="A993" t="n">
        <v>992</v>
      </c>
      <c r="B993" t="inlineStr">
        <is>
          <t>330299910905</t>
        </is>
      </c>
      <c r="D993" t="inlineStr">
        <is>
          <t>Online Activities Registration System</t>
        </is>
      </c>
      <c r="E993" t="inlineStr">
        <is>
          <t>City of Los Angeles Department of Recreation and Parks</t>
        </is>
      </c>
      <c r="F993" t="inlineStr">
        <is>
          <t>California</t>
        </is>
      </c>
      <c r="G993" t="inlineStr">
        <is>
          <t>RFx Cancelled</t>
        </is>
      </c>
      <c r="H993" t="inlineStr">
        <is>
          <t>No</t>
        </is>
      </c>
      <c r="J993" s="96" t="n">
        <v>46224</v>
      </c>
      <c r="O993" t="inlineStr">
        <is>
          <t>Ashutosh Chauhan</t>
        </is>
      </c>
      <c r="Y993" s="96" t="n">
        <v>46190</v>
      </c>
      <c r="Z993" t="inlineStr">
        <is>
          <t>https://app.hubspot.com/contacts/243046792/record/0-3/330299910905</t>
        </is>
      </c>
    </row>
    <row r="994">
      <c r="A994" t="n">
        <v>993</v>
      </c>
      <c r="B994" t="inlineStr">
        <is>
          <t>335175760574</t>
        </is>
      </c>
      <c r="D994" t="inlineStr">
        <is>
          <t>IT PROJECT MANAGEMENT MANAGED SERVICES PROVIDER</t>
        </is>
      </c>
      <c r="E994" t="inlineStr">
        <is>
          <t>Sacramento Municipal Utility District</t>
        </is>
      </c>
      <c r="F994" t="inlineStr">
        <is>
          <t>California</t>
        </is>
      </c>
      <c r="G994" t="inlineStr">
        <is>
          <t>RFx Cancelled</t>
        </is>
      </c>
      <c r="H994" t="inlineStr">
        <is>
          <t>No</t>
        </is>
      </c>
      <c r="J994" s="96" t="n">
        <v>46237</v>
      </c>
      <c r="O994" t="inlineStr">
        <is>
          <t>Ashutosh Chauhan</t>
        </is>
      </c>
      <c r="Y994" s="96" t="n">
        <v>46213</v>
      </c>
      <c r="Z994" t="inlineStr">
        <is>
          <t>https://app.hubspot.com/contacts/243046792/record/0-3/335175760574</t>
        </is>
      </c>
    </row>
    <row r="995">
      <c r="A995" t="n">
        <v>994</v>
      </c>
      <c r="B995" t="inlineStr">
        <is>
          <t>329109821147</t>
        </is>
      </c>
      <c r="D995" t="inlineStr">
        <is>
          <t>Retirement Plan Tracking Software</t>
        </is>
      </c>
      <c r="E995" t="inlineStr">
        <is>
          <t xml:space="preserve">Weld County </t>
        </is>
      </c>
      <c r="F995" t="inlineStr">
        <is>
          <t>Colorado</t>
        </is>
      </c>
      <c r="G995" t="inlineStr">
        <is>
          <t>RFx Cancelled</t>
        </is>
      </c>
      <c r="H995" t="inlineStr">
        <is>
          <t>No</t>
        </is>
      </c>
      <c r="J995" s="96" t="n">
        <v>46213</v>
      </c>
      <c r="O995" t="inlineStr">
        <is>
          <t>Ashutosh Chauhan</t>
        </is>
      </c>
      <c r="Y995" s="96" t="n">
        <v>46185</v>
      </c>
      <c r="Z995" t="inlineStr">
        <is>
          <t>https://app.hubspot.com/contacts/243046792/record/0-3/329109821147</t>
        </is>
      </c>
    </row>
    <row r="996">
      <c r="A996" t="n">
        <v>995</v>
      </c>
      <c r="B996" t="inlineStr">
        <is>
          <t>330226694880</t>
        </is>
      </c>
      <c r="C996" t="inlineStr">
        <is>
          <t>004008-Jun2026</t>
        </is>
      </c>
      <c r="D996" t="inlineStr">
        <is>
          <t>UC-Wide RFP Web Accessibility Training</t>
        </is>
      </c>
      <c r="E996" t="inlineStr">
        <is>
          <t>The Regents University of California</t>
        </is>
      </c>
      <c r="F996" t="inlineStr">
        <is>
          <t>California</t>
        </is>
      </c>
      <c r="G996" t="inlineStr">
        <is>
          <t>Submitted</t>
        </is>
      </c>
      <c r="H996" t="inlineStr">
        <is>
          <t>No</t>
        </is>
      </c>
      <c r="J996" s="96" t="n">
        <v>46220</v>
      </c>
      <c r="K996" s="96" t="n">
        <v>46220</v>
      </c>
      <c r="N996" t="inlineStr">
        <is>
          <t>Portal</t>
        </is>
      </c>
      <c r="O996" t="inlineStr">
        <is>
          <t>Ashutosh Chauhan</t>
        </is>
      </c>
      <c r="Y996" s="96" t="n">
        <v>46190</v>
      </c>
      <c r="Z996" t="inlineStr">
        <is>
          <t>https://app.hubspot.com/contacts/243046792/record/0-3/330226694880</t>
        </is>
      </c>
    </row>
    <row r="997">
      <c r="A997" t="n">
        <v>996</v>
      </c>
      <c r="B997" t="inlineStr">
        <is>
          <t>332610595525</t>
        </is>
      </c>
      <c r="D997" t="inlineStr">
        <is>
          <t>Data and Analytics Governance</t>
        </is>
      </c>
      <c r="E997" t="inlineStr">
        <is>
          <t>Kentucky Employers’ Mutual Insurance</t>
        </is>
      </c>
      <c r="F997" t="inlineStr">
        <is>
          <t>Kentucky</t>
        </is>
      </c>
      <c r="G997" t="inlineStr">
        <is>
          <t>Submitted</t>
        </is>
      </c>
      <c r="H997" t="inlineStr">
        <is>
          <t>No</t>
        </is>
      </c>
      <c r="J997" s="96" t="n">
        <v>46223</v>
      </c>
      <c r="K997" s="96" t="n">
        <v>46223</v>
      </c>
      <c r="O997" t="inlineStr">
        <is>
          <t>Ashutosh Chauhan</t>
        </is>
      </c>
      <c r="Y997" s="96" t="n">
        <v>46198</v>
      </c>
      <c r="Z997" t="inlineStr">
        <is>
          <t>https://app.hubspot.com/contacts/243046792/record/0-3/332610595525</t>
        </is>
      </c>
    </row>
    <row r="998">
      <c r="A998" t="n">
        <v>997</v>
      </c>
      <c r="B998" t="inlineStr">
        <is>
          <t>328510516960</t>
        </is>
      </c>
      <c r="D998" t="inlineStr">
        <is>
          <t>PeopleSoft Human Capital Management Consulting Services</t>
        </is>
      </c>
      <c r="E998" t="inlineStr">
        <is>
          <t>San Diego County Water Authority</t>
        </is>
      </c>
      <c r="F998" t="inlineStr">
        <is>
          <t>California</t>
        </is>
      </c>
      <c r="G998" t="inlineStr">
        <is>
          <t>Closed Lost</t>
        </is>
      </c>
      <c r="H998" t="inlineStr">
        <is>
          <t>No</t>
        </is>
      </c>
      <c r="J998" s="96" t="n">
        <v>46251</v>
      </c>
      <c r="K998" s="96" t="n">
        <v>46223</v>
      </c>
      <c r="N998" t="inlineStr">
        <is>
          <t>Portal</t>
        </is>
      </c>
      <c r="O998" t="inlineStr">
        <is>
          <t>Jyothsna Nanda kishore</t>
        </is>
      </c>
      <c r="Y998" s="96" t="n">
        <v>46183</v>
      </c>
      <c r="Z998" t="inlineStr">
        <is>
          <t>https://app.hubspot.com/contacts/243046792/record/0-3/328510516960</t>
        </is>
      </c>
    </row>
    <row r="999">
      <c r="A999" t="n">
        <v>998</v>
      </c>
      <c r="B999" t="inlineStr">
        <is>
          <t>334479735537</t>
        </is>
      </c>
      <c r="C999" t="inlineStr">
        <is>
          <t>RFB-WC-26220</t>
        </is>
      </c>
      <c r="D999" t="inlineStr">
        <is>
          <t>OFF - CITRIX TECHNICAL SUPPORT SERVICES</t>
        </is>
      </c>
      <c r="E999" t="inlineStr">
        <is>
          <t xml:space="preserve">Westchester County </t>
        </is>
      </c>
      <c r="F999" t="inlineStr">
        <is>
          <t>New York</t>
        </is>
      </c>
      <c r="G999" t="inlineStr">
        <is>
          <t>RFx Cancelled</t>
        </is>
      </c>
      <c r="H999" t="inlineStr">
        <is>
          <t>No</t>
        </is>
      </c>
      <c r="J999" s="96" t="n">
        <v>46224</v>
      </c>
      <c r="K999" s="96" t="n">
        <v>46223</v>
      </c>
      <c r="L999" t="n">
        <v>3552</v>
      </c>
      <c r="M999" t="inlineStr">
        <is>
          <t>Staff Augmentation;Consulting</t>
        </is>
      </c>
      <c r="N999" t="inlineStr">
        <is>
          <t>Offline</t>
        </is>
      </c>
      <c r="O999" t="inlineStr">
        <is>
          <t>Ashutosh Chauhan</t>
        </is>
      </c>
      <c r="Y999" s="96" t="n">
        <v>46213</v>
      </c>
      <c r="Z999" t="inlineStr">
        <is>
          <t>https://app.hubspot.com/contacts/243046792/record/0-3/334479735537</t>
        </is>
      </c>
    </row>
    <row r="1000">
      <c r="A1000" t="n">
        <v>999</v>
      </c>
      <c r="B1000" t="inlineStr">
        <is>
          <t>332203133659</t>
        </is>
      </c>
      <c r="C1000" t="inlineStr">
        <is>
          <t>1412184881</t>
        </is>
      </c>
      <c r="D1000" t="inlineStr">
        <is>
          <t>(ITN) Cisco Contact Center and Collaboration Managed Support Services</t>
        </is>
      </c>
      <c r="E1000" t="inlineStr">
        <is>
          <t>JEA</t>
        </is>
      </c>
      <c r="F1000" t="inlineStr">
        <is>
          <t>Florida</t>
        </is>
      </c>
      <c r="G1000" t="inlineStr">
        <is>
          <t>Submitted</t>
        </is>
      </c>
      <c r="H1000" t="inlineStr">
        <is>
          <t>No</t>
        </is>
      </c>
      <c r="J1000" s="96" t="n">
        <v>46224</v>
      </c>
      <c r="K1000" s="96" t="n">
        <v>46224</v>
      </c>
      <c r="M1000" t="inlineStr">
        <is>
          <t>Managed Services (MSP)</t>
        </is>
      </c>
      <c r="O1000" t="inlineStr">
        <is>
          <t>Yash More</t>
        </is>
      </c>
      <c r="Y1000" s="96" t="n">
        <v>46198</v>
      </c>
      <c r="Z1000" t="inlineStr">
        <is>
          <t>https://app.hubspot.com/contacts/243046792/record/0-3/332203133659</t>
        </is>
      </c>
    </row>
    <row r="1001">
      <c r="A1001" t="n">
        <v>1000</v>
      </c>
      <c r="B1001" t="inlineStr">
        <is>
          <t>333774783214</t>
        </is>
      </c>
      <c r="C1001" t="inlineStr">
        <is>
          <t>0004012</t>
        </is>
      </c>
      <c r="D1001" t="inlineStr">
        <is>
          <t>UC ANR IT Implementation Project Management</t>
        </is>
      </c>
      <c r="E1001" t="inlineStr">
        <is>
          <t>University of California Agriculture &amp; Natural Resources (UC ANR)</t>
        </is>
      </c>
      <c r="F1001" t="inlineStr">
        <is>
          <t>California</t>
        </is>
      </c>
      <c r="G1001" t="inlineStr">
        <is>
          <t>Closed Lost</t>
        </is>
      </c>
      <c r="H1001" t="inlineStr">
        <is>
          <t>No</t>
        </is>
      </c>
      <c r="J1001" s="96" t="n">
        <v>46287</v>
      </c>
      <c r="K1001" s="96" t="n">
        <v>46224</v>
      </c>
      <c r="L1001" t="n">
        <v>239500</v>
      </c>
      <c r="M1001" t="inlineStr">
        <is>
          <t>Staff Augmentation;Platform Implementation (ERP, CRMs)</t>
        </is>
      </c>
      <c r="N1001" t="inlineStr">
        <is>
          <t>Portal</t>
        </is>
      </c>
      <c r="O1001" t="inlineStr">
        <is>
          <t>Ashutosh Chauhan</t>
        </is>
      </c>
      <c r="Y1001" s="96" t="n">
        <v>46204</v>
      </c>
      <c r="Z1001" t="inlineStr">
        <is>
          <t>https://app.hubspot.com/contacts/243046792/record/0-3/333774783214</t>
        </is>
      </c>
    </row>
    <row r="1002">
      <c r="A1002" t="n">
        <v>1001</v>
      </c>
      <c r="B1002" t="inlineStr">
        <is>
          <t>326027437781</t>
        </is>
      </c>
      <c r="D1002" t="inlineStr">
        <is>
          <t>OnCall Web Developer</t>
        </is>
      </c>
      <c r="E1002" t="inlineStr">
        <is>
          <t xml:space="preserve">Platte River Power Authority </t>
        </is>
      </c>
      <c r="F1002" t="inlineStr">
        <is>
          <t>Colorado</t>
        </is>
      </c>
      <c r="G1002" t="inlineStr">
        <is>
          <t>Submitted</t>
        </is>
      </c>
      <c r="H1002" t="inlineStr">
        <is>
          <t>No</t>
        </is>
      </c>
      <c r="J1002" s="96" t="n">
        <v>46224</v>
      </c>
      <c r="K1002" s="96" t="n">
        <v>46224</v>
      </c>
      <c r="O1002" t="inlineStr">
        <is>
          <t>Ashutosh Chauhan</t>
        </is>
      </c>
      <c r="Y1002" s="96" t="n">
        <v>46163</v>
      </c>
      <c r="Z1002" t="inlineStr">
        <is>
          <t>https://app.hubspot.com/contacts/243046792/record/0-3/326027437781</t>
        </is>
      </c>
    </row>
    <row r="1003">
      <c r="A1003" t="n">
        <v>1002</v>
      </c>
      <c r="B1003" t="inlineStr">
        <is>
          <t>335180237530</t>
        </is>
      </c>
      <c r="D1003" t="inlineStr">
        <is>
          <t>Firewall Replacement Project</t>
        </is>
      </c>
      <c r="E1003" t="inlineStr">
        <is>
          <t>Clear Creek County IT Department</t>
        </is>
      </c>
      <c r="F1003" t="inlineStr">
        <is>
          <t>Colorado</t>
        </is>
      </c>
      <c r="G1003" t="inlineStr">
        <is>
          <t>Closed Lost</t>
        </is>
      </c>
      <c r="H1003" t="inlineStr">
        <is>
          <t>No</t>
        </is>
      </c>
      <c r="J1003" s="96" t="n">
        <v>46227</v>
      </c>
      <c r="K1003" s="96" t="n">
        <v>46224</v>
      </c>
      <c r="O1003" t="inlineStr">
        <is>
          <t>Jyothsna Nanda kishore</t>
        </is>
      </c>
      <c r="Y1003" s="96" t="n">
        <v>46217</v>
      </c>
      <c r="Z1003" t="inlineStr">
        <is>
          <t>https://app.hubspot.com/contacts/243046792/record/0-3/335180237530</t>
        </is>
      </c>
    </row>
    <row r="1004">
      <c r="A1004" t="n">
        <v>1003</v>
      </c>
      <c r="B1004" t="inlineStr">
        <is>
          <t>331240929979</t>
        </is>
      </c>
      <c r="C1004" t="inlineStr">
        <is>
          <t>26-1001-RFP13</t>
        </is>
      </c>
      <c r="D1004" t="inlineStr">
        <is>
          <t>DKPH Intranet Development Project</t>
        </is>
      </c>
      <c r="E1004" t="inlineStr">
        <is>
          <t xml:space="preserve">DeKalb Public Health </t>
        </is>
      </c>
      <c r="F1004" t="inlineStr">
        <is>
          <t>Georgia</t>
        </is>
      </c>
      <c r="G1004" t="inlineStr">
        <is>
          <t>Submitted</t>
        </is>
      </c>
      <c r="H1004" t="inlineStr">
        <is>
          <t>No</t>
        </is>
      </c>
      <c r="J1004" s="96" t="n">
        <v>46233</v>
      </c>
      <c r="K1004" s="96" t="n">
        <v>46225</v>
      </c>
      <c r="M1004" t="inlineStr">
        <is>
          <t>Consulting</t>
        </is>
      </c>
      <c r="O1004" t="inlineStr">
        <is>
          <t>Yash More</t>
        </is>
      </c>
      <c r="Y1004" s="96" t="n">
        <v>46192</v>
      </c>
      <c r="Z1004" t="inlineStr">
        <is>
          <t>https://app.hubspot.com/contacts/243046792/record/0-3/331240929979</t>
        </is>
      </c>
    </row>
    <row r="1005">
      <c r="A1005" t="n">
        <v>1004</v>
      </c>
      <c r="B1005" t="inlineStr">
        <is>
          <t>324843982528</t>
        </is>
      </c>
      <c r="C1005" t="inlineStr">
        <is>
          <t>MWA-0000000095</t>
        </is>
      </c>
      <c r="D1005" t="inlineStr">
        <is>
          <t>Infrastructure Asset Management Program Advancement &amp; CMMS Implementation</t>
        </is>
      </c>
      <c r="E1005" t="inlineStr">
        <is>
          <t>Mojave Water Agency</t>
        </is>
      </c>
      <c r="F1005" t="inlineStr">
        <is>
          <t>California</t>
        </is>
      </c>
      <c r="G1005" t="inlineStr">
        <is>
          <t>Submitted</t>
        </is>
      </c>
      <c r="H1005" t="inlineStr">
        <is>
          <t>No</t>
        </is>
      </c>
      <c r="J1005" s="96" t="n">
        <v>46225</v>
      </c>
      <c r="K1005" s="96" t="n">
        <v>46225</v>
      </c>
      <c r="L1005" t="n">
        <v>445000</v>
      </c>
      <c r="M1005" t="inlineStr">
        <is>
          <t>Consulting;Support &amp; Maintenance;Platform Implementation (ERP, CRMs);Audits and Assessment</t>
        </is>
      </c>
      <c r="N1005" t="inlineStr">
        <is>
          <t>Portal</t>
        </is>
      </c>
      <c r="O1005" t="inlineStr">
        <is>
          <t>Ashutosh Chauhan</t>
        </is>
      </c>
      <c r="Y1005" s="96" t="n">
        <v>46156</v>
      </c>
      <c r="Z1005" t="inlineStr">
        <is>
          <t>https://app.hubspot.com/contacts/243046792/record/0-3/324843982528</t>
        </is>
      </c>
    </row>
    <row r="1006">
      <c r="A1006" t="n">
        <v>1005</v>
      </c>
      <c r="B1006" t="inlineStr">
        <is>
          <t>326399479507</t>
        </is>
      </c>
      <c r="D1006" t="inlineStr">
        <is>
          <t>TRIMBLE UNITY MAINTAIN IMPLEMENTATION</t>
        </is>
      </c>
      <c r="E1006" t="inlineStr">
        <is>
          <t>Allegheny County Sanitary Authority (“ALCOSAN”)</t>
        </is>
      </c>
      <c r="F1006" t="inlineStr">
        <is>
          <t>Pennsylvania</t>
        </is>
      </c>
      <c r="G1006" t="inlineStr">
        <is>
          <t>Closed Lost</t>
        </is>
      </c>
      <c r="H1006" t="inlineStr">
        <is>
          <t>No</t>
        </is>
      </c>
      <c r="J1006" s="96" t="n">
        <v>46279</v>
      </c>
      <c r="K1006" s="96" t="n">
        <v>46225</v>
      </c>
      <c r="N1006" t="inlineStr">
        <is>
          <t>Offline</t>
        </is>
      </c>
      <c r="O1006" t="inlineStr">
        <is>
          <t>Jyothsna Nanda kishore</t>
        </is>
      </c>
      <c r="Y1006" s="96" t="n">
        <v>46164</v>
      </c>
      <c r="Z1006" t="inlineStr">
        <is>
          <t>https://app.hubspot.com/contacts/243046792/record/0-3/326399479507</t>
        </is>
      </c>
    </row>
    <row r="1007">
      <c r="A1007" t="n">
        <v>1006</v>
      </c>
      <c r="B1007" t="inlineStr">
        <is>
          <t>333756062420</t>
        </is>
      </c>
      <c r="C1007" t="inlineStr">
        <is>
          <t>NYSCR 26/27-3750IT</t>
        </is>
      </c>
      <c r="D1007" t="inlineStr">
        <is>
          <t>On-site Information Technology Services</t>
        </is>
      </c>
      <c r="E1007" t="inlineStr">
        <is>
          <t xml:space="preserve">State University of New York </t>
        </is>
      </c>
      <c r="F1007" t="inlineStr">
        <is>
          <t>New York</t>
        </is>
      </c>
      <c r="G1007" t="inlineStr">
        <is>
          <t>Closed Lost</t>
        </is>
      </c>
      <c r="H1007" t="inlineStr">
        <is>
          <t>No</t>
        </is>
      </c>
      <c r="J1007" s="96" t="n">
        <v>46232</v>
      </c>
      <c r="K1007" s="96" t="n">
        <v>46225</v>
      </c>
      <c r="L1007" t="n">
        <v>99450</v>
      </c>
      <c r="M1007" t="inlineStr">
        <is>
          <t>Managed Services (MSP);Staff Augmentation</t>
        </is>
      </c>
      <c r="N1007" t="inlineStr">
        <is>
          <t>Email</t>
        </is>
      </c>
      <c r="O1007" t="inlineStr">
        <is>
          <t>Jyothsna Nanda kishore</t>
        </is>
      </c>
      <c r="Y1007" s="96" t="n">
        <v>46204</v>
      </c>
      <c r="Z1007" t="inlineStr">
        <is>
          <t>https://app.hubspot.com/contacts/243046792/record/0-3/333756062420</t>
        </is>
      </c>
    </row>
    <row r="1008">
      <c r="A1008" t="n">
        <v>1007</v>
      </c>
      <c r="B1008" t="inlineStr">
        <is>
          <t>329984107248</t>
        </is>
      </c>
      <c r="C1008" t="inlineStr">
        <is>
          <t>9517</t>
        </is>
      </c>
      <c r="D1008" t="inlineStr">
        <is>
          <t>INFRASTRUCTURE SUSTAINABILITY &amp; MODERNIZATION ASSESSMENT</t>
        </is>
      </c>
      <c r="E1008" t="inlineStr">
        <is>
          <t>Allegheny County</t>
        </is>
      </c>
      <c r="F1008" t="inlineStr">
        <is>
          <t>Pennsylvania</t>
        </is>
      </c>
      <c r="G1008" t="inlineStr">
        <is>
          <t>Submitted</t>
        </is>
      </c>
      <c r="H1008" t="inlineStr">
        <is>
          <t>No</t>
        </is>
      </c>
      <c r="J1008" s="96" t="n">
        <v>46225</v>
      </c>
      <c r="K1008" s="96" t="n">
        <v>46225</v>
      </c>
      <c r="M1008" t="inlineStr">
        <is>
          <t>Audits and Assessment</t>
        </is>
      </c>
      <c r="O1008" t="inlineStr">
        <is>
          <t>Yash More</t>
        </is>
      </c>
      <c r="Y1008" s="96" t="n">
        <v>46188</v>
      </c>
      <c r="Z1008" t="inlineStr">
        <is>
          <t>https://app.hubspot.com/contacts/243046792/record/0-3/329984107248</t>
        </is>
      </c>
    </row>
    <row r="1009">
      <c r="A1009" t="n">
        <v>1008</v>
      </c>
      <c r="B1009" t="inlineStr">
        <is>
          <t>333485015745</t>
        </is>
      </c>
      <c r="D1009" t="inlineStr">
        <is>
          <t>Microsoft Unified Support Partner</t>
        </is>
      </c>
      <c r="E1009" t="inlineStr">
        <is>
          <t>North Dakota University System</t>
        </is>
      </c>
      <c r="F1009" t="inlineStr">
        <is>
          <t>Alabama</t>
        </is>
      </c>
      <c r="G1009" t="inlineStr">
        <is>
          <t>Submitted</t>
        </is>
      </c>
      <c r="H1009" t="inlineStr">
        <is>
          <t>No</t>
        </is>
      </c>
      <c r="J1009" s="96" t="n">
        <v>46225</v>
      </c>
      <c r="K1009" s="96" t="n">
        <v>46225</v>
      </c>
      <c r="O1009" t="inlineStr">
        <is>
          <t>Ashutosh Chauhan</t>
        </is>
      </c>
      <c r="Y1009" s="96" t="n">
        <v>46203</v>
      </c>
      <c r="Z1009" t="inlineStr">
        <is>
          <t>https://app.hubspot.com/contacts/243046792/record/0-3/333485015745</t>
        </is>
      </c>
    </row>
    <row r="1010">
      <c r="A1010" t="n">
        <v>1009</v>
      </c>
      <c r="B1010" t="inlineStr">
        <is>
          <t>330059659999</t>
        </is>
      </c>
      <c r="C1010" t="inlineStr">
        <is>
          <t>#2026-001</t>
        </is>
      </c>
      <c r="D1010" t="inlineStr">
        <is>
          <t>Managed Information Technology Services, Support, Maintenance, and Consulting</t>
        </is>
      </c>
      <c r="E1010" t="inlineStr">
        <is>
          <t>East Fishkill Fire District</t>
        </is>
      </c>
      <c r="F1010" t="inlineStr">
        <is>
          <t>New York</t>
        </is>
      </c>
      <c r="G1010" t="inlineStr">
        <is>
          <t>Submitted</t>
        </is>
      </c>
      <c r="H1010" t="inlineStr">
        <is>
          <t>No</t>
        </is>
      </c>
      <c r="J1010" s="96" t="n">
        <v>46225</v>
      </c>
      <c r="K1010" s="96" t="n">
        <v>46225</v>
      </c>
      <c r="M1010" t="inlineStr">
        <is>
          <t>Consulting;Managed Services (MSP)</t>
        </is>
      </c>
      <c r="N1010" t="inlineStr">
        <is>
          <t>Email</t>
        </is>
      </c>
      <c r="O1010" t="inlineStr">
        <is>
          <t>Yash More</t>
        </is>
      </c>
      <c r="Y1010" s="96" t="n">
        <v>46189</v>
      </c>
      <c r="Z1010" t="inlineStr">
        <is>
          <t>https://app.hubspot.com/contacts/243046792/record/0-3/330059659999</t>
        </is>
      </c>
    </row>
    <row r="1011">
      <c r="A1011" t="n">
        <v>1010</v>
      </c>
      <c r="B1011" t="inlineStr">
        <is>
          <t>329159073511</t>
        </is>
      </c>
      <c r="C1011" t="inlineStr">
        <is>
          <t>REQ00002321</t>
        </is>
      </c>
      <c r="D1011" t="inlineStr">
        <is>
          <t>GP&amp;L Utility Network System Implementation</t>
        </is>
      </c>
      <c r="E1011" t="inlineStr">
        <is>
          <t>City of Garland</t>
        </is>
      </c>
      <c r="F1011" t="inlineStr">
        <is>
          <t>Texas</t>
        </is>
      </c>
      <c r="G1011" t="inlineStr">
        <is>
          <t>Submitted</t>
        </is>
      </c>
      <c r="H1011" t="inlineStr">
        <is>
          <t>No</t>
        </is>
      </c>
      <c r="J1011" s="96" t="n">
        <v>46226</v>
      </c>
      <c r="K1011" s="96" t="n">
        <v>46226</v>
      </c>
      <c r="L1011" t="n">
        <v>1953800</v>
      </c>
      <c r="M1011" t="inlineStr">
        <is>
          <t>Platform Implementation (ERP, CRMs)</t>
        </is>
      </c>
      <c r="N1011" t="inlineStr">
        <is>
          <t>Portal</t>
        </is>
      </c>
      <c r="O1011" t="inlineStr">
        <is>
          <t>Ashutosh Chauhan</t>
        </is>
      </c>
      <c r="Y1011" s="96" t="n">
        <v>46185</v>
      </c>
      <c r="Z1011" t="inlineStr">
        <is>
          <t>https://app.hubspot.com/contacts/243046792/record/0-3/329159073511</t>
        </is>
      </c>
    </row>
    <row r="1012">
      <c r="A1012" t="n">
        <v>1011</v>
      </c>
      <c r="B1012" t="inlineStr">
        <is>
          <t>335265383158</t>
        </is>
      </c>
      <c r="D1012" t="inlineStr">
        <is>
          <t xml:space="preserve">O365 Subscriptions </t>
        </is>
      </c>
      <c r="E1012" t="inlineStr">
        <is>
          <t>Rockingham County</t>
        </is>
      </c>
      <c r="F1012" t="inlineStr">
        <is>
          <t>New Hampshire</t>
        </is>
      </c>
      <c r="G1012" t="inlineStr">
        <is>
          <t>Submitted</t>
        </is>
      </c>
      <c r="H1012" t="inlineStr">
        <is>
          <t>No</t>
        </is>
      </c>
      <c r="J1012" s="96" t="n">
        <v>46226</v>
      </c>
      <c r="K1012" s="96" t="n">
        <v>46226</v>
      </c>
      <c r="O1012" t="inlineStr">
        <is>
          <t>Jyothsna Nanda kishore</t>
        </is>
      </c>
      <c r="Y1012" s="96" t="n">
        <v>46217</v>
      </c>
      <c r="Z1012" t="inlineStr">
        <is>
          <t>https://app.hubspot.com/contacts/243046792/record/0-3/335265383158</t>
        </is>
      </c>
    </row>
    <row r="1013">
      <c r="A1013" t="n">
        <v>1012</v>
      </c>
      <c r="B1013" t="inlineStr">
        <is>
          <t>335745612482</t>
        </is>
      </c>
      <c r="C1013" t="inlineStr">
        <is>
          <t>RFQ-2613</t>
        </is>
      </c>
      <c r="D1013" t="inlineStr">
        <is>
          <t>On-Call Advisory and Consulting Services</t>
        </is>
      </c>
      <c r="E1013" t="inlineStr">
        <is>
          <t>Rhode Island Commerce Corporation</t>
        </is>
      </c>
      <c r="F1013" t="inlineStr">
        <is>
          <t>Rhode Island</t>
        </is>
      </c>
      <c r="G1013" t="inlineStr">
        <is>
          <t>Submitted</t>
        </is>
      </c>
      <c r="H1013" t="inlineStr">
        <is>
          <t>No</t>
        </is>
      </c>
      <c r="J1013" s="96" t="n">
        <v>46226</v>
      </c>
      <c r="K1013" s="96" t="n">
        <v>46226</v>
      </c>
      <c r="M1013" t="inlineStr">
        <is>
          <t>Staff Augmentation</t>
        </is>
      </c>
      <c r="O1013" t="inlineStr">
        <is>
          <t>Yash More</t>
        </is>
      </c>
      <c r="Y1013" s="96" t="n">
        <v>46217</v>
      </c>
      <c r="Z1013" t="inlineStr">
        <is>
          <t>https://app.hubspot.com/contacts/243046792/record/0-3/335745612482</t>
        </is>
      </c>
    </row>
    <row r="1014">
      <c r="A1014" t="n">
        <v>1013</v>
      </c>
      <c r="B1014" t="inlineStr">
        <is>
          <t>334068838125</t>
        </is>
      </c>
      <c r="D1014" t="inlineStr">
        <is>
          <t>Cyber Security Vulnerability Assessment 2026</t>
        </is>
      </c>
      <c r="E1014" t="inlineStr">
        <is>
          <t>Lansing Board of Water and Light</t>
        </is>
      </c>
      <c r="F1014" t="inlineStr">
        <is>
          <t>Michigan</t>
        </is>
      </c>
      <c r="G1014" t="inlineStr">
        <is>
          <t>Submitted</t>
        </is>
      </c>
      <c r="H1014" t="inlineStr">
        <is>
          <t>No</t>
        </is>
      </c>
      <c r="J1014" s="96" t="n">
        <v>46227</v>
      </c>
      <c r="K1014" s="96" t="n">
        <v>46227</v>
      </c>
      <c r="O1014" t="inlineStr">
        <is>
          <t>Ashutosh Chauhan</t>
        </is>
      </c>
      <c r="Y1014" s="96" t="n">
        <v>46210</v>
      </c>
      <c r="Z1014" t="inlineStr">
        <is>
          <t>https://app.hubspot.com/contacts/243046792/record/0-3/334068838125</t>
        </is>
      </c>
    </row>
    <row r="1015">
      <c r="A1015" t="n">
        <v>1014</v>
      </c>
      <c r="B1015" t="inlineStr">
        <is>
          <t>328204741358</t>
        </is>
      </c>
      <c r="D1015" t="inlineStr">
        <is>
          <t>Municipal Software Suite</t>
        </is>
      </c>
      <c r="E1015" t="inlineStr">
        <is>
          <t xml:space="preserve"> Village of Westmont</t>
        </is>
      </c>
      <c r="F1015" t="inlineStr">
        <is>
          <t>Illinois</t>
        </is>
      </c>
      <c r="G1015" t="inlineStr">
        <is>
          <t>Closed Lost</t>
        </is>
      </c>
      <c r="H1015" t="inlineStr">
        <is>
          <t>No</t>
        </is>
      </c>
      <c r="J1015" s="96" t="n">
        <v>46290</v>
      </c>
      <c r="K1015" s="96" t="n">
        <v>46227</v>
      </c>
      <c r="O1015" t="inlineStr">
        <is>
          <t>Jyothsna Nanda kishore</t>
        </is>
      </c>
      <c r="Y1015" s="96" t="n">
        <v>46177</v>
      </c>
      <c r="Z1015" t="inlineStr">
        <is>
          <t>https://app.hubspot.com/contacts/243046792/record/0-3/328204741358</t>
        </is>
      </c>
    </row>
    <row r="1016">
      <c r="A1016" t="n">
        <v>1015</v>
      </c>
      <c r="B1016" t="inlineStr">
        <is>
          <t>331925481174</t>
        </is>
      </c>
      <c r="C1016" t="inlineStr">
        <is>
          <t>PU-2026-PPS-1558</t>
        </is>
      </c>
      <c r="D1016" t="inlineStr">
        <is>
          <t>Consultant for Data Center Strategy</t>
        </is>
      </c>
      <c r="E1016" t="inlineStr">
        <is>
          <t>Princeton University</t>
        </is>
      </c>
      <c r="F1016" t="inlineStr">
        <is>
          <t>New Jersey</t>
        </is>
      </c>
      <c r="G1016" t="inlineStr">
        <is>
          <t>Closed Lost</t>
        </is>
      </c>
      <c r="H1016" t="inlineStr">
        <is>
          <t>No</t>
        </is>
      </c>
      <c r="J1016" s="96" t="n">
        <v>46295</v>
      </c>
      <c r="K1016" s="96" t="n">
        <v>46227</v>
      </c>
      <c r="L1016" t="n">
        <v>1015400</v>
      </c>
      <c r="M1016" t="inlineStr">
        <is>
          <t>Consulting</t>
        </is>
      </c>
      <c r="N1016" t="inlineStr">
        <is>
          <t>Portal</t>
        </is>
      </c>
      <c r="O1016" t="inlineStr">
        <is>
          <t>Ashutosh Chauhan</t>
        </is>
      </c>
      <c r="Y1016" s="96" t="n">
        <v>46196</v>
      </c>
      <c r="Z1016" t="inlineStr">
        <is>
          <t>https://app.hubspot.com/contacts/243046792/record/0-3/331925481174</t>
        </is>
      </c>
    </row>
    <row r="1017">
      <c r="A1017" t="n">
        <v>1016</v>
      </c>
      <c r="B1017" t="inlineStr">
        <is>
          <t>334478063341</t>
        </is>
      </c>
      <c r="C1017" t="inlineStr">
        <is>
          <t>2026-RFP-AS-004</t>
        </is>
      </c>
      <c r="D1017" t="inlineStr">
        <is>
          <t>Website Hosting and Content Management Systems (CMS)</t>
        </is>
      </c>
      <c r="E1017" t="inlineStr">
        <is>
          <t>Housing Authority of the City of Alameda</t>
        </is>
      </c>
      <c r="F1017" t="inlineStr">
        <is>
          <t>California</t>
        </is>
      </c>
      <c r="G1017" t="inlineStr">
        <is>
          <t>Submitted</t>
        </is>
      </c>
      <c r="H1017" t="inlineStr">
        <is>
          <t>No</t>
        </is>
      </c>
      <c r="J1017" s="96" t="n">
        <v>46227</v>
      </c>
      <c r="K1017" s="96" t="n">
        <v>46227</v>
      </c>
      <c r="M1017" t="inlineStr">
        <is>
          <t>Support &amp; Maintenance</t>
        </is>
      </c>
      <c r="O1017" t="inlineStr">
        <is>
          <t>Yash More</t>
        </is>
      </c>
      <c r="Y1017" s="96" t="n">
        <v>46210</v>
      </c>
      <c r="Z1017" t="inlineStr">
        <is>
          <t>https://app.hubspot.com/contacts/243046792/record/0-3/334478063341</t>
        </is>
      </c>
    </row>
    <row r="1018">
      <c r="A1018" t="n">
        <v>1017</v>
      </c>
      <c r="B1018" t="inlineStr">
        <is>
          <t>328748898022</t>
        </is>
      </c>
      <c r="C1018" t="inlineStr">
        <is>
          <t>1083.7</t>
        </is>
      </c>
      <c r="D1018" t="inlineStr">
        <is>
          <t>OFF - Professional Services and Temporary Personnel for Information Technology Consulting Contractual Services</t>
        </is>
      </c>
      <c r="E1018" t="inlineStr">
        <is>
          <t>Montgomery County Public Schools</t>
        </is>
      </c>
      <c r="F1018" t="inlineStr">
        <is>
          <t>Maryland</t>
        </is>
      </c>
      <c r="G1018" t="inlineStr">
        <is>
          <t>Submitted</t>
        </is>
      </c>
      <c r="H1018" t="inlineStr">
        <is>
          <t>No</t>
        </is>
      </c>
      <c r="J1018" s="96" t="n">
        <v>46227</v>
      </c>
      <c r="K1018" s="96" t="n">
        <v>46227</v>
      </c>
      <c r="O1018" t="inlineStr">
        <is>
          <t>Ashutosh Chauhan</t>
        </is>
      </c>
      <c r="Y1018" s="96" t="n">
        <v>46184</v>
      </c>
      <c r="Z1018" t="inlineStr">
        <is>
          <t>https://app.hubspot.com/contacts/243046792/record/0-3/328748898022</t>
        </is>
      </c>
    </row>
    <row r="1019">
      <c r="A1019" t="n">
        <v>1018</v>
      </c>
      <c r="B1019" t="inlineStr">
        <is>
          <t>335797819125</t>
        </is>
      </c>
      <c r="C1019" t="inlineStr">
        <is>
          <t>27-01</t>
        </is>
      </c>
      <c r="D1019" t="inlineStr">
        <is>
          <t>Web Development &amp; Support Services for MassArt.edu</t>
        </is>
      </c>
      <c r="E1019" t="inlineStr">
        <is>
          <t>Massachusetts College of Art and Design</t>
        </is>
      </c>
      <c r="F1019" t="inlineStr">
        <is>
          <t>Massachusetts</t>
        </is>
      </c>
      <c r="G1019" t="inlineStr">
        <is>
          <t>Submitted</t>
        </is>
      </c>
      <c r="H1019" t="inlineStr">
        <is>
          <t>No</t>
        </is>
      </c>
      <c r="J1019" s="96" t="n">
        <v>46227</v>
      </c>
      <c r="K1019" s="96" t="n">
        <v>46227</v>
      </c>
      <c r="M1019" t="inlineStr">
        <is>
          <t>Support &amp; Maintenance</t>
        </is>
      </c>
      <c r="O1019" t="inlineStr">
        <is>
          <t>Yash More</t>
        </is>
      </c>
      <c r="Y1019" s="96" t="n">
        <v>46218</v>
      </c>
      <c r="Z1019" t="inlineStr">
        <is>
          <t>https://app.hubspot.com/contacts/243046792/record/0-3/335797819125</t>
        </is>
      </c>
    </row>
    <row r="1020">
      <c r="A1020" t="n">
        <v>1019</v>
      </c>
      <c r="B1020" t="inlineStr">
        <is>
          <t>334068867786</t>
        </is>
      </c>
      <c r="D1020" t="inlineStr">
        <is>
          <t xml:space="preserve">Network Support Managed Service Provider for DCHA/IT </t>
        </is>
      </c>
      <c r="E1020" t="inlineStr">
        <is>
          <t>District of Columbia Housing Authority</t>
        </is>
      </c>
      <c r="F1020" t="inlineStr">
        <is>
          <t>Washington, D.C.</t>
        </is>
      </c>
      <c r="G1020" t="inlineStr">
        <is>
          <t>Submitted</t>
        </is>
      </c>
      <c r="H1020" t="inlineStr">
        <is>
          <t>No</t>
        </is>
      </c>
      <c r="J1020" s="96" t="n">
        <v>46227</v>
      </c>
      <c r="K1020" s="96" t="n">
        <v>46227</v>
      </c>
      <c r="N1020" t="inlineStr">
        <is>
          <t>Portal</t>
        </is>
      </c>
      <c r="O1020" t="inlineStr">
        <is>
          <t>Jyothsna Nanda kishore</t>
        </is>
      </c>
      <c r="Y1020" s="96" t="n">
        <v>46210</v>
      </c>
      <c r="Z1020" t="inlineStr">
        <is>
          <t>https://app.hubspot.com/contacts/243046792/record/0-3/334068867786</t>
        </is>
      </c>
    </row>
    <row r="1021">
      <c r="A1021" t="n">
        <v>1020</v>
      </c>
      <c r="B1021" t="inlineStr">
        <is>
          <t>332609256149</t>
        </is>
      </c>
      <c r="D1021" t="inlineStr">
        <is>
          <t>Selection for IIE Preferred Partners for IT Consulting Services</t>
        </is>
      </c>
      <c r="E1021" t="inlineStr">
        <is>
          <t>Institute of International Education</t>
        </is>
      </c>
      <c r="F1021" t="inlineStr">
        <is>
          <t>New York</t>
        </is>
      </c>
      <c r="G1021" t="inlineStr">
        <is>
          <t>Closed Lost</t>
        </is>
      </c>
      <c r="H1021" t="inlineStr">
        <is>
          <t>No</t>
        </is>
      </c>
      <c r="J1021" s="96" t="n">
        <v>46252</v>
      </c>
      <c r="K1021" s="96" t="n">
        <v>46230</v>
      </c>
      <c r="O1021" t="inlineStr">
        <is>
          <t>Jyothsna Nanda kishore</t>
        </is>
      </c>
      <c r="Y1021" s="96" t="n">
        <v>46199</v>
      </c>
      <c r="Z1021" t="inlineStr">
        <is>
          <t>https://app.hubspot.com/contacts/243046792/record/0-3/332609256149</t>
        </is>
      </c>
    </row>
    <row r="1022">
      <c r="A1022" t="n">
        <v>1021</v>
      </c>
      <c r="B1022" t="inlineStr">
        <is>
          <t>334478997180</t>
        </is>
      </c>
      <c r="D1022" t="inlineStr">
        <is>
          <t>Information Technology Support Services</t>
        </is>
      </c>
      <c r="E1022" t="inlineStr">
        <is>
          <t>Association of Monterey Bay Area Governments (AMBAG)</t>
        </is>
      </c>
      <c r="F1022" t="inlineStr">
        <is>
          <t>California</t>
        </is>
      </c>
      <c r="G1022" t="inlineStr">
        <is>
          <t>Closed Lost</t>
        </is>
      </c>
      <c r="H1022" t="inlineStr">
        <is>
          <t>No</t>
        </is>
      </c>
      <c r="J1022" s="96" t="n">
        <v>46260</v>
      </c>
      <c r="K1022" s="96" t="n">
        <v>46230</v>
      </c>
      <c r="O1022" t="inlineStr">
        <is>
          <t>Jyothsna Nanda kishore</t>
        </is>
      </c>
      <c r="Y1022" s="96" t="n">
        <v>46213</v>
      </c>
      <c r="Z1022" t="inlineStr">
        <is>
          <t>https://app.hubspot.com/contacts/243046792/record/0-3/334478997180</t>
        </is>
      </c>
    </row>
    <row r="1023">
      <c r="A1023" t="n">
        <v>1022</v>
      </c>
      <c r="B1023" t="inlineStr">
        <is>
          <t>328751730365</t>
        </is>
      </c>
      <c r="C1023" t="inlineStr">
        <is>
          <t>S26027</t>
        </is>
      </c>
      <c r="D1023" t="inlineStr">
        <is>
          <t>Data Warehouse Modernization Initiative</t>
        </is>
      </c>
      <c r="E1023" t="inlineStr">
        <is>
          <t>Santa Clara Valley Transportation Authority</t>
        </is>
      </c>
      <c r="F1023" t="inlineStr">
        <is>
          <t>California</t>
        </is>
      </c>
      <c r="G1023" t="inlineStr">
        <is>
          <t>Submitted</t>
        </is>
      </c>
      <c r="H1023" t="inlineStr">
        <is>
          <t>No</t>
        </is>
      </c>
      <c r="J1023" s="96" t="n">
        <v>46230</v>
      </c>
      <c r="K1023" s="96" t="n">
        <v>46230</v>
      </c>
      <c r="O1023" t="inlineStr">
        <is>
          <t>Ashutosh Chauhan</t>
        </is>
      </c>
      <c r="Y1023" s="96" t="n">
        <v>46184</v>
      </c>
      <c r="Z1023" t="inlineStr">
        <is>
          <t>https://app.hubspot.com/contacts/243046792/record/0-3/328751730365</t>
        </is>
      </c>
    </row>
    <row r="1024">
      <c r="A1024" t="n">
        <v>1023</v>
      </c>
      <c r="B1024" t="inlineStr">
        <is>
          <t>335867277022</t>
        </is>
      </c>
      <c r="C1024" t="inlineStr">
        <is>
          <t>SRC000347</t>
        </is>
      </c>
      <c r="D1024" t="inlineStr">
        <is>
          <t>State of North Dakota - Health Information Technology Consultant</t>
        </is>
      </c>
      <c r="E1024" t="inlineStr">
        <is>
          <t>North Dakota Department of Health and Human Services Rural Health Transformation Program (RHTP)</t>
        </is>
      </c>
      <c r="F1024" t="inlineStr">
        <is>
          <t>North Dakota</t>
        </is>
      </c>
      <c r="G1024" t="inlineStr">
        <is>
          <t>Intent to Award</t>
        </is>
      </c>
      <c r="H1024" t="inlineStr">
        <is>
          <t>No</t>
        </is>
      </c>
      <c r="J1024" s="96" t="n">
        <v>46230</v>
      </c>
      <c r="K1024" s="96" t="n">
        <v>46230</v>
      </c>
      <c r="L1024" t="n">
        <v>259400</v>
      </c>
      <c r="M1024" t="inlineStr">
        <is>
          <t>Consulting</t>
        </is>
      </c>
      <c r="N1024" t="inlineStr">
        <is>
          <t>Portal</t>
        </is>
      </c>
      <c r="O1024" t="inlineStr">
        <is>
          <t>Jyothsna Nanda kishore</t>
        </is>
      </c>
      <c r="S1024" s="96" t="n">
        <v>46266</v>
      </c>
      <c r="Y1024" s="96" t="n">
        <v>46218</v>
      </c>
      <c r="Z1024" t="inlineStr">
        <is>
          <t>https://app.hubspot.com/contacts/243046792/record/0-3/335867277022</t>
        </is>
      </c>
    </row>
    <row r="1025">
      <c r="A1025" t="n">
        <v>1024</v>
      </c>
      <c r="B1025" t="inlineStr">
        <is>
          <t>327926991548</t>
        </is>
      </c>
      <c r="D1025" t="inlineStr">
        <is>
          <t>Transportation Management System (TMS) Maintenance and Support Services</t>
        </is>
      </c>
      <c r="E1025" t="inlineStr">
        <is>
          <t>Missouri Department of Transportation</t>
        </is>
      </c>
      <c r="F1025" t="inlineStr">
        <is>
          <t>Missouri</t>
        </is>
      </c>
      <c r="G1025" t="inlineStr">
        <is>
          <t>Submitted</t>
        </is>
      </c>
      <c r="H1025" t="inlineStr">
        <is>
          <t>No</t>
        </is>
      </c>
      <c r="J1025" s="96" t="n">
        <v>46230</v>
      </c>
      <c r="K1025" s="96" t="n">
        <v>46230</v>
      </c>
      <c r="O1025" t="inlineStr">
        <is>
          <t>Jyothsna Nanda kishore</t>
        </is>
      </c>
      <c r="Y1025" s="96" t="n">
        <v>46176</v>
      </c>
      <c r="Z1025" t="inlineStr">
        <is>
          <t>https://app.hubspot.com/contacts/243046792/record/0-3/327926991548</t>
        </is>
      </c>
    </row>
    <row r="1026">
      <c r="A1026" t="n">
        <v>1025</v>
      </c>
      <c r="B1026" t="inlineStr">
        <is>
          <t>335797829358</t>
        </is>
      </c>
      <c r="C1026" t="inlineStr">
        <is>
          <t>#47011</t>
        </is>
      </c>
      <c r="D1026" t="inlineStr">
        <is>
          <t>New Contingency Staffing Request - Ambulatory Manager</t>
        </is>
      </c>
      <c r="E1026" t="inlineStr">
        <is>
          <t>County of San Mateo</t>
        </is>
      </c>
      <c r="F1026" t="inlineStr">
        <is>
          <t>California</t>
        </is>
      </c>
      <c r="G1026" t="inlineStr">
        <is>
          <t>Closed Lost</t>
        </is>
      </c>
      <c r="H1026" t="inlineStr">
        <is>
          <t>No</t>
        </is>
      </c>
      <c r="J1026" s="96" t="n">
        <v>46244</v>
      </c>
      <c r="K1026" s="96" t="n">
        <v>46230</v>
      </c>
      <c r="M1026" t="inlineStr">
        <is>
          <t>Staff Augmentation</t>
        </is>
      </c>
      <c r="N1026" t="inlineStr">
        <is>
          <t>Portal</t>
        </is>
      </c>
      <c r="O1026" t="inlineStr">
        <is>
          <t>Ashutosh Chauhan</t>
        </is>
      </c>
      <c r="Y1026" s="96" t="n">
        <v>46218</v>
      </c>
      <c r="Z1026" t="inlineStr">
        <is>
          <t>https://app.hubspot.com/contacts/243046792/record/0-3/335797829358</t>
        </is>
      </c>
    </row>
    <row r="1027">
      <c r="A1027" t="n">
        <v>1026</v>
      </c>
      <c r="B1027" t="inlineStr">
        <is>
          <t>334478997193</t>
        </is>
      </c>
      <c r="D1027" t="inlineStr">
        <is>
          <t>Annual External Vulnerability and Web Application Scanning Services</t>
        </is>
      </c>
      <c r="E1027" t="inlineStr">
        <is>
          <t>St. Johns County</t>
        </is>
      </c>
      <c r="F1027" t="inlineStr">
        <is>
          <t>Florida</t>
        </is>
      </c>
      <c r="G1027" t="inlineStr">
        <is>
          <t>Submitted</t>
        </is>
      </c>
      <c r="H1027" t="inlineStr">
        <is>
          <t>No</t>
        </is>
      </c>
      <c r="J1027" s="96" t="n">
        <v>46231</v>
      </c>
      <c r="K1027" s="96" t="n">
        <v>46231</v>
      </c>
      <c r="M1027" t="inlineStr">
        <is>
          <t>Managed Services (MSP)</t>
        </is>
      </c>
      <c r="O1027" t="inlineStr">
        <is>
          <t>Ashutosh Chauhan</t>
        </is>
      </c>
      <c r="Y1027" s="96" t="n">
        <v>46213</v>
      </c>
      <c r="Z1027" t="inlineStr">
        <is>
          <t>https://app.hubspot.com/contacts/243046792/record/0-3/334478997193</t>
        </is>
      </c>
    </row>
    <row r="1028">
      <c r="A1028" t="n">
        <v>1027</v>
      </c>
      <c r="B1028" t="inlineStr">
        <is>
          <t>334063936199</t>
        </is>
      </c>
      <c r="C1028" t="inlineStr">
        <is>
          <t>2026-05</t>
        </is>
      </c>
      <c r="D1028" t="inlineStr">
        <is>
          <t>RETAIN A RATE CASE CONSULTANT(S)</t>
        </is>
      </c>
      <c r="E1028" t="inlineStr">
        <is>
          <t>State of Connecticut</t>
        </is>
      </c>
      <c r="F1028" t="inlineStr">
        <is>
          <t>Connecticut</t>
        </is>
      </c>
      <c r="G1028" t="inlineStr">
        <is>
          <t>RFx Cancelled</t>
        </is>
      </c>
      <c r="H1028" t="inlineStr">
        <is>
          <t>Yes</t>
        </is>
      </c>
      <c r="J1028" s="96" t="n">
        <v>46231</v>
      </c>
      <c r="K1028" s="96" t="n">
        <v>46231</v>
      </c>
      <c r="M1028" t="inlineStr">
        <is>
          <t>Audits and Assessment</t>
        </is>
      </c>
      <c r="O1028" t="inlineStr">
        <is>
          <t>Yash More</t>
        </is>
      </c>
      <c r="Q1028" s="96" t="n">
        <v>46247</v>
      </c>
      <c r="S1028" s="96" t="n"/>
      <c r="Y1028" s="96" t="n">
        <v>46213</v>
      </c>
      <c r="Z1028" t="inlineStr">
        <is>
          <t>https://app.hubspot.com/contacts/243046792/record/0-3/334063936199</t>
        </is>
      </c>
    </row>
    <row r="1029">
      <c r="A1029" t="n">
        <v>1028</v>
      </c>
      <c r="B1029" t="inlineStr">
        <is>
          <t>331519708901</t>
        </is>
      </c>
      <c r="C1029" t="inlineStr">
        <is>
          <t>R42026-05</t>
        </is>
      </c>
      <c r="D1029" t="inlineStr">
        <is>
          <t>Application Maintenance, DevOps, and Program Support Services for The Texas Education Exchange</t>
        </is>
      </c>
      <c r="E1029" t="inlineStr">
        <is>
          <t>Region 4 ESC</t>
        </is>
      </c>
      <c r="F1029" t="inlineStr">
        <is>
          <t>Texas</t>
        </is>
      </c>
      <c r="G1029" t="inlineStr">
        <is>
          <t>Submitted</t>
        </is>
      </c>
      <c r="H1029" t="inlineStr">
        <is>
          <t>No</t>
        </is>
      </c>
      <c r="J1029" s="96" t="n">
        <v>46231</v>
      </c>
      <c r="K1029" s="96" t="n">
        <v>46231</v>
      </c>
      <c r="M1029" t="inlineStr">
        <is>
          <t>Consulting;Custom development</t>
        </is>
      </c>
      <c r="N1029" t="inlineStr">
        <is>
          <t>Portal</t>
        </is>
      </c>
      <c r="O1029" t="inlineStr">
        <is>
          <t>Yash More</t>
        </is>
      </c>
      <c r="Y1029" s="96" t="n">
        <v>46196</v>
      </c>
      <c r="Z1029" t="inlineStr">
        <is>
          <t>https://app.hubspot.com/contacts/243046792/record/0-3/331519708901</t>
        </is>
      </c>
    </row>
    <row r="1030">
      <c r="A1030" t="n">
        <v>1029</v>
      </c>
      <c r="B1030" t="inlineStr">
        <is>
          <t>337719148277</t>
        </is>
      </c>
      <c r="C1030" t="inlineStr">
        <is>
          <t>EGBA 2027000024</t>
        </is>
      </c>
      <c r="D1030" t="inlineStr">
        <is>
          <t>SLDS Analytics Schema Stress Testing, Reporting, and RStudio Support</t>
        </is>
      </c>
      <c r="E1030" t="inlineStr">
        <is>
          <t>State of Colorado, the Office of Information Technology (OIT)</t>
        </is>
      </c>
      <c r="F1030" t="inlineStr">
        <is>
          <t>Colorado</t>
        </is>
      </c>
      <c r="G1030" t="inlineStr">
        <is>
          <t>Submitted</t>
        </is>
      </c>
      <c r="H1030" t="inlineStr">
        <is>
          <t>No</t>
        </is>
      </c>
      <c r="J1030" s="96" t="n">
        <v>46231</v>
      </c>
      <c r="K1030" s="96" t="n">
        <v>46231</v>
      </c>
      <c r="M1030" t="inlineStr">
        <is>
          <t>Modernization / Migration</t>
        </is>
      </c>
      <c r="O1030" t="inlineStr">
        <is>
          <t>Ashutosh Chauhan</t>
        </is>
      </c>
      <c r="Y1030" s="96" t="n">
        <v>46226</v>
      </c>
      <c r="Z1030" t="inlineStr">
        <is>
          <t>https://app.hubspot.com/contacts/243046792/record/0-3/337719148277</t>
        </is>
      </c>
    </row>
    <row r="1031">
      <c r="A1031" t="n">
        <v>1030</v>
      </c>
      <c r="B1031" t="inlineStr">
        <is>
          <t>332478832353</t>
        </is>
      </c>
      <c r="C1031" t="inlineStr">
        <is>
          <t>RFP # 26-38</t>
        </is>
      </c>
      <c r="D1031" t="inlineStr">
        <is>
          <t xml:space="preserve">Offline - IT Service Management System Replacement </t>
        </is>
      </c>
      <c r="E1031" t="inlineStr">
        <is>
          <t>City of Ann Arbor</t>
        </is>
      </c>
      <c r="F1031" t="inlineStr">
        <is>
          <t>Michigan</t>
        </is>
      </c>
      <c r="G1031" t="inlineStr">
        <is>
          <t>Submitted</t>
        </is>
      </c>
      <c r="H1031" t="inlineStr">
        <is>
          <t>No</t>
        </is>
      </c>
      <c r="J1031" s="96" t="n">
        <v>46232</v>
      </c>
      <c r="K1031" s="96" t="n">
        <v>46231</v>
      </c>
      <c r="O1031" t="inlineStr">
        <is>
          <t>Yash More</t>
        </is>
      </c>
      <c r="Y1031" s="96" t="n">
        <v>46198</v>
      </c>
      <c r="Z1031" t="inlineStr">
        <is>
          <t>https://app.hubspot.com/contacts/243046792/record/0-3/332478832353</t>
        </is>
      </c>
    </row>
    <row r="1032">
      <c r="A1032" t="n">
        <v>1031</v>
      </c>
      <c r="B1032" t="inlineStr">
        <is>
          <t>331237204666</t>
        </is>
      </c>
      <c r="C1032" t="inlineStr">
        <is>
          <t>GNHTD RFP 05-2026</t>
        </is>
      </c>
      <c r="D1032" t="inlineStr">
        <is>
          <t>Professional IT Services</t>
        </is>
      </c>
      <c r="E1032" t="inlineStr">
        <is>
          <t>Greater New Haven Transit District</t>
        </is>
      </c>
      <c r="F1032" t="inlineStr">
        <is>
          <t>Connecticut</t>
        </is>
      </c>
      <c r="G1032" t="inlineStr">
        <is>
          <t>Submitted</t>
        </is>
      </c>
      <c r="H1032" t="inlineStr">
        <is>
          <t>No</t>
        </is>
      </c>
      <c r="J1032" s="96" t="n">
        <v>46231</v>
      </c>
      <c r="K1032" s="96" t="n">
        <v>46231</v>
      </c>
      <c r="M1032" t="inlineStr">
        <is>
          <t>Managed Services (MSP)</t>
        </is>
      </c>
      <c r="O1032" t="inlineStr">
        <is>
          <t>Yash More</t>
        </is>
      </c>
      <c r="Y1032" s="96" t="n">
        <v>46192</v>
      </c>
      <c r="Z1032" t="inlineStr">
        <is>
          <t>https://app.hubspot.com/contacts/243046792/record/0-3/331237204666</t>
        </is>
      </c>
    </row>
    <row r="1033">
      <c r="A1033" t="n">
        <v>1032</v>
      </c>
      <c r="B1033" t="inlineStr">
        <is>
          <t>337285353183</t>
        </is>
      </c>
      <c r="C1033" t="inlineStr">
        <is>
          <t>017-3069106</t>
        </is>
      </c>
      <c r="D1033" t="inlineStr">
        <is>
          <t>Digital Development Services</t>
        </is>
      </c>
      <c r="E1033" t="inlineStr">
        <is>
          <t>Orange County</t>
        </is>
      </c>
      <c r="F1033" t="inlineStr">
        <is>
          <t>California</t>
        </is>
      </c>
      <c r="G1033" t="inlineStr">
        <is>
          <t>Submitted</t>
        </is>
      </c>
      <c r="H1033" t="inlineStr">
        <is>
          <t>No</t>
        </is>
      </c>
      <c r="J1033" s="96" t="n">
        <v>46231</v>
      </c>
      <c r="K1033" s="96" t="n">
        <v>46231</v>
      </c>
      <c r="N1033" t="inlineStr">
        <is>
          <t>Portal</t>
        </is>
      </c>
      <c r="O1033" t="inlineStr">
        <is>
          <t>Ashutosh Chauhan</t>
        </is>
      </c>
      <c r="Y1033" s="96" t="n">
        <v>46224</v>
      </c>
      <c r="Z1033" t="inlineStr">
        <is>
          <t>https://app.hubspot.com/contacts/243046792/record/0-3/337285353183</t>
        </is>
      </c>
    </row>
    <row r="1034">
      <c r="A1034" t="n">
        <v>1033</v>
      </c>
      <c r="B1034" t="inlineStr">
        <is>
          <t>334478997203</t>
        </is>
      </c>
      <c r="C1034" t="inlineStr">
        <is>
          <t>U256.2026.S</t>
        </is>
      </c>
      <c r="D1034" t="inlineStr">
        <is>
          <t>UWide Agreement for Drupal Consultants</t>
        </is>
      </c>
      <c r="E1034" t="inlineStr">
        <is>
          <t>University of Minnesota</t>
        </is>
      </c>
      <c r="F1034" t="inlineStr">
        <is>
          <t>Minnesota</t>
        </is>
      </c>
      <c r="G1034" t="inlineStr">
        <is>
          <t>Submitted</t>
        </is>
      </c>
      <c r="H1034" t="inlineStr">
        <is>
          <t>No</t>
        </is>
      </c>
      <c r="J1034" s="96" t="n">
        <v>46232</v>
      </c>
      <c r="K1034" s="96" t="n">
        <v>46232</v>
      </c>
      <c r="M1034" t="inlineStr">
        <is>
          <t>Consulting</t>
        </is>
      </c>
      <c r="N1034" t="inlineStr">
        <is>
          <t>Portal</t>
        </is>
      </c>
      <c r="O1034" t="inlineStr">
        <is>
          <t>Ashutosh Chauhan</t>
        </is>
      </c>
      <c r="Y1034" s="96" t="n">
        <v>46213</v>
      </c>
      <c r="Z1034" t="inlineStr">
        <is>
          <t>https://app.hubspot.com/contacts/243046792/record/0-3/334478997203</t>
        </is>
      </c>
    </row>
    <row r="1035">
      <c r="A1035" t="n">
        <v>1034</v>
      </c>
      <c r="B1035" t="inlineStr">
        <is>
          <t>334070385343</t>
        </is>
      </c>
      <c r="C1035" t="inlineStr">
        <is>
          <t>26-02</t>
        </is>
      </c>
      <c r="D1035" t="inlineStr">
        <is>
          <t>CYBER EXTERNAL SCANNING VENDOR</t>
        </is>
      </c>
      <c r="E1035" t="inlineStr">
        <is>
          <t>New Jersey Cyber Risk Management Fund</t>
        </is>
      </c>
      <c r="F1035" t="inlineStr">
        <is>
          <t>New Jersey</t>
        </is>
      </c>
      <c r="G1035" t="inlineStr">
        <is>
          <t>RFx Cancelled</t>
        </is>
      </c>
      <c r="H1035" t="inlineStr">
        <is>
          <t>No</t>
        </is>
      </c>
      <c r="J1035" s="96" t="n">
        <v>46232</v>
      </c>
      <c r="K1035" s="96" t="n">
        <v>46232</v>
      </c>
      <c r="M1035" t="inlineStr">
        <is>
          <t>Support &amp; Maintenance</t>
        </is>
      </c>
      <c r="O1035" t="inlineStr">
        <is>
          <t>Yash More</t>
        </is>
      </c>
      <c r="Y1035" s="96" t="n">
        <v>46211</v>
      </c>
      <c r="Z1035" t="inlineStr">
        <is>
          <t>https://app.hubspot.com/contacts/243046792/record/0-3/334070385343</t>
        </is>
      </c>
    </row>
    <row r="1036">
      <c r="A1036" t="n">
        <v>1035</v>
      </c>
      <c r="B1036" t="inlineStr">
        <is>
          <t>335265545948</t>
        </is>
      </c>
      <c r="D1036" t="inlineStr">
        <is>
          <t xml:space="preserve">Learning Management System (LMS) Implementation and Organizational Change Management </t>
        </is>
      </c>
      <c r="E1036" t="inlineStr">
        <is>
          <t>National Association of Community Health Centers</t>
        </is>
      </c>
      <c r="F1036" t="inlineStr">
        <is>
          <t>District of Columbia</t>
        </is>
      </c>
      <c r="G1036" t="inlineStr">
        <is>
          <t>Closed Lost</t>
        </is>
      </c>
      <c r="H1036" t="inlineStr">
        <is>
          <t>No</t>
        </is>
      </c>
      <c r="J1036" s="96" t="n">
        <v>46251</v>
      </c>
      <c r="K1036" s="96" t="n">
        <v>46232</v>
      </c>
      <c r="O1036" t="inlineStr">
        <is>
          <t>Jyothsna Nanda kishore</t>
        </is>
      </c>
      <c r="Y1036" s="96" t="n">
        <v>46217</v>
      </c>
      <c r="Z1036" t="inlineStr">
        <is>
          <t>https://app.hubspot.com/contacts/243046792/record/0-3/335265545948</t>
        </is>
      </c>
    </row>
    <row r="1037">
      <c r="A1037" t="n">
        <v>1036</v>
      </c>
      <c r="B1037" t="inlineStr">
        <is>
          <t>337058238168</t>
        </is>
      </c>
      <c r="D1037" t="inlineStr">
        <is>
          <t>Judicial partner application (jpa) platform application development</t>
        </is>
      </c>
      <c r="E1037" t="inlineStr">
        <is>
          <t>Minnesota Judicial Branch</t>
        </is>
      </c>
      <c r="F1037" t="inlineStr">
        <is>
          <t>Minnesota</t>
        </is>
      </c>
      <c r="G1037" t="inlineStr">
        <is>
          <t>Submitted</t>
        </is>
      </c>
      <c r="H1037" t="inlineStr">
        <is>
          <t>No</t>
        </is>
      </c>
      <c r="J1037" s="96" t="n">
        <v>46232</v>
      </c>
      <c r="K1037" s="96" t="n">
        <v>46232</v>
      </c>
      <c r="M1037" t="inlineStr">
        <is>
          <t>Staff Augmentation</t>
        </is>
      </c>
      <c r="O1037" t="inlineStr">
        <is>
          <t>Yash More</t>
        </is>
      </c>
      <c r="Y1037" s="96" t="n">
        <v>46223</v>
      </c>
      <c r="Z1037" t="inlineStr">
        <is>
          <t>https://app.hubspot.com/contacts/243046792/record/0-3/337058238168</t>
        </is>
      </c>
    </row>
    <row r="1038">
      <c r="A1038" t="n">
        <v>1037</v>
      </c>
      <c r="B1038" t="inlineStr">
        <is>
          <t>335828062969</t>
        </is>
      </c>
      <c r="D1038" t="inlineStr">
        <is>
          <t>OFF - IT Managed Services</t>
        </is>
      </c>
      <c r="E1038" t="inlineStr">
        <is>
          <t>Borough of Middletown</t>
        </is>
      </c>
      <c r="F1038" t="inlineStr">
        <is>
          <t>Pennsylvania</t>
        </is>
      </c>
      <c r="G1038" t="inlineStr">
        <is>
          <t>Closed Lost</t>
        </is>
      </c>
      <c r="H1038" t="inlineStr">
        <is>
          <t>No</t>
        </is>
      </c>
      <c r="J1038" s="96" t="n">
        <v>46281</v>
      </c>
      <c r="K1038" s="96" t="n">
        <v>46232</v>
      </c>
      <c r="O1038" t="inlineStr">
        <is>
          <t>Ashutosh Chauhan</t>
        </is>
      </c>
      <c r="Y1038" s="96" t="n">
        <v>46218</v>
      </c>
      <c r="Z1038" t="inlineStr">
        <is>
          <t>https://app.hubspot.com/contacts/243046792/record/0-3/335828062969</t>
        </is>
      </c>
    </row>
    <row r="1039">
      <c r="A1039" t="n">
        <v>1038</v>
      </c>
      <c r="B1039" t="inlineStr">
        <is>
          <t>337550406345</t>
        </is>
      </c>
      <c r="D1039" t="inlineStr">
        <is>
          <t>Power Platform Enterprise Solutions Development</t>
        </is>
      </c>
      <c r="E1039" t="inlineStr">
        <is>
          <t>Minnesota Judicial Branch</t>
        </is>
      </c>
      <c r="F1039" t="inlineStr">
        <is>
          <t>Minnesota</t>
        </is>
      </c>
      <c r="G1039" t="inlineStr">
        <is>
          <t>Submitted</t>
        </is>
      </c>
      <c r="H1039" t="inlineStr">
        <is>
          <t>No</t>
        </is>
      </c>
      <c r="J1039" s="96" t="n">
        <v>46237</v>
      </c>
      <c r="K1039" s="96" t="n">
        <v>46237</v>
      </c>
      <c r="O1039" t="inlineStr">
        <is>
          <t>Yash More</t>
        </is>
      </c>
      <c r="Y1039" s="96" t="n">
        <v>46226</v>
      </c>
      <c r="Z1039" t="inlineStr">
        <is>
          <t>https://app.hubspot.com/contacts/243046792/record/0-3/337550406345</t>
        </is>
      </c>
    </row>
    <row r="1040">
      <c r="A1040" t="n">
        <v>1039</v>
      </c>
      <c r="B1040" t="inlineStr">
        <is>
          <t>328478558944</t>
        </is>
      </c>
      <c r="D1040" t="inlineStr">
        <is>
          <t xml:space="preserve">CUSTOMER RELATIONSHIP MANAGEMENT SYSTEM </t>
        </is>
      </c>
      <c r="E1040" t="inlineStr">
        <is>
          <t>Prosper Portland</t>
        </is>
      </c>
      <c r="F1040" t="inlineStr">
        <is>
          <t>Oregon</t>
        </is>
      </c>
      <c r="G1040" t="inlineStr">
        <is>
          <t>Interview</t>
        </is>
      </c>
      <c r="H1040" t="inlineStr">
        <is>
          <t>Yes</t>
        </is>
      </c>
      <c r="J1040" s="96" t="n">
        <v>46232</v>
      </c>
      <c r="K1040" s="96" t="n">
        <v>46232</v>
      </c>
      <c r="L1040" t="n">
        <v>569707.7</v>
      </c>
      <c r="O1040" t="inlineStr">
        <is>
          <t>Jyothsna Nanda kishore</t>
        </is>
      </c>
      <c r="Y1040" s="96" t="n">
        <v>46178</v>
      </c>
      <c r="Z1040" t="inlineStr">
        <is>
          <t>https://app.hubspot.com/contacts/243046792/record/0-3/328478558944</t>
        </is>
      </c>
    </row>
    <row r="1041">
      <c r="A1041" t="n">
        <v>1040</v>
      </c>
      <c r="B1041" t="inlineStr">
        <is>
          <t>339202726642</t>
        </is>
      </c>
      <c r="D1041" t="inlineStr">
        <is>
          <t>External Project Evaluator</t>
        </is>
      </c>
      <c r="E1041" t="inlineStr">
        <is>
          <t>Legal Services of Greater Miami, Inc.</t>
        </is>
      </c>
      <c r="F1041" t="inlineStr">
        <is>
          <t>Florida</t>
        </is>
      </c>
      <c r="G1041" t="inlineStr">
        <is>
          <t>Closed Lost</t>
        </is>
      </c>
      <c r="H1041" t="inlineStr">
        <is>
          <t>No</t>
        </is>
      </c>
      <c r="J1041" s="96" t="n">
        <v>46260</v>
      </c>
      <c r="K1041" s="96" t="n">
        <v>46233</v>
      </c>
      <c r="O1041" t="inlineStr">
        <is>
          <t>Hrithik Srivastava</t>
        </is>
      </c>
      <c r="Y1041" s="96" t="n">
        <v>46231</v>
      </c>
      <c r="Z1041" t="inlineStr">
        <is>
          <t>https://app.hubspot.com/contacts/243046792/record/0-3/339202726642</t>
        </is>
      </c>
    </row>
    <row r="1042">
      <c r="A1042" t="n">
        <v>1041</v>
      </c>
      <c r="B1042" t="inlineStr">
        <is>
          <t>334479737532</t>
        </is>
      </c>
      <c r="D1042" t="inlineStr">
        <is>
          <t>NETWORK SECURITY &amp; WAN ARCHITECTURE ASSESSMENT SERVICES</t>
        </is>
      </c>
      <c r="E1042" t="inlineStr">
        <is>
          <t>City of Arroyo Grande</t>
        </is>
      </c>
      <c r="F1042" t="inlineStr">
        <is>
          <t>California</t>
        </is>
      </c>
      <c r="G1042" t="inlineStr">
        <is>
          <t>RFx Cancelled</t>
        </is>
      </c>
      <c r="H1042" t="inlineStr">
        <is>
          <t>No</t>
        </is>
      </c>
      <c r="J1042" s="96" t="n">
        <v>46234</v>
      </c>
      <c r="K1042" s="96" t="n">
        <v>46233</v>
      </c>
      <c r="L1042" t="n">
        <v>53983.75</v>
      </c>
      <c r="M1042" t="inlineStr">
        <is>
          <t>Audits and Assessment</t>
        </is>
      </c>
      <c r="N1042" t="inlineStr">
        <is>
          <t>Email</t>
        </is>
      </c>
      <c r="O1042" t="inlineStr">
        <is>
          <t>Jyothsna Nanda kishore</t>
        </is>
      </c>
      <c r="Y1042" s="96" t="n">
        <v>46213</v>
      </c>
      <c r="Z1042" t="inlineStr">
        <is>
          <t>https://app.hubspot.com/contacts/243046792/record/0-3/334479737532</t>
        </is>
      </c>
    </row>
    <row r="1043">
      <c r="A1043" t="n">
        <v>1042</v>
      </c>
      <c r="B1043" t="inlineStr">
        <is>
          <t>336533519083</t>
        </is>
      </c>
      <c r="D1043" t="inlineStr">
        <is>
          <t>Quality Assurance and Accessibility Testing Support forApplication Development and WCAG Compliance</t>
        </is>
      </c>
      <c r="E1043" t="inlineStr">
        <is>
          <t>Minnesota Judicial Branch</t>
        </is>
      </c>
      <c r="F1043" t="inlineStr">
        <is>
          <t>Minnesota</t>
        </is>
      </c>
      <c r="G1043" t="inlineStr">
        <is>
          <t>Submitted</t>
        </is>
      </c>
      <c r="H1043" t="inlineStr">
        <is>
          <t>No</t>
        </is>
      </c>
      <c r="J1043" s="96" t="n">
        <v>46233</v>
      </c>
      <c r="K1043" s="96" t="n">
        <v>46233</v>
      </c>
      <c r="M1043" t="inlineStr">
        <is>
          <t>Staff Augmentation</t>
        </is>
      </c>
      <c r="O1043" t="inlineStr">
        <is>
          <t>Yash More</t>
        </is>
      </c>
      <c r="Y1043" s="96" t="n">
        <v>46223</v>
      </c>
      <c r="Z1043" t="inlineStr">
        <is>
          <t>https://app.hubspot.com/contacts/243046792/record/0-3/336533519083</t>
        </is>
      </c>
    </row>
    <row r="1044">
      <c r="A1044" t="n">
        <v>1043</v>
      </c>
      <c r="B1044" t="inlineStr">
        <is>
          <t>330059644611</t>
        </is>
      </c>
      <c r="D1044" t="inlineStr">
        <is>
          <t>IT Consultant Services</t>
        </is>
      </c>
      <c r="E1044" t="inlineStr">
        <is>
          <t>Long Beach City College</t>
        </is>
      </c>
      <c r="F1044" t="inlineStr">
        <is>
          <t>California</t>
        </is>
      </c>
      <c r="G1044" t="inlineStr">
        <is>
          <t>Submitted</t>
        </is>
      </c>
      <c r="H1044" t="inlineStr">
        <is>
          <t>No</t>
        </is>
      </c>
      <c r="J1044" s="96" t="n">
        <v>46239</v>
      </c>
      <c r="K1044" s="96" t="n">
        <v>46233</v>
      </c>
      <c r="M1044" t="inlineStr">
        <is>
          <t>Consulting</t>
        </is>
      </c>
      <c r="O1044" t="inlineStr">
        <is>
          <t>Jyothsna Nanda kishore</t>
        </is>
      </c>
      <c r="Y1044" s="96" t="n">
        <v>46189</v>
      </c>
      <c r="Z1044" t="inlineStr">
        <is>
          <t>https://app.hubspot.com/contacts/243046792/record/0-3/330059644611</t>
        </is>
      </c>
    </row>
    <row r="1045">
      <c r="A1045" t="n">
        <v>1044</v>
      </c>
      <c r="B1045" t="inlineStr">
        <is>
          <t>337552991947</t>
        </is>
      </c>
      <c r="D1045" t="inlineStr">
        <is>
          <t xml:space="preserve"> ServiceNow Virtual Agent Implementation</t>
        </is>
      </c>
      <c r="E1045" t="inlineStr">
        <is>
          <t>Minnesota Judicial Branch</t>
        </is>
      </c>
      <c r="F1045" t="inlineStr">
        <is>
          <t>Minnesota</t>
        </is>
      </c>
      <c r="G1045" t="inlineStr">
        <is>
          <t>Closed Won</t>
        </is>
      </c>
      <c r="H1045" t="inlineStr">
        <is>
          <t>Yes</t>
        </is>
      </c>
      <c r="J1045" s="96" t="n">
        <v>46265</v>
      </c>
      <c r="K1045" s="96" t="n">
        <v>46237</v>
      </c>
      <c r="L1045" t="n">
        <v>68000</v>
      </c>
      <c r="M1045" t="inlineStr">
        <is>
          <t>Staff Augmentation</t>
        </is>
      </c>
      <c r="O1045" t="inlineStr">
        <is>
          <t>Yash More</t>
        </is>
      </c>
      <c r="Q1045" s="96" t="n">
        <v>46251</v>
      </c>
      <c r="U1045" s="96" t="n">
        <v>46254</v>
      </c>
      <c r="Y1045" s="96" t="n">
        <v>46226</v>
      </c>
      <c r="Z1045" t="inlineStr">
        <is>
          <t>https://app.hubspot.com/contacts/243046792/record/0-3/337552991947</t>
        </is>
      </c>
    </row>
    <row r="1046">
      <c r="A1046" t="n">
        <v>1045</v>
      </c>
      <c r="B1046" t="inlineStr">
        <is>
          <t>330059607760</t>
        </is>
      </c>
      <c r="C1046" t="inlineStr">
        <is>
          <t>6000003320</t>
        </is>
      </c>
      <c r="D1046" t="inlineStr">
        <is>
          <t>Prequalification To Generate A Pool Of Qualified Vendors For Receipt of The Port Authority Of New York And New Jersey’s Information Technology Service Management Provider Solicitation</t>
        </is>
      </c>
      <c r="E1046" t="inlineStr">
        <is>
          <t>Port Authority of New York New Jersey</t>
        </is>
      </c>
      <c r="F1046" t="inlineStr">
        <is>
          <t>New York</t>
        </is>
      </c>
      <c r="G1046" t="inlineStr">
        <is>
          <t>Submitted</t>
        </is>
      </c>
      <c r="H1046" t="inlineStr">
        <is>
          <t>No</t>
        </is>
      </c>
      <c r="J1046" s="96" t="n">
        <v>46234</v>
      </c>
      <c r="K1046" s="96" t="n">
        <v>46234</v>
      </c>
      <c r="M1046" t="inlineStr">
        <is>
          <t>Consulting;Staff Augmentation</t>
        </is>
      </c>
      <c r="N1046" t="inlineStr">
        <is>
          <t>Portal</t>
        </is>
      </c>
      <c r="O1046" t="inlineStr">
        <is>
          <t>Yash More</t>
        </is>
      </c>
      <c r="Y1046" s="96" t="n">
        <v>46189</v>
      </c>
      <c r="Z1046" t="inlineStr">
        <is>
          <t>https://app.hubspot.com/contacts/243046792/record/0-3/330059607760</t>
        </is>
      </c>
    </row>
    <row r="1047">
      <c r="A1047" t="n">
        <v>1046</v>
      </c>
      <c r="B1047" t="inlineStr">
        <is>
          <t>337548198627</t>
        </is>
      </c>
      <c r="D1047" t="inlineStr">
        <is>
          <t>Managed Information Technology Services</t>
        </is>
      </c>
      <c r="E1047" t="inlineStr">
        <is>
          <t>City of Elysian</t>
        </is>
      </c>
      <c r="F1047" t="inlineStr">
        <is>
          <t>Minnesota</t>
        </is>
      </c>
      <c r="G1047" t="inlineStr">
        <is>
          <t>Submitted</t>
        </is>
      </c>
      <c r="H1047" t="inlineStr">
        <is>
          <t>No</t>
        </is>
      </c>
      <c r="J1047" s="96" t="n">
        <v>46240</v>
      </c>
      <c r="K1047" s="96" t="n">
        <v>46237</v>
      </c>
      <c r="M1047" t="inlineStr">
        <is>
          <t>Managed Services (MSP)</t>
        </is>
      </c>
      <c r="O1047" t="inlineStr">
        <is>
          <t>Yash More</t>
        </is>
      </c>
      <c r="Y1047" s="96" t="n">
        <v>46225</v>
      </c>
      <c r="Z1047" t="inlineStr">
        <is>
          <t>https://app.hubspot.com/contacts/243046792/record/0-3/337548198627</t>
        </is>
      </c>
    </row>
    <row r="1048">
      <c r="A1048" t="n">
        <v>1047</v>
      </c>
      <c r="B1048" t="inlineStr">
        <is>
          <t>334066089706</t>
        </is>
      </c>
      <c r="C1048" t="inlineStr">
        <is>
          <t>IT-2026</t>
        </is>
      </c>
      <c r="D1048" t="inlineStr">
        <is>
          <t>Multi-Factor Authentication (MFA) Implementation and .gov Domain Migration</t>
        </is>
      </c>
      <c r="E1048" t="inlineStr">
        <is>
          <t>City of Lathrup Village</t>
        </is>
      </c>
      <c r="F1048" t="inlineStr">
        <is>
          <t>Michigan</t>
        </is>
      </c>
      <c r="G1048" t="inlineStr">
        <is>
          <t>Submitted</t>
        </is>
      </c>
      <c r="H1048" t="inlineStr">
        <is>
          <t>No</t>
        </is>
      </c>
      <c r="J1048" s="96" t="n">
        <v>46238</v>
      </c>
      <c r="K1048" s="96" t="n">
        <v>46234</v>
      </c>
      <c r="M1048" t="inlineStr">
        <is>
          <t>Modernization / Migration</t>
        </is>
      </c>
      <c r="O1048" t="inlineStr">
        <is>
          <t>Yash More</t>
        </is>
      </c>
      <c r="Y1048" s="96" t="n">
        <v>46211</v>
      </c>
      <c r="Z1048" t="inlineStr">
        <is>
          <t>https://app.hubspot.com/contacts/243046792/record/0-3/334066089706</t>
        </is>
      </c>
    </row>
    <row r="1049">
      <c r="A1049" t="n">
        <v>1048</v>
      </c>
      <c r="B1049" t="inlineStr">
        <is>
          <t>337431128825</t>
        </is>
      </c>
      <c r="D1049" t="inlineStr">
        <is>
          <t>On-Call IT Product Support Professional Services</t>
        </is>
      </c>
      <c r="E1049" t="inlineStr">
        <is>
          <t>El Dorado Irrigation District</t>
        </is>
      </c>
      <c r="F1049" t="inlineStr">
        <is>
          <t>California</t>
        </is>
      </c>
      <c r="G1049" t="inlineStr">
        <is>
          <t>Closed Lost</t>
        </is>
      </c>
      <c r="H1049" t="inlineStr">
        <is>
          <t>No</t>
        </is>
      </c>
      <c r="J1049" s="96" t="n">
        <v>46300</v>
      </c>
      <c r="K1049" s="96" t="n">
        <v>46234</v>
      </c>
      <c r="O1049" t="inlineStr">
        <is>
          <t>Hrithik Srivastava</t>
        </is>
      </c>
      <c r="Y1049" s="96" t="n">
        <v>46225</v>
      </c>
      <c r="Z1049" t="inlineStr">
        <is>
          <t>https://app.hubspot.com/contacts/243046792/record/0-3/337431128825</t>
        </is>
      </c>
    </row>
    <row r="1050">
      <c r="A1050" t="n">
        <v>1049</v>
      </c>
      <c r="B1050" t="inlineStr">
        <is>
          <t>339240618702</t>
        </is>
      </c>
      <c r="C1050" t="inlineStr">
        <is>
          <t>TOH20260720</t>
        </is>
      </c>
      <c r="D1050" t="inlineStr">
        <is>
          <t>Microsoft 365 Licenses</t>
        </is>
      </c>
      <c r="E1050" t="inlineStr">
        <is>
          <t>Town of Henrietta</t>
        </is>
      </c>
      <c r="F1050" t="inlineStr">
        <is>
          <t>New York</t>
        </is>
      </c>
      <c r="G1050" t="inlineStr">
        <is>
          <t>Submitted</t>
        </is>
      </c>
      <c r="H1050" t="inlineStr">
        <is>
          <t>No</t>
        </is>
      </c>
      <c r="J1050" s="96" t="n">
        <v>46238</v>
      </c>
      <c r="K1050" s="96" t="n">
        <v>46234</v>
      </c>
      <c r="L1050" t="n">
        <v>26425.52</v>
      </c>
      <c r="M1050" t="inlineStr">
        <is>
          <t>Support &amp; Maintenance;Reseller</t>
        </is>
      </c>
      <c r="N1050" t="inlineStr">
        <is>
          <t>Email</t>
        </is>
      </c>
      <c r="O1050" t="inlineStr">
        <is>
          <t>Ashutosh Chauhan</t>
        </is>
      </c>
      <c r="Y1050" s="96" t="n">
        <v>46231</v>
      </c>
      <c r="Z1050" t="inlineStr">
        <is>
          <t>https://app.hubspot.com/contacts/243046792/record/0-3/339240618702</t>
        </is>
      </c>
    </row>
    <row r="1051">
      <c r="A1051" t="n">
        <v>1050</v>
      </c>
      <c r="B1051" t="inlineStr">
        <is>
          <t>339239899835</t>
        </is>
      </c>
      <c r="D1051" t="inlineStr">
        <is>
          <t>Microsoft Office 365 with Teams (Re-bid)</t>
        </is>
      </c>
      <c r="E1051" t="inlineStr">
        <is>
          <t>City of Morristown</t>
        </is>
      </c>
      <c r="F1051" t="inlineStr">
        <is>
          <t>Tennessee</t>
        </is>
      </c>
      <c r="G1051" t="inlineStr">
        <is>
          <t>Closed Lost</t>
        </is>
      </c>
      <c r="H1051" t="inlineStr">
        <is>
          <t>No</t>
        </is>
      </c>
      <c r="J1051" s="96" t="n">
        <v>46253</v>
      </c>
      <c r="K1051" s="96" t="n">
        <v>46234</v>
      </c>
      <c r="L1051" t="n">
        <v>135464.46</v>
      </c>
      <c r="M1051" t="inlineStr">
        <is>
          <t>Reseller</t>
        </is>
      </c>
      <c r="N1051" t="inlineStr">
        <is>
          <t>Offline</t>
        </is>
      </c>
      <c r="O1051" t="inlineStr">
        <is>
          <t>Ashutosh Chauhan</t>
        </is>
      </c>
      <c r="Y1051" s="96" t="n">
        <v>46231</v>
      </c>
      <c r="Z1051" t="inlineStr">
        <is>
          <t>https://app.hubspot.com/contacts/243046792/record/0-3/339239899835</t>
        </is>
      </c>
    </row>
    <row r="1052">
      <c r="A1052" t="n">
        <v>1051</v>
      </c>
      <c r="B1052" t="inlineStr">
        <is>
          <t>331956699891</t>
        </is>
      </c>
      <c r="D1052" t="inlineStr">
        <is>
          <t>Help Desk and IT Services</t>
        </is>
      </c>
      <c r="E1052" t="inlineStr">
        <is>
          <t xml:space="preserve">Zone 7 Water Agency </t>
        </is>
      </c>
      <c r="F1052" t="inlineStr">
        <is>
          <t>California</t>
        </is>
      </c>
      <c r="G1052" t="inlineStr">
        <is>
          <t>Closed Lost</t>
        </is>
      </c>
      <c r="H1052" t="inlineStr">
        <is>
          <t>No</t>
        </is>
      </c>
      <c r="J1052" s="96" t="n">
        <v>46287</v>
      </c>
      <c r="K1052" s="96" t="n">
        <v>46247</v>
      </c>
      <c r="M1052" t="inlineStr">
        <is>
          <t>Managed Services (MSP)</t>
        </is>
      </c>
      <c r="O1052" t="inlineStr">
        <is>
          <t>Jyothsna Nanda kishore</t>
        </is>
      </c>
      <c r="Y1052" s="96" t="n">
        <v>46196</v>
      </c>
      <c r="Z1052" t="inlineStr">
        <is>
          <t>https://app.hubspot.com/contacts/243046792/record/0-3/331956699891</t>
        </is>
      </c>
    </row>
    <row r="1053">
      <c r="A1053" t="n">
        <v>1052</v>
      </c>
      <c r="B1053" t="inlineStr">
        <is>
          <t>339240004327</t>
        </is>
      </c>
      <c r="C1053" t="inlineStr">
        <is>
          <t>IWQ 134042</t>
        </is>
      </c>
      <c r="D1053" t="inlineStr">
        <is>
          <t>Provision of ManageEngine OpManager</t>
        </is>
      </c>
      <c r="E1053" t="inlineStr">
        <is>
          <t>Gwinnett County</t>
        </is>
      </c>
      <c r="F1053" t="inlineStr">
        <is>
          <t>Georgia</t>
        </is>
      </c>
      <c r="G1053" t="inlineStr">
        <is>
          <t>Submitted</t>
        </is>
      </c>
      <c r="H1053" t="inlineStr">
        <is>
          <t>No</t>
        </is>
      </c>
      <c r="J1053" s="96" t="n">
        <v>46237</v>
      </c>
      <c r="K1053" s="96" t="n">
        <v>46234</v>
      </c>
      <c r="L1053" t="n">
        <v>31372.88</v>
      </c>
      <c r="M1053" t="inlineStr">
        <is>
          <t>Reseller</t>
        </is>
      </c>
      <c r="N1053" t="inlineStr">
        <is>
          <t>Email</t>
        </is>
      </c>
      <c r="O1053" t="inlineStr">
        <is>
          <t>Ashutosh Chauhan</t>
        </is>
      </c>
      <c r="Y1053" s="96" t="n">
        <v>46232</v>
      </c>
      <c r="Z1053" t="inlineStr">
        <is>
          <t>https://app.hubspot.com/contacts/243046792/record/0-3/339240004327</t>
        </is>
      </c>
    </row>
    <row r="1054">
      <c r="A1054" t="n">
        <v>1053</v>
      </c>
      <c r="B1054" t="inlineStr">
        <is>
          <t>337306964701</t>
        </is>
      </c>
      <c r="C1054" t="inlineStr">
        <is>
          <t>RFI 26-071</t>
        </is>
      </c>
      <c r="D1054" t="inlineStr">
        <is>
          <t>Oracle Redwood Migration Consulting Services</t>
        </is>
      </c>
      <c r="E1054" t="inlineStr">
        <is>
          <t>City of Fort Myers</t>
        </is>
      </c>
      <c r="F1054" t="inlineStr">
        <is>
          <t>Florida</t>
        </is>
      </c>
      <c r="G1054" t="inlineStr">
        <is>
          <t>Submitted</t>
        </is>
      </c>
      <c r="H1054" t="inlineStr">
        <is>
          <t>No</t>
        </is>
      </c>
      <c r="J1054" s="96" t="n">
        <v>46237</v>
      </c>
      <c r="K1054" s="96" t="n">
        <v>46234</v>
      </c>
      <c r="M1054" t="inlineStr">
        <is>
          <t>Consulting</t>
        </is>
      </c>
      <c r="N1054" t="inlineStr">
        <is>
          <t>Portal</t>
        </is>
      </c>
      <c r="O1054" t="inlineStr">
        <is>
          <t>Ashutosh Chauhan</t>
        </is>
      </c>
      <c r="Y1054" s="96" t="n">
        <v>46224</v>
      </c>
      <c r="Z1054" t="inlineStr">
        <is>
          <t>https://app.hubspot.com/contacts/243046792/record/0-3/337306964701</t>
        </is>
      </c>
    </row>
    <row r="1055">
      <c r="A1055" t="n">
        <v>1054</v>
      </c>
      <c r="B1055" t="inlineStr">
        <is>
          <t>328479279824</t>
        </is>
      </c>
      <c r="D1055" t="inlineStr">
        <is>
          <t xml:space="preserve">Managed Cybersecurity Detection, Response, and Monitoring Services </t>
        </is>
      </c>
      <c r="E1055" t="inlineStr">
        <is>
          <t xml:space="preserve">VILLAGE OF WESTCHESTER </t>
        </is>
      </c>
      <c r="F1055" t="inlineStr">
        <is>
          <t>Illinois</t>
        </is>
      </c>
      <c r="G1055" t="inlineStr">
        <is>
          <t>Submitted</t>
        </is>
      </c>
      <c r="H1055" t="inlineStr">
        <is>
          <t>No</t>
        </is>
      </c>
      <c r="J1055" s="96" t="n">
        <v>46234</v>
      </c>
      <c r="K1055" s="96" t="n">
        <v>46234</v>
      </c>
      <c r="O1055" t="inlineStr">
        <is>
          <t>Jyothsna Nanda kishore</t>
        </is>
      </c>
      <c r="Y1055" s="96" t="n">
        <v>46178</v>
      </c>
      <c r="Z1055" t="inlineStr">
        <is>
          <t>https://app.hubspot.com/contacts/243046792/record/0-3/328479279824</t>
        </is>
      </c>
    </row>
    <row r="1056">
      <c r="A1056" t="n">
        <v>1055</v>
      </c>
      <c r="B1056" t="inlineStr">
        <is>
          <t>332609134323</t>
        </is>
      </c>
      <c r="D1056" t="inlineStr">
        <is>
          <t>GIS and GIS-Centric Platform Support Services</t>
        </is>
      </c>
      <c r="E1056" t="inlineStr">
        <is>
          <t>Spotsylvania County Public Schools</t>
        </is>
      </c>
      <c r="F1056" t="inlineStr">
        <is>
          <t>Virginia</t>
        </is>
      </c>
      <c r="G1056" t="inlineStr">
        <is>
          <t>Submitted</t>
        </is>
      </c>
      <c r="H1056" t="inlineStr">
        <is>
          <t>No</t>
        </is>
      </c>
      <c r="J1056" s="96" t="n">
        <v>46234</v>
      </c>
      <c r="K1056" s="96" t="n">
        <v>46234</v>
      </c>
      <c r="M1056" t="inlineStr">
        <is>
          <t>Consulting;Staff Augmentation</t>
        </is>
      </c>
      <c r="O1056" t="inlineStr">
        <is>
          <t>Ashutosh Chauhan</t>
        </is>
      </c>
      <c r="Y1056" s="96" t="n">
        <v>46198</v>
      </c>
      <c r="Z1056" t="inlineStr">
        <is>
          <t>https://app.hubspot.com/contacts/243046792/record/0-3/332609134323</t>
        </is>
      </c>
    </row>
    <row r="1057">
      <c r="A1057" t="n">
        <v>1056</v>
      </c>
      <c r="B1057" t="inlineStr">
        <is>
          <t>337306245862</t>
        </is>
      </c>
      <c r="D1057" t="inlineStr">
        <is>
          <t>CO-MANAGED INFORMATION TECHNOLOGY (IT) CONSULTING SERVICES</t>
        </is>
      </c>
      <c r="E1057" t="inlineStr">
        <is>
          <t>County of Glenn</t>
        </is>
      </c>
      <c r="F1057" t="inlineStr">
        <is>
          <t>California</t>
        </is>
      </c>
      <c r="G1057" t="inlineStr">
        <is>
          <t>Submitted</t>
        </is>
      </c>
      <c r="H1057" t="inlineStr">
        <is>
          <t>No</t>
        </is>
      </c>
      <c r="J1057" s="96" t="n">
        <v>46234</v>
      </c>
      <c r="K1057" s="96" t="n">
        <v>46234</v>
      </c>
      <c r="O1057" t="inlineStr">
        <is>
          <t>Ashutosh Chauhan</t>
        </is>
      </c>
      <c r="Y1057" s="96" t="n">
        <v>46224</v>
      </c>
      <c r="Z1057" t="inlineStr">
        <is>
          <t>https://app.hubspot.com/contacts/243046792/record/0-3/337306245862</t>
        </is>
      </c>
    </row>
    <row r="1058">
      <c r="A1058" t="n">
        <v>1057</v>
      </c>
      <c r="B1058" t="inlineStr">
        <is>
          <t>333774813913</t>
        </is>
      </c>
      <c r="D1058" t="inlineStr">
        <is>
          <t xml:space="preserve">Managed IT &amp; Cybersecurity Services </t>
        </is>
      </c>
      <c r="E1058" t="inlineStr">
        <is>
          <t xml:space="preserve">Holly Springs Chamber of Commerce </t>
        </is>
      </c>
      <c r="F1058" t="inlineStr">
        <is>
          <t>North Carolina</t>
        </is>
      </c>
      <c r="G1058" t="inlineStr">
        <is>
          <t>Closed Lost</t>
        </is>
      </c>
      <c r="H1058" t="inlineStr">
        <is>
          <t>No</t>
        </is>
      </c>
      <c r="J1058" s="96" t="n">
        <v>46300</v>
      </c>
      <c r="K1058" s="96" t="n">
        <v>46234</v>
      </c>
      <c r="O1058" t="inlineStr">
        <is>
          <t>Jyothsna Nanda kishore</t>
        </is>
      </c>
      <c r="Y1058" s="96" t="n">
        <v>46204</v>
      </c>
      <c r="Z1058" t="inlineStr">
        <is>
          <t>https://app.hubspot.com/contacts/243046792/record/0-3/333774813913</t>
        </is>
      </c>
    </row>
    <row r="1059">
      <c r="A1059" t="n">
        <v>1058</v>
      </c>
      <c r="B1059" t="inlineStr">
        <is>
          <t>335797829312</t>
        </is>
      </c>
      <c r="D1059" t="inlineStr">
        <is>
          <t>New Contingency Staffing Request - Epic Credentialed Trainer and Super User Lead</t>
        </is>
      </c>
      <c r="E1059" t="inlineStr">
        <is>
          <t>County of San Mateo</t>
        </is>
      </c>
      <c r="F1059" t="inlineStr">
        <is>
          <t>California</t>
        </is>
      </c>
      <c r="G1059" t="inlineStr">
        <is>
          <t>Closed Lost</t>
        </is>
      </c>
      <c r="H1059" t="inlineStr">
        <is>
          <t>No</t>
        </is>
      </c>
      <c r="J1059" s="96" t="n">
        <v>46238</v>
      </c>
      <c r="K1059" s="96" t="n">
        <v>46237</v>
      </c>
      <c r="M1059" t="inlineStr">
        <is>
          <t>Staff Augmentation</t>
        </is>
      </c>
      <c r="N1059" t="inlineStr">
        <is>
          <t>Portal</t>
        </is>
      </c>
      <c r="O1059" t="inlineStr">
        <is>
          <t>Ashutosh Chauhan</t>
        </is>
      </c>
      <c r="Y1059" s="96" t="n">
        <v>46218</v>
      </c>
      <c r="Z1059" t="inlineStr">
        <is>
          <t>https://app.hubspot.com/contacts/243046792/record/0-3/335797829312</t>
        </is>
      </c>
    </row>
    <row r="1060">
      <c r="A1060" t="n">
        <v>1059</v>
      </c>
      <c r="B1060" t="inlineStr">
        <is>
          <t>333490073298</t>
        </is>
      </c>
      <c r="D1060" t="inlineStr">
        <is>
          <t xml:space="preserve">ENDPOINT DETECTION AND RESPONSE (EDR) &amp; MANAGED DETECTION AND RESPONSE (MDR) SERVICES </t>
        </is>
      </c>
      <c r="E1060" t="inlineStr">
        <is>
          <t>St. Louis Public Library</t>
        </is>
      </c>
      <c r="F1060" t="inlineStr">
        <is>
          <t>Missouri</t>
        </is>
      </c>
      <c r="G1060" t="inlineStr">
        <is>
          <t>Closed Lost</t>
        </is>
      </c>
      <c r="H1060" t="inlineStr">
        <is>
          <t>No</t>
        </is>
      </c>
      <c r="J1060" s="96" t="n">
        <v>46233</v>
      </c>
      <c r="K1060" s="96" t="n">
        <v>46218</v>
      </c>
      <c r="N1060" t="inlineStr">
        <is>
          <t>Email</t>
        </is>
      </c>
      <c r="O1060" t="inlineStr">
        <is>
          <t>Jyothsna Nanda kishore</t>
        </is>
      </c>
      <c r="Y1060" s="96" t="n">
        <v>46203</v>
      </c>
      <c r="Z1060" t="inlineStr">
        <is>
          <t>https://app.hubspot.com/contacts/243046792/record/0-3/333490073298</t>
        </is>
      </c>
    </row>
    <row r="1061">
      <c r="A1061" t="n">
        <v>1060</v>
      </c>
      <c r="B1061" t="inlineStr">
        <is>
          <t>332604131008</t>
        </is>
      </c>
      <c r="D1061" t="inlineStr">
        <is>
          <t>Cybersecurity Analyst</t>
        </is>
      </c>
      <c r="E1061" t="inlineStr">
        <is>
          <t xml:space="preserve">City of Savannah </t>
        </is>
      </c>
      <c r="F1061" t="inlineStr">
        <is>
          <t>Georgia</t>
        </is>
      </c>
      <c r="G1061" t="inlineStr">
        <is>
          <t>RFx Cancelled</t>
        </is>
      </c>
      <c r="H1061" t="inlineStr">
        <is>
          <t>No</t>
        </is>
      </c>
      <c r="J1061" s="96" t="n">
        <v>46232</v>
      </c>
      <c r="O1061" t="inlineStr">
        <is>
          <t>Ashutosh Chauhan</t>
        </is>
      </c>
      <c r="Y1061" s="96" t="n">
        <v>46199</v>
      </c>
      <c r="Z1061" t="inlineStr">
        <is>
          <t>https://app.hubspot.com/contacts/243046792/record/0-3/332604131008</t>
        </is>
      </c>
    </row>
    <row r="1062">
      <c r="A1062" t="n">
        <v>1061</v>
      </c>
      <c r="B1062" t="inlineStr">
        <is>
          <t>324841724644</t>
        </is>
      </c>
      <c r="D1062" t="inlineStr">
        <is>
          <t>Managed Security Operations Center (MSOC) Service Provider</t>
        </is>
      </c>
      <c r="E1062" t="inlineStr">
        <is>
          <t>Los Angeles County Metropolitan Transportation Authority (LACMTA)</t>
        </is>
      </c>
      <c r="F1062" t="inlineStr">
        <is>
          <t>California</t>
        </is>
      </c>
      <c r="G1062" t="inlineStr">
        <is>
          <t>Submitted</t>
        </is>
      </c>
      <c r="H1062" t="inlineStr">
        <is>
          <t>No</t>
        </is>
      </c>
      <c r="J1062" s="96" t="n">
        <v>46225</v>
      </c>
      <c r="K1062" s="96" t="n">
        <v>46225</v>
      </c>
      <c r="M1062" t="inlineStr">
        <is>
          <t>Support &amp; Maintenance</t>
        </is>
      </c>
      <c r="O1062" t="inlineStr">
        <is>
          <t>Abhishek Zalani</t>
        </is>
      </c>
      <c r="Y1062" s="96" t="n">
        <v>46155</v>
      </c>
      <c r="Z1062" t="inlineStr">
        <is>
          <t>https://app.hubspot.com/contacts/243046792/record/0-3/324841724644</t>
        </is>
      </c>
    </row>
    <row r="1063">
      <c r="A1063" t="n">
        <v>1062</v>
      </c>
      <c r="B1063" t="inlineStr">
        <is>
          <t>328479600344</t>
        </is>
      </c>
      <c r="C1063" t="inlineStr">
        <is>
          <t>RCW 39.04.270</t>
        </is>
      </c>
      <c r="D1063" t="inlineStr">
        <is>
          <t xml:space="preserve">Enterprise Asset Management Software </t>
        </is>
      </c>
      <c r="E1063" t="inlineStr">
        <is>
          <t>City of Mountlake Terrace</t>
        </is>
      </c>
      <c r="F1063" t="inlineStr">
        <is>
          <t>Washington</t>
        </is>
      </c>
      <c r="G1063" t="inlineStr">
        <is>
          <t>Submitted</t>
        </is>
      </c>
      <c r="H1063" t="inlineStr">
        <is>
          <t>No</t>
        </is>
      </c>
      <c r="J1063" s="96" t="n">
        <v>46217</v>
      </c>
      <c r="K1063" s="96" t="n">
        <v>46217</v>
      </c>
      <c r="L1063" t="n">
        <v>70640</v>
      </c>
      <c r="M1063" t="inlineStr">
        <is>
          <t>Platform Implementation (ERP, CRMs);Reseller</t>
        </is>
      </c>
      <c r="N1063" t="inlineStr">
        <is>
          <t>Email</t>
        </is>
      </c>
      <c r="O1063" t="inlineStr">
        <is>
          <t>Savya Atrey</t>
        </is>
      </c>
      <c r="Y1063" s="96" t="n">
        <v>46182</v>
      </c>
      <c r="Z1063" t="inlineStr">
        <is>
          <t>https://app.hubspot.com/contacts/243046792/record/0-3/328479600344</t>
        </is>
      </c>
    </row>
    <row r="1064">
      <c r="A1064" t="n">
        <v>1063</v>
      </c>
      <c r="B1064" t="inlineStr">
        <is>
          <t>329109818051</t>
        </is>
      </c>
      <c r="C1064" t="inlineStr">
        <is>
          <t>WS5738356049</t>
        </is>
      </c>
      <c r="D1064" t="inlineStr">
        <is>
          <t>IT and OT Digital Forensics and Incident Response Retainer Services</t>
        </is>
      </c>
      <c r="E1064" t="inlineStr">
        <is>
          <t>Amtrak</t>
        </is>
      </c>
      <c r="F1064" t="inlineStr">
        <is>
          <t>District of Columbia</t>
        </is>
      </c>
      <c r="G1064" t="inlineStr">
        <is>
          <t>Submitted</t>
        </is>
      </c>
      <c r="H1064" t="inlineStr">
        <is>
          <t>No</t>
        </is>
      </c>
      <c r="J1064" s="96" t="n">
        <v>46220</v>
      </c>
      <c r="K1064" s="96" t="n">
        <v>46219</v>
      </c>
      <c r="O1064" t="inlineStr">
        <is>
          <t>Yash More</t>
        </is>
      </c>
      <c r="Y1064" s="96" t="n">
        <v>46185</v>
      </c>
      <c r="Z1064" t="inlineStr">
        <is>
          <t>https://app.hubspot.com/contacts/243046792/record/0-3/329109818051</t>
        </is>
      </c>
    </row>
    <row r="1065">
      <c r="A1065" t="n">
        <v>1064</v>
      </c>
      <c r="B1065" t="inlineStr">
        <is>
          <t>329158379207</t>
        </is>
      </c>
      <c r="C1065" t="inlineStr">
        <is>
          <t>RFQ 2026-018</t>
        </is>
      </c>
      <c r="D1065" t="inlineStr">
        <is>
          <t>Microsoft 365 Enterprise Customization Providers for Project Management System Development</t>
        </is>
      </c>
      <c r="E1065" t="inlineStr">
        <is>
          <t xml:space="preserve">Bay Area Air Quality Management District </t>
        </is>
      </c>
      <c r="F1065" t="inlineStr">
        <is>
          <t>California</t>
        </is>
      </c>
      <c r="G1065" t="inlineStr">
        <is>
          <t>Submitted</t>
        </is>
      </c>
      <c r="H1065" t="inlineStr">
        <is>
          <t>No</t>
        </is>
      </c>
      <c r="J1065" s="96" t="n">
        <v>46211</v>
      </c>
      <c r="K1065" s="96" t="n">
        <v>46211</v>
      </c>
      <c r="M1065" t="inlineStr">
        <is>
          <t>Consulting;Support &amp; Maintenance</t>
        </is>
      </c>
      <c r="N1065" t="inlineStr">
        <is>
          <t>Portal</t>
        </is>
      </c>
      <c r="O1065" t="inlineStr">
        <is>
          <t>Yash More</t>
        </is>
      </c>
      <c r="Y1065" s="96" t="n">
        <v>46183</v>
      </c>
      <c r="Z1065" t="inlineStr">
        <is>
          <t>https://app.hubspot.com/contacts/243046792/record/0-3/329158379207</t>
        </is>
      </c>
    </row>
    <row r="1066">
      <c r="A1066" t="n">
        <v>1065</v>
      </c>
      <c r="B1066" t="inlineStr">
        <is>
          <t>329983386341</t>
        </is>
      </c>
      <c r="C1066" t="inlineStr">
        <is>
          <t>260218</t>
        </is>
      </c>
      <c r="D1066" t="inlineStr">
        <is>
          <t>AUTOMATED SUPPORT AGENTS (AI CHATBOTS) AND RELATED SOLUTIONS &amp; SERVICES</t>
        </is>
      </c>
      <c r="E1066" t="inlineStr">
        <is>
          <t>CITY OF TUCSON</t>
        </is>
      </c>
      <c r="F1066" t="inlineStr">
        <is>
          <t>Arizona</t>
        </is>
      </c>
      <c r="G1066" t="inlineStr">
        <is>
          <t>Submitted</t>
        </is>
      </c>
      <c r="H1066" t="inlineStr">
        <is>
          <t>No</t>
        </is>
      </c>
      <c r="J1066" s="96" t="n">
        <v>46226</v>
      </c>
      <c r="K1066" s="96" t="n">
        <v>46226</v>
      </c>
      <c r="L1066" t="n">
        <v>646750</v>
      </c>
      <c r="M1066" t="inlineStr">
        <is>
          <t>Consulting;Custom development</t>
        </is>
      </c>
      <c r="N1066" t="inlineStr">
        <is>
          <t>Portal</t>
        </is>
      </c>
      <c r="O1066" t="inlineStr">
        <is>
          <t>Jyothsna Nanda kishore</t>
        </is>
      </c>
      <c r="Y1066" s="96" t="n">
        <v>46188</v>
      </c>
      <c r="Z1066" t="inlineStr">
        <is>
          <t>https://app.hubspot.com/contacts/243046792/record/0-3/329983386341</t>
        </is>
      </c>
    </row>
    <row r="1067">
      <c r="A1067" t="n">
        <v>1066</v>
      </c>
      <c r="B1067" t="inlineStr">
        <is>
          <t>332612049652</t>
        </is>
      </c>
      <c r="C1067" t="inlineStr">
        <is>
          <t>SDSU06252026</t>
        </is>
      </c>
      <c r="D1067" t="inlineStr">
        <is>
          <t xml:space="preserve">SDSU Large Language Model (LLM) Search Optimization </t>
        </is>
      </c>
      <c r="E1067" t="inlineStr">
        <is>
          <t>South Dakota State University</t>
        </is>
      </c>
      <c r="F1067" t="inlineStr">
        <is>
          <t>South Dakota</t>
        </is>
      </c>
      <c r="G1067" t="inlineStr">
        <is>
          <t>Interview</t>
        </is>
      </c>
      <c r="H1067" t="inlineStr">
        <is>
          <t>Yes</t>
        </is>
      </c>
      <c r="J1067" s="96" t="n">
        <v>46225</v>
      </c>
      <c r="K1067" s="96" t="n">
        <v>46225</v>
      </c>
      <c r="L1067" t="n">
        <v>71080</v>
      </c>
      <c r="M1067" t="inlineStr">
        <is>
          <t>Consulting;Custom development</t>
        </is>
      </c>
      <c r="N1067" t="inlineStr">
        <is>
          <t>Email</t>
        </is>
      </c>
      <c r="O1067" t="inlineStr">
        <is>
          <t>Yash More</t>
        </is>
      </c>
      <c r="Q1067" s="96" t="n">
        <v>46267</v>
      </c>
      <c r="Y1067" s="96" t="n">
        <v>46199</v>
      </c>
      <c r="Z1067" t="inlineStr">
        <is>
          <t>https://app.hubspot.com/contacts/243046792/record/0-3/332612049652</t>
        </is>
      </c>
    </row>
    <row r="1068">
      <c r="A1068" t="n">
        <v>1067</v>
      </c>
      <c r="B1068" t="inlineStr">
        <is>
          <t>333510936262</t>
        </is>
      </c>
      <c r="C1068" t="inlineStr">
        <is>
          <t>RFP-16165</t>
        </is>
      </c>
      <c r="D1068" t="inlineStr">
        <is>
          <t>Fiber Systems IBM Netcool S/W for Wholesale Monitoring - Renewal</t>
        </is>
      </c>
      <c r="E1068" t="inlineStr">
        <is>
          <t>Electric Power Board of Chattanooga</t>
        </is>
      </c>
      <c r="F1068" t="inlineStr">
        <is>
          <t>Tennessee</t>
        </is>
      </c>
      <c r="G1068" t="inlineStr">
        <is>
          <t>Submitted</t>
        </is>
      </c>
      <c r="H1068" t="inlineStr">
        <is>
          <t>No</t>
        </is>
      </c>
      <c r="J1068" s="96" t="n">
        <v>46240</v>
      </c>
      <c r="K1068" s="96" t="n">
        <v>46220</v>
      </c>
      <c r="L1068" t="n">
        <v>107500</v>
      </c>
      <c r="M1068" t="inlineStr">
        <is>
          <t>Reseller</t>
        </is>
      </c>
      <c r="N1068" t="inlineStr">
        <is>
          <t>Email</t>
        </is>
      </c>
      <c r="O1068" t="inlineStr">
        <is>
          <t>Yash More</t>
        </is>
      </c>
      <c r="Y1068" s="96" t="n">
        <v>46203</v>
      </c>
      <c r="Z1068" t="inlineStr">
        <is>
          <t>https://app.hubspot.com/contacts/243046792/record/0-3/333510936262</t>
        </is>
      </c>
    </row>
    <row r="1069">
      <c r="A1069" t="n">
        <v>1068</v>
      </c>
      <c r="B1069" t="inlineStr">
        <is>
          <t>335179397880</t>
        </is>
      </c>
      <c r="C1069" t="inlineStr">
        <is>
          <t>CRFQ 0705 LOT2700000001</t>
        </is>
      </c>
      <c r="D1069" t="inlineStr">
        <is>
          <t>Lottery Network Equipment - Cisco Wireless Access Points</t>
        </is>
      </c>
      <c r="E1069" t="inlineStr">
        <is>
          <t>State of West Virginia</t>
        </is>
      </c>
      <c r="F1069" t="inlineStr">
        <is>
          <t>West Virginia</t>
        </is>
      </c>
      <c r="G1069" t="inlineStr">
        <is>
          <t>Submitted</t>
        </is>
      </c>
      <c r="H1069" t="inlineStr">
        <is>
          <t>No</t>
        </is>
      </c>
      <c r="J1069" s="96" t="n">
        <v>46226</v>
      </c>
      <c r="K1069" s="96" t="n">
        <v>46226</v>
      </c>
      <c r="L1069" t="n">
        <v>134997</v>
      </c>
      <c r="M1069" t="inlineStr">
        <is>
          <t>Reseller</t>
        </is>
      </c>
      <c r="N1069" t="inlineStr">
        <is>
          <t>Portal</t>
        </is>
      </c>
      <c r="O1069" t="inlineStr">
        <is>
          <t>Yash More</t>
        </is>
      </c>
      <c r="Y1069" s="96" t="n">
        <v>46217</v>
      </c>
      <c r="Z1069" t="inlineStr">
        <is>
          <t>https://app.hubspot.com/contacts/243046792/record/0-3/335179397880</t>
        </is>
      </c>
    </row>
    <row r="1070">
      <c r="A1070" t="n">
        <v>1069</v>
      </c>
      <c r="B1070" t="inlineStr">
        <is>
          <t>335866555126</t>
        </is>
      </c>
      <c r="C1070" t="inlineStr">
        <is>
          <t>26-508</t>
        </is>
      </c>
      <c r="D1070" t="inlineStr">
        <is>
          <t>Website Modernization Project</t>
        </is>
      </c>
      <c r="E1070" t="inlineStr">
        <is>
          <t xml:space="preserve">Public Utility District No. 1 of Pend Oreille County </t>
        </is>
      </c>
      <c r="F1070" t="inlineStr">
        <is>
          <t>Washington</t>
        </is>
      </c>
      <c r="G1070" t="inlineStr">
        <is>
          <t>Submitted</t>
        </is>
      </c>
      <c r="H1070" t="inlineStr">
        <is>
          <t>No</t>
        </is>
      </c>
      <c r="J1070" s="96" t="n">
        <v>46226</v>
      </c>
      <c r="K1070" s="96" t="n">
        <v>46226</v>
      </c>
      <c r="L1070" t="n">
        <v>52800</v>
      </c>
      <c r="M1070" t="inlineStr">
        <is>
          <t>Modernization / Migration;Consulting</t>
        </is>
      </c>
      <c r="N1070" t="inlineStr">
        <is>
          <t>Portal</t>
        </is>
      </c>
      <c r="O1070" t="inlineStr">
        <is>
          <t>Jyothsna Nanda kishore</t>
        </is>
      </c>
      <c r="Y1070" s="96" t="n">
        <v>46218</v>
      </c>
      <c r="Z1070" t="inlineStr">
        <is>
          <t>https://app.hubspot.com/contacts/243046792/record/0-3/335866555126</t>
        </is>
      </c>
    </row>
    <row r="1071">
      <c r="A1071" t="n">
        <v>1070</v>
      </c>
      <c r="B1071" t="inlineStr">
        <is>
          <t>334070410997</t>
        </is>
      </c>
      <c r="C1071" t="inlineStr">
        <is>
          <t>RHRFP2602</t>
        </is>
      </c>
      <c r="D1071" t="inlineStr">
        <is>
          <t>Project Management Integration Services - RHTP</t>
        </is>
      </c>
      <c r="E1071" t="inlineStr">
        <is>
          <t>Idaho Department of Health and Welfare</t>
        </is>
      </c>
      <c r="F1071" t="inlineStr">
        <is>
          <t>Idaho</t>
        </is>
      </c>
      <c r="G1071" t="inlineStr">
        <is>
          <t>RFx Cancelled</t>
        </is>
      </c>
      <c r="H1071" t="inlineStr">
        <is>
          <t>No</t>
        </is>
      </c>
      <c r="J1071" s="96" t="n">
        <v>46234</v>
      </c>
      <c r="K1071" s="96" t="n">
        <v>46234</v>
      </c>
      <c r="L1071" t="n">
        <v>514210</v>
      </c>
      <c r="M1071" t="inlineStr">
        <is>
          <t>Consulting</t>
        </is>
      </c>
      <c r="N1071" t="inlineStr">
        <is>
          <t>Portal</t>
        </is>
      </c>
      <c r="O1071" t="inlineStr">
        <is>
          <t>Jyothsna Nanda kishore</t>
        </is>
      </c>
      <c r="Y1071" s="96" t="n">
        <v>46211</v>
      </c>
      <c r="Z1071" t="inlineStr">
        <is>
          <t>https://app.hubspot.com/contacts/243046792/record/0-3/334070410997</t>
        </is>
      </c>
    </row>
    <row r="1072">
      <c r="A1072" t="n">
        <v>1071</v>
      </c>
      <c r="B1072" t="inlineStr">
        <is>
          <t>335265421029</t>
        </is>
      </c>
      <c r="C1072" t="inlineStr">
        <is>
          <t>RFP-5955-26-KF</t>
        </is>
      </c>
      <c r="D1072" t="inlineStr">
        <is>
          <t>Integrated Digital Platform and Website Modernization Services</t>
        </is>
      </c>
      <c r="E1072" t="inlineStr">
        <is>
          <t>City of Grand Junction</t>
        </is>
      </c>
      <c r="F1072" t="inlineStr">
        <is>
          <t>Colorado</t>
        </is>
      </c>
      <c r="G1072" t="inlineStr">
        <is>
          <t>Closed Lost</t>
        </is>
      </c>
      <c r="H1072" t="inlineStr">
        <is>
          <t>No</t>
        </is>
      </c>
      <c r="J1072" s="96" t="n">
        <v>46312</v>
      </c>
      <c r="K1072" s="96" t="n">
        <v>46234</v>
      </c>
      <c r="L1072" t="n">
        <v>197440</v>
      </c>
      <c r="M1072" t="inlineStr">
        <is>
          <t>Consulting;Modernization / Migration</t>
        </is>
      </c>
      <c r="N1072" t="inlineStr">
        <is>
          <t>Portal</t>
        </is>
      </c>
      <c r="O1072" t="inlineStr">
        <is>
          <t>Yash More</t>
        </is>
      </c>
      <c r="Y1072" s="96" t="n">
        <v>46217</v>
      </c>
      <c r="Z1072" t="inlineStr">
        <is>
          <t>https://app.hubspot.com/contacts/243046792/record/0-3/335265421029</t>
        </is>
      </c>
    </row>
    <row r="1073">
      <c r="A1073" t="n">
        <v>1072</v>
      </c>
      <c r="B1073" t="inlineStr">
        <is>
          <t>326400090836</t>
        </is>
      </c>
      <c r="D1073" t="inlineStr">
        <is>
          <t>Information Technology Managed Services</t>
        </is>
      </c>
      <c r="E1073" t="inlineStr">
        <is>
          <t>New York State Association of County Health Officials (NYSACHO)</t>
        </is>
      </c>
      <c r="F1073" t="inlineStr">
        <is>
          <t>New York</t>
        </is>
      </c>
      <c r="G1073" t="inlineStr">
        <is>
          <t>Submitted</t>
        </is>
      </c>
      <c r="H1073" t="inlineStr">
        <is>
          <t>No</t>
        </is>
      </c>
      <c r="J1073" s="96" t="n">
        <v>46234</v>
      </c>
      <c r="K1073" s="96" t="n">
        <v>46234</v>
      </c>
      <c r="L1073" t="n">
        <v>57530</v>
      </c>
      <c r="M1073" t="inlineStr">
        <is>
          <t>Consulting;Managed Services (MSP)</t>
        </is>
      </c>
      <c r="N1073" t="inlineStr">
        <is>
          <t>Email</t>
        </is>
      </c>
      <c r="O1073" t="inlineStr">
        <is>
          <t>Savya Atrey</t>
        </is>
      </c>
      <c r="Y1073" s="96" t="n">
        <v>46171</v>
      </c>
      <c r="Z1073" t="inlineStr">
        <is>
          <t>https://app.hubspot.com/contacts/243046792/record/0-3/326400090836</t>
        </is>
      </c>
    </row>
    <row r="1074">
      <c r="A1074" t="n">
        <v>1073</v>
      </c>
      <c r="B1074" t="inlineStr">
        <is>
          <t>335175760619</t>
        </is>
      </c>
      <c r="D1074" t="inlineStr">
        <is>
          <t>Digital ADA Accessibility Consultant</t>
        </is>
      </c>
      <c r="E1074" t="inlineStr">
        <is>
          <t>City of Oklahoma City</t>
        </is>
      </c>
      <c r="F1074" t="inlineStr">
        <is>
          <t>Oklahoma</t>
        </is>
      </c>
      <c r="G1074" t="inlineStr">
        <is>
          <t>Submitted</t>
        </is>
      </c>
      <c r="H1074" t="inlineStr">
        <is>
          <t>No</t>
        </is>
      </c>
      <c r="J1074" s="96" t="n">
        <v>46239</v>
      </c>
      <c r="K1074" s="96" t="n">
        <v>46239</v>
      </c>
      <c r="M1074" t="inlineStr">
        <is>
          <t>Consulting;Audits and Assessment</t>
        </is>
      </c>
      <c r="O1074" t="inlineStr">
        <is>
          <t>Jyothsna Nanda kishore</t>
        </is>
      </c>
      <c r="Y1074" s="96" t="n">
        <v>46213</v>
      </c>
      <c r="Z1074" t="inlineStr">
        <is>
          <t>https://app.hubspot.com/contacts/243046792/record/0-3/335175760619</t>
        </is>
      </c>
    </row>
    <row r="1075">
      <c r="A1075" t="n">
        <v>1074</v>
      </c>
      <c r="B1075" t="inlineStr">
        <is>
          <t>339204984515</t>
        </is>
      </c>
      <c r="C1075" t="inlineStr">
        <is>
          <t>#47052</t>
        </is>
      </c>
      <c r="D1075" t="inlineStr">
        <is>
          <t>New Contingency Staffing Request - Health Data Services Operations and Strategy Director</t>
        </is>
      </c>
      <c r="E1075" t="inlineStr">
        <is>
          <t>County of San Mateo</t>
        </is>
      </c>
      <c r="F1075" t="inlineStr">
        <is>
          <t>California</t>
        </is>
      </c>
      <c r="G1075" t="inlineStr">
        <is>
          <t>RFx Cancelled</t>
        </is>
      </c>
      <c r="H1075" t="inlineStr">
        <is>
          <t>No</t>
        </is>
      </c>
      <c r="J1075" s="96" t="n">
        <v>46241</v>
      </c>
      <c r="M1075" t="inlineStr">
        <is>
          <t>Staff Augmentation</t>
        </is>
      </c>
      <c r="O1075" t="inlineStr">
        <is>
          <t>Ashutosh Chauhan</t>
        </is>
      </c>
      <c r="Y1075" s="96" t="n">
        <v>46232</v>
      </c>
      <c r="Z1075" t="inlineStr">
        <is>
          <t>https://app.hubspot.com/contacts/243046792/record/0-3/339204984515</t>
        </is>
      </c>
    </row>
    <row r="1076">
      <c r="A1076" t="n">
        <v>1075</v>
      </c>
      <c r="B1076" t="inlineStr">
        <is>
          <t>331925481209</t>
        </is>
      </c>
      <c r="C1076" t="inlineStr">
        <is>
          <t>2026 – RFP– 004</t>
        </is>
      </c>
      <c r="D1076" t="inlineStr">
        <is>
          <t>OFF - ERP SELECTION CONSULTANT</t>
        </is>
      </c>
      <c r="E1076" t="inlineStr">
        <is>
          <t>Village of Winnetka</t>
        </is>
      </c>
      <c r="F1076" t="inlineStr">
        <is>
          <t>Illinois</t>
        </is>
      </c>
      <c r="G1076" t="inlineStr">
        <is>
          <t>Submitted</t>
        </is>
      </c>
      <c r="H1076" t="inlineStr">
        <is>
          <t>No</t>
        </is>
      </c>
      <c r="J1076" s="96" t="n">
        <v>46239</v>
      </c>
      <c r="K1076" s="96" t="n">
        <v>46239</v>
      </c>
      <c r="L1076" t="n">
        <v>185926</v>
      </c>
      <c r="M1076" t="inlineStr">
        <is>
          <t>Consulting</t>
        </is>
      </c>
      <c r="N1076" t="inlineStr">
        <is>
          <t>Offline</t>
        </is>
      </c>
      <c r="O1076" t="inlineStr">
        <is>
          <t>Ashutosh Chauhan</t>
        </is>
      </c>
      <c r="Y1076" s="96" t="n">
        <v>46196</v>
      </c>
      <c r="Z1076" t="inlineStr">
        <is>
          <t>https://app.hubspot.com/contacts/243046792/record/0-3/331925481209</t>
        </is>
      </c>
    </row>
    <row r="1077">
      <c r="A1077" t="n">
        <v>1076</v>
      </c>
      <c r="B1077" t="inlineStr">
        <is>
          <t>339239869167</t>
        </is>
      </c>
      <c r="D1077" t="inlineStr">
        <is>
          <t xml:space="preserve">Website Development &amp; Design Services In Downtown Royal Oak </t>
        </is>
      </c>
      <c r="E1077" t="inlineStr">
        <is>
          <t>City of Royal Oak</t>
        </is>
      </c>
      <c r="F1077" t="inlineStr">
        <is>
          <t>Michigan</t>
        </is>
      </c>
      <c r="G1077" t="inlineStr">
        <is>
          <t>Closed Lost</t>
        </is>
      </c>
      <c r="H1077" t="inlineStr">
        <is>
          <t>No</t>
        </is>
      </c>
      <c r="J1077" s="96" t="n">
        <v>46281</v>
      </c>
      <c r="K1077" s="96" t="n">
        <v>46239</v>
      </c>
      <c r="L1077" t="n">
        <v>47600</v>
      </c>
      <c r="M1077" t="inlineStr">
        <is>
          <t>Custom development</t>
        </is>
      </c>
      <c r="N1077" t="inlineStr">
        <is>
          <t>Portal</t>
        </is>
      </c>
      <c r="O1077" t="inlineStr">
        <is>
          <t>Ashutosh Chauhan</t>
        </is>
      </c>
      <c r="Y1077" s="96" t="n">
        <v>46231</v>
      </c>
      <c r="Z1077" t="inlineStr">
        <is>
          <t>https://app.hubspot.com/contacts/243046792/record/0-3/339239869167</t>
        </is>
      </c>
    </row>
    <row r="1078">
      <c r="A1078" t="n">
        <v>1077</v>
      </c>
      <c r="B1078" t="inlineStr">
        <is>
          <t>334063584973</t>
        </is>
      </c>
      <c r="C1078" t="inlineStr">
        <is>
          <t>ISD126-ADM-6361</t>
        </is>
      </c>
      <c r="D1078" t="inlineStr">
        <is>
          <t>Countywide Security Assessment and Risk Analysis</t>
        </is>
      </c>
      <c r="E1078" t="inlineStr">
        <is>
          <t>The San Bernardino County Innovation and Technology Department</t>
        </is>
      </c>
      <c r="F1078" t="inlineStr">
        <is>
          <t>California</t>
        </is>
      </c>
      <c r="G1078" t="inlineStr">
        <is>
          <t>Submitted</t>
        </is>
      </c>
      <c r="H1078" t="inlineStr">
        <is>
          <t>No</t>
        </is>
      </c>
      <c r="J1078" s="96" t="n">
        <v>46240</v>
      </c>
      <c r="K1078" s="96" t="n">
        <v>46240</v>
      </c>
      <c r="L1078" t="n">
        <v>1060000</v>
      </c>
      <c r="M1078" t="inlineStr">
        <is>
          <t>Audits and Assessment;Consulting;Managed Services (MSP)</t>
        </is>
      </c>
      <c r="N1078" t="inlineStr">
        <is>
          <t>Portal</t>
        </is>
      </c>
      <c r="O1078" t="inlineStr">
        <is>
          <t>Ashutosh Chauhan</t>
        </is>
      </c>
      <c r="Y1078" s="96" t="n">
        <v>46210</v>
      </c>
      <c r="Z1078" t="inlineStr">
        <is>
          <t>https://app.hubspot.com/contacts/243046792/record/0-3/334063584973</t>
        </is>
      </c>
    </row>
    <row r="1079">
      <c r="A1079" t="n">
        <v>1078</v>
      </c>
      <c r="B1079" t="inlineStr">
        <is>
          <t>333485015763</t>
        </is>
      </c>
      <c r="C1079" t="inlineStr">
        <is>
          <t>RFP-MC-062626-MTSS-CS</t>
        </is>
      </c>
      <c r="D1079" t="inlineStr">
        <is>
          <t>Data Management System: Multi-Tiered System of Supports (MTSS), Community School Services, and Public Facing Data Dashboard</t>
        </is>
      </c>
      <c r="E1079" t="inlineStr">
        <is>
          <t>Rochester City School District</t>
        </is>
      </c>
      <c r="F1079" t="inlineStr">
        <is>
          <t>New York</t>
        </is>
      </c>
      <c r="G1079" t="inlineStr">
        <is>
          <t>Submitted</t>
        </is>
      </c>
      <c r="H1079" t="inlineStr">
        <is>
          <t>No</t>
        </is>
      </c>
      <c r="J1079" s="96" t="n">
        <v>46240</v>
      </c>
      <c r="K1079" s="96" t="n">
        <v>46240</v>
      </c>
      <c r="L1079" t="n">
        <v>1500000</v>
      </c>
      <c r="M1079" t="inlineStr">
        <is>
          <t>Custom development</t>
        </is>
      </c>
      <c r="N1079" t="inlineStr">
        <is>
          <t>Email</t>
        </is>
      </c>
      <c r="O1079" t="inlineStr">
        <is>
          <t>Ashutosh Chauhan</t>
        </is>
      </c>
      <c r="Y1079" s="96" t="n">
        <v>46203</v>
      </c>
      <c r="Z1079" t="inlineStr">
        <is>
          <t>https://app.hubspot.com/contacts/243046792/record/0-3/333485015763</t>
        </is>
      </c>
    </row>
    <row r="1080">
      <c r="A1080" t="n">
        <v>1079</v>
      </c>
      <c r="B1080" t="inlineStr">
        <is>
          <t>337720002258</t>
        </is>
      </c>
      <c r="D1080" t="inlineStr">
        <is>
          <t>Project Manager ERP / WFM Implementation</t>
        </is>
      </c>
      <c r="E1080" t="inlineStr">
        <is>
          <t xml:space="preserve">JPS Health Network </t>
        </is>
      </c>
      <c r="F1080" t="inlineStr">
        <is>
          <t>Texas</t>
        </is>
      </c>
      <c r="G1080" t="inlineStr">
        <is>
          <t>Submitted</t>
        </is>
      </c>
      <c r="H1080" t="inlineStr">
        <is>
          <t>No</t>
        </is>
      </c>
      <c r="J1080" s="96" t="n">
        <v>46240</v>
      </c>
      <c r="K1080" s="96" t="n">
        <v>46240</v>
      </c>
      <c r="O1080" t="inlineStr">
        <is>
          <t>Hrithik Srivastava</t>
        </is>
      </c>
      <c r="Y1080" s="96" t="n">
        <v>46227</v>
      </c>
      <c r="Z1080" t="inlineStr">
        <is>
          <t>https://app.hubspot.com/contacts/243046792/record/0-3/337720002258</t>
        </is>
      </c>
    </row>
    <row r="1081">
      <c r="A1081" t="n">
        <v>1080</v>
      </c>
      <c r="B1081" t="inlineStr">
        <is>
          <t>337974507196</t>
        </is>
      </c>
      <c r="C1081" t="inlineStr">
        <is>
          <t>202607207701</t>
        </is>
      </c>
      <c r="D1081" t="inlineStr">
        <is>
          <t>Technical Support Services</t>
        </is>
      </c>
      <c r="E1081" t="inlineStr">
        <is>
          <t>Lansing Board of Water and Light</t>
        </is>
      </c>
      <c r="F1081" t="inlineStr">
        <is>
          <t>Michigan</t>
        </is>
      </c>
      <c r="G1081" t="inlineStr">
        <is>
          <t>Submitted</t>
        </is>
      </c>
      <c r="H1081" t="inlineStr">
        <is>
          <t>No</t>
        </is>
      </c>
      <c r="J1081" s="96" t="n">
        <v>46241</v>
      </c>
      <c r="K1081" s="96" t="n">
        <v>46241</v>
      </c>
      <c r="M1081" t="inlineStr">
        <is>
          <t>Managed Services (MSP);Support &amp; Maintenance</t>
        </is>
      </c>
      <c r="N1081" t="inlineStr">
        <is>
          <t>Portal</t>
        </is>
      </c>
      <c r="O1081" t="inlineStr">
        <is>
          <t>Ashutosh Chauhan</t>
        </is>
      </c>
      <c r="Y1081" s="96" t="n">
        <v>46226</v>
      </c>
      <c r="Z1081" t="inlineStr">
        <is>
          <t>https://app.hubspot.com/contacts/243046792/record/0-3/337974507196</t>
        </is>
      </c>
    </row>
    <row r="1082">
      <c r="A1082" t="n">
        <v>1081</v>
      </c>
      <c r="B1082" t="inlineStr">
        <is>
          <t>339568424679</t>
        </is>
      </c>
      <c r="D1082" t="inlineStr">
        <is>
          <t>Technology Manager (Remote Job)</t>
        </is>
      </c>
      <c r="E1082" t="inlineStr">
        <is>
          <t>The Campbell Foundation</t>
        </is>
      </c>
      <c r="F1082" t="inlineStr">
        <is>
          <t>Maryland</t>
        </is>
      </c>
      <c r="G1082" t="inlineStr">
        <is>
          <t>Submitted</t>
        </is>
      </c>
      <c r="H1082" t="inlineStr">
        <is>
          <t>No</t>
        </is>
      </c>
      <c r="J1082" s="96" t="n">
        <v>46241</v>
      </c>
      <c r="K1082" s="96" t="n">
        <v>46241</v>
      </c>
      <c r="O1082" t="inlineStr">
        <is>
          <t>Ashutosh Chauhan</t>
        </is>
      </c>
      <c r="Y1082" s="96" t="n">
        <v>46234</v>
      </c>
      <c r="Z1082" t="inlineStr">
        <is>
          <t>https://app.hubspot.com/contacts/243046792/record/0-3/339568424679</t>
        </is>
      </c>
    </row>
    <row r="1083">
      <c r="A1083" t="n">
        <v>1082</v>
      </c>
      <c r="B1083" t="inlineStr">
        <is>
          <t>340223355615</t>
        </is>
      </c>
      <c r="D1083" t="inlineStr">
        <is>
          <t>Information Technology Security Assessment</t>
        </is>
      </c>
      <c r="E1083" t="inlineStr">
        <is>
          <t>Dakota County</t>
        </is>
      </c>
      <c r="F1083" t="inlineStr">
        <is>
          <t>Minnesota</t>
        </is>
      </c>
      <c r="G1083" t="inlineStr">
        <is>
          <t>Submitted</t>
        </is>
      </c>
      <c r="H1083" t="inlineStr">
        <is>
          <t>No</t>
        </is>
      </c>
      <c r="J1083" s="96" t="n">
        <v>46241</v>
      </c>
      <c r="K1083" s="96" t="n">
        <v>46241</v>
      </c>
      <c r="M1083" t="inlineStr">
        <is>
          <t>Audits and Assessment</t>
        </is>
      </c>
      <c r="O1083" t="inlineStr">
        <is>
          <t>Ashutosh Chauhan</t>
        </is>
      </c>
      <c r="Y1083" s="96" t="n">
        <v>46238</v>
      </c>
      <c r="Z1083" t="inlineStr">
        <is>
          <t>https://app.hubspot.com/contacts/243046792/record/0-3/340223355615</t>
        </is>
      </c>
    </row>
    <row r="1084">
      <c r="A1084" t="n">
        <v>1083</v>
      </c>
      <c r="B1084" t="inlineStr">
        <is>
          <t>340784459483</t>
        </is>
      </c>
      <c r="D1084" t="inlineStr">
        <is>
          <t>Municipal Water District of Orange County (MWDOC) Enterprise Planning Resource (ERP) System Architecture and Configuration (RFP No. FIN0825-001) - CO 2</t>
        </is>
      </c>
      <c r="E1084" t="inlineStr">
        <is>
          <t>Municipal Water District of Orange County (MWDOC)</t>
        </is>
      </c>
      <c r="F1084" t="inlineStr">
        <is>
          <t>California</t>
        </is>
      </c>
      <c r="G1084" t="inlineStr">
        <is>
          <t>Submitted</t>
        </is>
      </c>
      <c r="H1084" t="inlineStr">
        <is>
          <t>No</t>
        </is>
      </c>
      <c r="J1084" s="96" t="n">
        <v>46248</v>
      </c>
      <c r="K1084" s="96" t="n">
        <v>46241</v>
      </c>
      <c r="L1084" t="n">
        <v>9000</v>
      </c>
      <c r="O1084" t="inlineStr">
        <is>
          <t>Ashutosh Chauhan</t>
        </is>
      </c>
      <c r="Y1084" s="96" t="n">
        <v>46244</v>
      </c>
      <c r="Z1084" t="inlineStr">
        <is>
          <t>https://app.hubspot.com/contacts/243046792/record/0-3/340784459483</t>
        </is>
      </c>
    </row>
    <row r="1085">
      <c r="A1085" t="n">
        <v>1084</v>
      </c>
      <c r="B1085" t="inlineStr">
        <is>
          <t>335263602419</t>
        </is>
      </c>
      <c r="D1085" t="inlineStr">
        <is>
          <t>Workday Accounting Center Implementation Services</t>
        </is>
      </c>
      <c r="E1085" t="inlineStr">
        <is>
          <t>City Of Escondido</t>
        </is>
      </c>
      <c r="F1085" t="inlineStr">
        <is>
          <t>California</t>
        </is>
      </c>
      <c r="G1085" t="inlineStr">
        <is>
          <t>Closed Lost</t>
        </is>
      </c>
      <c r="H1085" t="inlineStr">
        <is>
          <t>No</t>
        </is>
      </c>
      <c r="J1085" s="96" t="n">
        <v>46287</v>
      </c>
      <c r="K1085" s="96" t="n">
        <v>46241</v>
      </c>
      <c r="M1085" t="inlineStr">
        <is>
          <t>Consulting;Platform Implementation (ERP, CRMs)</t>
        </is>
      </c>
      <c r="O1085" t="inlineStr">
        <is>
          <t>Ashutosh Chauhan</t>
        </is>
      </c>
      <c r="Y1085" s="96" t="n">
        <v>46216</v>
      </c>
      <c r="Z1085" t="inlineStr">
        <is>
          <t>https://app.hubspot.com/contacts/243046792/record/0-3/335263602419</t>
        </is>
      </c>
    </row>
    <row r="1086">
      <c r="A1086" t="n">
        <v>1085</v>
      </c>
      <c r="B1086" t="inlineStr">
        <is>
          <t>337550400199</t>
        </is>
      </c>
      <c r="C1086" t="inlineStr">
        <is>
          <t>RFP 2026-025</t>
        </is>
      </c>
      <c r="D1086" t="inlineStr">
        <is>
          <t>Co-Managed Security Solution</t>
        </is>
      </c>
      <c r="E1086" t="inlineStr">
        <is>
          <t>City of York</t>
        </is>
      </c>
      <c r="F1086" t="inlineStr">
        <is>
          <t>Pennsylvania</t>
        </is>
      </c>
      <c r="G1086" t="inlineStr">
        <is>
          <t>Submitted</t>
        </is>
      </c>
      <c r="H1086" t="inlineStr">
        <is>
          <t>No</t>
        </is>
      </c>
      <c r="J1086" s="96" t="n">
        <v>46244</v>
      </c>
      <c r="K1086" s="96" t="n">
        <v>46244</v>
      </c>
      <c r="L1086" t="n">
        <v>299248</v>
      </c>
      <c r="M1086" t="inlineStr">
        <is>
          <t>Audits and Assessment;Managed Services (MSP);Consulting</t>
        </is>
      </c>
      <c r="N1086" t="inlineStr">
        <is>
          <t>Portal</t>
        </is>
      </c>
      <c r="O1086" t="inlineStr">
        <is>
          <t>Ashutosh Chauhan</t>
        </is>
      </c>
      <c r="Y1086" s="96" t="n">
        <v>46226</v>
      </c>
      <c r="Z1086" t="inlineStr">
        <is>
          <t>https://app.hubspot.com/contacts/243046792/record/0-3/337550400199</t>
        </is>
      </c>
    </row>
    <row r="1087">
      <c r="A1087" t="n">
        <v>1086</v>
      </c>
      <c r="B1087" t="inlineStr">
        <is>
          <t>336119723730</t>
        </is>
      </c>
      <c r="D1087" t="inlineStr">
        <is>
          <t>IT Technical Service Provider</t>
        </is>
      </c>
      <c r="E1087" t="inlineStr">
        <is>
          <t>Housing Authority of the City of Alameda</t>
        </is>
      </c>
      <c r="F1087" t="inlineStr">
        <is>
          <t>California</t>
        </is>
      </c>
      <c r="G1087" t="inlineStr">
        <is>
          <t>Submitted</t>
        </is>
      </c>
      <c r="H1087" t="inlineStr">
        <is>
          <t>No</t>
        </is>
      </c>
      <c r="J1087" s="96" t="n">
        <v>46244</v>
      </c>
      <c r="K1087" s="96" t="n">
        <v>46244</v>
      </c>
      <c r="L1087" t="n">
        <v>1239864</v>
      </c>
      <c r="M1087" t="inlineStr">
        <is>
          <t>Managed Services (MSP)</t>
        </is>
      </c>
      <c r="O1087" t="inlineStr">
        <is>
          <t>Jyothsna Nanda kishore</t>
        </is>
      </c>
      <c r="Y1087" s="96" t="n">
        <v>46219</v>
      </c>
      <c r="Z1087" t="inlineStr">
        <is>
          <t>https://app.hubspot.com/contacts/243046792/record/0-3/336119723730</t>
        </is>
      </c>
    </row>
    <row r="1088">
      <c r="A1088" t="n">
        <v>1087</v>
      </c>
      <c r="B1088" t="inlineStr">
        <is>
          <t>339204913854</t>
        </is>
      </c>
      <c r="D1088" t="inlineStr">
        <is>
          <t>Permitting, Licensing, and ERP System Assessment and Procurement Consulting Services</t>
        </is>
      </c>
      <c r="E1088" t="inlineStr">
        <is>
          <t>City of Salinas</t>
        </is>
      </c>
      <c r="F1088" t="inlineStr">
        <is>
          <t>California</t>
        </is>
      </c>
      <c r="G1088" t="inlineStr">
        <is>
          <t>Submitted</t>
        </is>
      </c>
      <c r="H1088" t="inlineStr">
        <is>
          <t>No</t>
        </is>
      </c>
      <c r="J1088" s="96" t="n">
        <v>46245</v>
      </c>
      <c r="K1088" s="96" t="n">
        <v>46244</v>
      </c>
      <c r="O1088" t="inlineStr">
        <is>
          <t>Ashutosh Chauhan</t>
        </is>
      </c>
      <c r="Y1088" s="96" t="n">
        <v>46231</v>
      </c>
      <c r="Z1088" t="inlineStr">
        <is>
          <t>https://app.hubspot.com/contacts/243046792/record/0-3/339204913854</t>
        </is>
      </c>
    </row>
    <row r="1089">
      <c r="A1089" t="n">
        <v>1088</v>
      </c>
      <c r="B1089" t="inlineStr">
        <is>
          <t>339687313124</t>
        </is>
      </c>
      <c r="D1089" t="inlineStr">
        <is>
          <t>Artificial Intelligence Analytical Engine</t>
        </is>
      </c>
      <c r="E1089" t="inlineStr">
        <is>
          <t>Global Support and Development (GSD)</t>
        </is>
      </c>
      <c r="F1089" t="inlineStr">
        <is>
          <t>California</t>
        </is>
      </c>
      <c r="G1089" t="inlineStr">
        <is>
          <t>Submitted</t>
        </is>
      </c>
      <c r="H1089" t="inlineStr">
        <is>
          <t>No</t>
        </is>
      </c>
      <c r="J1089" s="96" t="n">
        <v>46244</v>
      </c>
      <c r="K1089" s="96" t="n">
        <v>46245</v>
      </c>
      <c r="O1089" t="inlineStr">
        <is>
          <t>Ashutosh Chauhan</t>
        </is>
      </c>
      <c r="Y1089" s="96" t="n">
        <v>46234</v>
      </c>
      <c r="Z1089" t="inlineStr">
        <is>
          <t>https://app.hubspot.com/contacts/243046792/record/0-3/339687313124</t>
        </is>
      </c>
    </row>
    <row r="1090">
      <c r="A1090" t="n">
        <v>1089</v>
      </c>
      <c r="B1090" t="inlineStr">
        <is>
          <t>335798551243</t>
        </is>
      </c>
      <c r="D1090" t="inlineStr">
        <is>
          <t>OFFLINE - Managed Information Technology (IT) Services</t>
        </is>
      </c>
      <c r="E1090" t="inlineStr">
        <is>
          <t xml:space="preserve">The Village of Indian Head Park </t>
        </is>
      </c>
      <c r="F1090" t="inlineStr">
        <is>
          <t>Illinois</t>
        </is>
      </c>
      <c r="G1090" t="inlineStr">
        <is>
          <t>Submitted</t>
        </is>
      </c>
      <c r="H1090" t="inlineStr">
        <is>
          <t>No</t>
        </is>
      </c>
      <c r="J1090" s="96" t="n">
        <v>46246</v>
      </c>
      <c r="K1090" s="96" t="n">
        <v>46245</v>
      </c>
      <c r="O1090" t="inlineStr">
        <is>
          <t>Yash More</t>
        </is>
      </c>
      <c r="Y1090" s="96" t="n">
        <v>46218</v>
      </c>
      <c r="Z1090" t="inlineStr">
        <is>
          <t>https://app.hubspot.com/contacts/243046792/record/0-3/335798551243</t>
        </is>
      </c>
    </row>
    <row r="1091">
      <c r="A1091" t="n">
        <v>1090</v>
      </c>
      <c r="B1091" t="inlineStr">
        <is>
          <t>333490071257</t>
        </is>
      </c>
      <c r="D1091" t="inlineStr">
        <is>
          <t xml:space="preserve">Utility Network Enterprise deployment for Water, Sanitary Sewer, and Stormwater (UN) </t>
        </is>
      </c>
      <c r="E1091" t="inlineStr">
        <is>
          <t>City of Minneapolis</t>
        </is>
      </c>
      <c r="F1091" t="inlineStr">
        <is>
          <t>Minnesota</t>
        </is>
      </c>
      <c r="G1091" t="inlineStr">
        <is>
          <t>Submitted</t>
        </is>
      </c>
      <c r="H1091" t="inlineStr">
        <is>
          <t>No</t>
        </is>
      </c>
      <c r="J1091" s="96" t="n">
        <v>46246</v>
      </c>
      <c r="K1091" s="96" t="n">
        <v>46246</v>
      </c>
      <c r="O1091" t="inlineStr">
        <is>
          <t>Jyothsna Nanda kishore</t>
        </is>
      </c>
      <c r="Y1091" s="96" t="n">
        <v>46203</v>
      </c>
      <c r="Z1091" t="inlineStr">
        <is>
          <t>https://app.hubspot.com/contacts/243046792/record/0-3/333490071257</t>
        </is>
      </c>
    </row>
    <row r="1092">
      <c r="A1092" t="n">
        <v>1091</v>
      </c>
      <c r="B1092" t="inlineStr">
        <is>
          <t>337548204779</t>
        </is>
      </c>
      <c r="D1092" t="inlineStr">
        <is>
          <t>Integration Services for CRM to ERP (IPaaS)</t>
        </is>
      </c>
      <c r="E1092" t="inlineStr">
        <is>
          <t>Westmoreland County Community College</t>
        </is>
      </c>
      <c r="F1092" t="inlineStr">
        <is>
          <t>Pennsylvania</t>
        </is>
      </c>
      <c r="G1092" t="inlineStr">
        <is>
          <t>Submitted</t>
        </is>
      </c>
      <c r="H1092" t="inlineStr">
        <is>
          <t>No</t>
        </is>
      </c>
      <c r="J1092" s="96" t="n">
        <v>46248</v>
      </c>
      <c r="K1092" s="96" t="n">
        <v>46246</v>
      </c>
      <c r="O1092" t="inlineStr">
        <is>
          <t>Hrithik Srivastava</t>
        </is>
      </c>
      <c r="Y1092" s="96" t="n">
        <v>46225</v>
      </c>
      <c r="Z1092" t="inlineStr">
        <is>
          <t>https://app.hubspot.com/contacts/243046792/record/0-3/337548204779</t>
        </is>
      </c>
    </row>
    <row r="1093">
      <c r="A1093" t="n">
        <v>1092</v>
      </c>
      <c r="B1093" t="inlineStr">
        <is>
          <t>333231536875</t>
        </is>
      </c>
      <c r="D1093" t="inlineStr">
        <is>
          <t>Request for Proposals (RFP) for PreQualified Providers of Information Technology Goods and Services</t>
        </is>
      </c>
      <c r="E1093" t="inlineStr">
        <is>
          <t>Empire State Development</t>
        </is>
      </c>
      <c r="F1093" t="inlineStr">
        <is>
          <t>New York</t>
        </is>
      </c>
      <c r="G1093" t="inlineStr">
        <is>
          <t>Submitted</t>
        </is>
      </c>
      <c r="H1093" t="inlineStr">
        <is>
          <t>No</t>
        </is>
      </c>
      <c r="J1093" s="96" t="n">
        <v>46247</v>
      </c>
      <c r="K1093" s="96" t="n">
        <v>46247</v>
      </c>
      <c r="O1093" t="inlineStr">
        <is>
          <t>Jyothsna Nanda kishore</t>
        </is>
      </c>
      <c r="Y1093" s="96" t="n">
        <v>46203</v>
      </c>
      <c r="Z1093" t="inlineStr">
        <is>
          <t>https://app.hubspot.com/contacts/243046792/record/0-3/333231536875</t>
        </is>
      </c>
    </row>
    <row r="1094">
      <c r="A1094" t="n">
        <v>1093</v>
      </c>
      <c r="B1094" t="inlineStr">
        <is>
          <t>337949149921</t>
        </is>
      </c>
      <c r="D1094" t="inlineStr">
        <is>
          <t>Consulting Services for Enterprise Resource Planning (ERP) System Project Planning, and Development of a Request for Proposal</t>
        </is>
      </c>
      <c r="E1094" t="inlineStr">
        <is>
          <t>ALDERWOOD WATER &amp; WASTEWATER DISTRICT</t>
        </is>
      </c>
      <c r="F1094" t="inlineStr">
        <is>
          <t>Washington</t>
        </is>
      </c>
      <c r="G1094" t="inlineStr">
        <is>
          <t>Submitted</t>
        </is>
      </c>
      <c r="H1094" t="inlineStr">
        <is>
          <t>No</t>
        </is>
      </c>
      <c r="J1094" s="96" t="n">
        <v>46247</v>
      </c>
      <c r="K1094" s="96" t="n">
        <v>46247</v>
      </c>
      <c r="L1094" t="n">
        <v>184800</v>
      </c>
      <c r="M1094" t="inlineStr">
        <is>
          <t>Consulting</t>
        </is>
      </c>
      <c r="N1094" t="inlineStr">
        <is>
          <t>Email</t>
        </is>
      </c>
      <c r="O1094" t="inlineStr">
        <is>
          <t>Ashutosh Chauhan</t>
        </is>
      </c>
      <c r="Y1094" s="96" t="n">
        <v>46226</v>
      </c>
      <c r="Z1094" t="inlineStr">
        <is>
          <t>https://app.hubspot.com/contacts/243046792/record/0-3/337949149921</t>
        </is>
      </c>
    </row>
    <row r="1095">
      <c r="A1095" t="n">
        <v>1094</v>
      </c>
      <c r="B1095" t="inlineStr">
        <is>
          <t>338570431172</t>
        </is>
      </c>
      <c r="D1095" t="inlineStr">
        <is>
          <t>Managed Cybersecurity Services</t>
        </is>
      </c>
      <c r="E1095" t="inlineStr">
        <is>
          <t>Hancock County</t>
        </is>
      </c>
      <c r="F1095" t="inlineStr">
        <is>
          <t>Indiana</t>
        </is>
      </c>
      <c r="G1095" t="inlineStr">
        <is>
          <t>Submitted</t>
        </is>
      </c>
      <c r="H1095" t="inlineStr">
        <is>
          <t>No</t>
        </is>
      </c>
      <c r="J1095" s="96" t="n">
        <v>46251</v>
      </c>
      <c r="K1095" s="96" t="n">
        <v>46247</v>
      </c>
      <c r="O1095" t="inlineStr">
        <is>
          <t>Hrithik Srivastava</t>
        </is>
      </c>
      <c r="Y1095" s="96" t="n">
        <v>46230</v>
      </c>
      <c r="Z1095" t="inlineStr">
        <is>
          <t>https://app.hubspot.com/contacts/243046792/record/0-3/338570431172</t>
        </is>
      </c>
    </row>
    <row r="1096">
      <c r="A1096" t="n">
        <v>1095</v>
      </c>
      <c r="B1096" t="inlineStr">
        <is>
          <t>338923024073</t>
        </is>
      </c>
      <c r="D1096" t="inlineStr">
        <is>
          <t>GIS Roadmap</t>
        </is>
      </c>
      <c r="E1096" t="inlineStr">
        <is>
          <t xml:space="preserve"> City of Crossville</t>
        </is>
      </c>
      <c r="F1096" t="inlineStr">
        <is>
          <t>Tennessee</t>
        </is>
      </c>
      <c r="G1096" t="inlineStr">
        <is>
          <t>Closed Lost</t>
        </is>
      </c>
      <c r="H1096" t="inlineStr">
        <is>
          <t>No</t>
        </is>
      </c>
      <c r="J1096" s="96" t="n">
        <v>46300</v>
      </c>
      <c r="K1096" s="96" t="n">
        <v>46248</v>
      </c>
      <c r="L1096" t="n">
        <v>73150</v>
      </c>
      <c r="M1096" t="inlineStr">
        <is>
          <t>Modernization / Migration</t>
        </is>
      </c>
      <c r="O1096" t="inlineStr">
        <is>
          <t>Hrithik Srivastava</t>
        </is>
      </c>
      <c r="Y1096" s="96" t="n">
        <v>46231</v>
      </c>
      <c r="Z1096" t="inlineStr">
        <is>
          <t>https://app.hubspot.com/contacts/243046792/record/0-3/338923024073</t>
        </is>
      </c>
    </row>
    <row r="1097">
      <c r="A1097" t="n">
        <v>1096</v>
      </c>
      <c r="B1097" t="inlineStr">
        <is>
          <t>334479743677</t>
        </is>
      </c>
      <c r="D1097" t="inlineStr">
        <is>
          <t>CITY OF MEQUON INFORMATION TECHNOLOGY SERVICES</t>
        </is>
      </c>
      <c r="E1097" t="inlineStr">
        <is>
          <t>CITY OF MEQUON</t>
        </is>
      </c>
      <c r="F1097" t="inlineStr">
        <is>
          <t>Wisconsin</t>
        </is>
      </c>
      <c r="G1097" t="inlineStr">
        <is>
          <t>Submitted</t>
        </is>
      </c>
      <c r="H1097" t="inlineStr">
        <is>
          <t>No</t>
        </is>
      </c>
      <c r="J1097" s="96" t="n">
        <v>46248</v>
      </c>
      <c r="K1097" s="96" t="n">
        <v>46248</v>
      </c>
      <c r="O1097" t="inlineStr">
        <is>
          <t>Jyothsna Nanda kishore</t>
        </is>
      </c>
      <c r="Y1097" s="96" t="n">
        <v>46213</v>
      </c>
      <c r="Z1097" t="inlineStr">
        <is>
          <t>https://app.hubspot.com/contacts/243046792/record/0-3/334479743677</t>
        </is>
      </c>
    </row>
    <row r="1098">
      <c r="A1098" t="n">
        <v>1097</v>
      </c>
      <c r="B1098" t="inlineStr">
        <is>
          <t>339688035007</t>
        </is>
      </c>
      <c r="C1098" t="inlineStr">
        <is>
          <t>RFP-125352</t>
        </is>
      </c>
      <c r="D1098" t="inlineStr">
        <is>
          <t>SRRA ArcGIS GIS Mapping Project</t>
        </is>
      </c>
      <c r="E1098" t="inlineStr">
        <is>
          <t>Southwest Virginia Regional Recreation Authority</t>
        </is>
      </c>
      <c r="F1098" t="inlineStr">
        <is>
          <t>Virginia</t>
        </is>
      </c>
      <c r="G1098" t="inlineStr">
        <is>
          <t>Submitted</t>
        </is>
      </c>
      <c r="H1098" t="inlineStr">
        <is>
          <t>No</t>
        </is>
      </c>
      <c r="J1098" s="96" t="n">
        <v>46248</v>
      </c>
      <c r="K1098" s="96" t="n">
        <v>46248</v>
      </c>
      <c r="L1098" t="n">
        <v>70600</v>
      </c>
      <c r="M1098" t="inlineStr">
        <is>
          <t>Modernization / Migration</t>
        </is>
      </c>
      <c r="N1098" t="inlineStr">
        <is>
          <t>Portal</t>
        </is>
      </c>
      <c r="O1098" t="inlineStr">
        <is>
          <t>Ashutosh Chauhan</t>
        </is>
      </c>
      <c r="Y1098" s="96" t="n">
        <v>46234</v>
      </c>
      <c r="Z1098" t="inlineStr">
        <is>
          <t>https://app.hubspot.com/contacts/243046792/record/0-3/339688035007</t>
        </is>
      </c>
    </row>
    <row r="1099">
      <c r="A1099" t="n">
        <v>1098</v>
      </c>
      <c r="B1099" t="inlineStr">
        <is>
          <t>340263699193</t>
        </is>
      </c>
      <c r="C1099" t="inlineStr">
        <is>
          <t>14173 - FY27</t>
        </is>
      </c>
      <c r="D1099" t="inlineStr">
        <is>
          <t>MIS Support Services</t>
        </is>
      </c>
      <c r="E1099" t="inlineStr">
        <is>
          <t>City of Kirkwood</t>
        </is>
      </c>
      <c r="F1099" t="inlineStr">
        <is>
          <t>Missouri</t>
        </is>
      </c>
      <c r="G1099" t="inlineStr">
        <is>
          <t>Submitted</t>
        </is>
      </c>
      <c r="H1099" t="inlineStr">
        <is>
          <t>No</t>
        </is>
      </c>
      <c r="J1099" s="96" t="n">
        <v>46251</v>
      </c>
      <c r="K1099" s="96" t="n">
        <v>46251</v>
      </c>
      <c r="M1099" t="inlineStr">
        <is>
          <t>Support &amp; Maintenance</t>
        </is>
      </c>
      <c r="O1099" t="inlineStr">
        <is>
          <t>Yash More</t>
        </is>
      </c>
      <c r="Y1099" s="96" t="n">
        <v>46239</v>
      </c>
      <c r="Z1099" t="inlineStr">
        <is>
          <t>https://app.hubspot.com/contacts/243046792/record/0-3/340263699193</t>
        </is>
      </c>
    </row>
    <row r="1100">
      <c r="A1100" t="n">
        <v>1099</v>
      </c>
      <c r="B1100" t="inlineStr">
        <is>
          <t>335265405663</t>
        </is>
      </c>
      <c r="C1100" t="inlineStr">
        <is>
          <t>RFP-26-1008</t>
        </is>
      </c>
      <c r="D1100" t="inlineStr">
        <is>
          <t>OFF - INFORMATION TECHNOLOGY SUPPORT SERVICES</t>
        </is>
      </c>
      <c r="E1100" t="inlineStr">
        <is>
          <t>City of Lakeway</t>
        </is>
      </c>
      <c r="F1100" t="inlineStr">
        <is>
          <t>Texas</t>
        </is>
      </c>
      <c r="G1100" t="inlineStr">
        <is>
          <t>RFx Cancelled</t>
        </is>
      </c>
      <c r="H1100" t="inlineStr">
        <is>
          <t>No</t>
        </is>
      </c>
      <c r="J1100" s="96" t="n">
        <v>46248</v>
      </c>
      <c r="K1100" s="96" t="n">
        <v>46251</v>
      </c>
      <c r="O1100" t="inlineStr">
        <is>
          <t>Ashutosh Chauhan</t>
        </is>
      </c>
      <c r="Y1100" s="96" t="n">
        <v>46217</v>
      </c>
      <c r="Z1100" t="inlineStr">
        <is>
          <t>https://app.hubspot.com/contacts/243046792/record/0-3/335265405663</t>
        </is>
      </c>
    </row>
    <row r="1101">
      <c r="A1101" t="n">
        <v>1100</v>
      </c>
      <c r="B1101" t="inlineStr">
        <is>
          <t>342527622858</t>
        </is>
      </c>
      <c r="D1101" t="inlineStr">
        <is>
          <t>SSAM Consulting Services</t>
        </is>
      </c>
      <c r="E1101" t="inlineStr">
        <is>
          <t>Metro Transit Authority of Harris County</t>
        </is>
      </c>
      <c r="F1101" t="inlineStr">
        <is>
          <t>Texas</t>
        </is>
      </c>
      <c r="G1101" t="inlineStr">
        <is>
          <t>Submitted</t>
        </is>
      </c>
      <c r="H1101" t="inlineStr">
        <is>
          <t>No</t>
        </is>
      </c>
      <c r="J1101" s="96" t="n">
        <v>46251</v>
      </c>
      <c r="K1101" s="96" t="n">
        <v>46251</v>
      </c>
      <c r="O1101" t="inlineStr">
        <is>
          <t>Hrithik Srivastava</t>
        </is>
      </c>
      <c r="Y1101" s="96" t="n">
        <v>46251</v>
      </c>
      <c r="Z1101" t="inlineStr">
        <is>
          <t>https://app.hubspot.com/contacts/243046792/record/0-3/342527622858</t>
        </is>
      </c>
    </row>
    <row r="1102">
      <c r="A1102" t="n">
        <v>1101</v>
      </c>
      <c r="B1102" t="inlineStr">
        <is>
          <t>337548210933</t>
        </is>
      </c>
      <c r="D1102" t="inlineStr">
        <is>
          <t>MNIT Salesforce Deliverable-Based Vendor Select</t>
        </is>
      </c>
      <c r="E1102" t="inlineStr">
        <is>
          <t>Minnesota Department of Administration</t>
        </is>
      </c>
      <c r="F1102" t="inlineStr">
        <is>
          <t>Minnesota</t>
        </is>
      </c>
      <c r="G1102" t="inlineStr">
        <is>
          <t>Closed Lost</t>
        </is>
      </c>
      <c r="H1102" t="inlineStr">
        <is>
          <t>No</t>
        </is>
      </c>
      <c r="J1102" s="96" t="n">
        <v>46297</v>
      </c>
      <c r="K1102" s="96" t="n">
        <v>46251</v>
      </c>
      <c r="O1102" t="inlineStr">
        <is>
          <t>Hrithik Srivastava</t>
        </is>
      </c>
      <c r="Y1102" s="96" t="n">
        <v>46225</v>
      </c>
      <c r="Z1102" t="inlineStr">
        <is>
          <t>https://app.hubspot.com/contacts/243046792/record/0-3/337548210933</t>
        </is>
      </c>
    </row>
    <row r="1103">
      <c r="A1103" t="n">
        <v>1102</v>
      </c>
      <c r="B1103" t="inlineStr">
        <is>
          <t>330690987715</t>
        </is>
      </c>
      <c r="C1103" t="inlineStr">
        <is>
          <t>EVT0010861</t>
        </is>
      </c>
      <c r="D1103" t="inlineStr">
        <is>
          <t>Website Accessibility Compliance</t>
        </is>
      </c>
      <c r="E1103" t="inlineStr">
        <is>
          <t>Kansas State School for the Blind</t>
        </is>
      </c>
      <c r="F1103" t="inlineStr">
        <is>
          <t>Kansas</t>
        </is>
      </c>
      <c r="G1103" t="inlineStr">
        <is>
          <t>Submitted</t>
        </is>
      </c>
      <c r="H1103" t="inlineStr">
        <is>
          <t>No</t>
        </is>
      </c>
      <c r="J1103" s="96" t="n">
        <v>46252</v>
      </c>
      <c r="K1103" s="96" t="n">
        <v>46252</v>
      </c>
      <c r="M1103" t="inlineStr">
        <is>
          <t>Consulting</t>
        </is>
      </c>
      <c r="N1103" t="inlineStr">
        <is>
          <t>Email</t>
        </is>
      </c>
      <c r="O1103" t="inlineStr">
        <is>
          <t>Ashutosh Chauhan</t>
        </is>
      </c>
      <c r="Y1103" s="96" t="n">
        <v>46191</v>
      </c>
      <c r="Z1103" t="inlineStr">
        <is>
          <t>https://app.hubspot.com/contacts/243046792/record/0-3/330690987715</t>
        </is>
      </c>
    </row>
    <row r="1104">
      <c r="A1104" t="n">
        <v>1103</v>
      </c>
      <c r="B1104" t="inlineStr">
        <is>
          <t>337552987857</t>
        </is>
      </c>
      <c r="D1104" t="inlineStr">
        <is>
          <t>SALESFORCE SUPPORT SERVICES</t>
        </is>
      </c>
      <c r="E1104" t="inlineStr">
        <is>
          <t xml:space="preserve">Maryland Technology Development Corporation (TEDCO) </t>
        </is>
      </c>
      <c r="F1104" t="inlineStr">
        <is>
          <t>Maryland</t>
        </is>
      </c>
      <c r="G1104" t="inlineStr">
        <is>
          <t>Closed Lost</t>
        </is>
      </c>
      <c r="H1104" t="inlineStr">
        <is>
          <t>No</t>
        </is>
      </c>
      <c r="J1104" s="96" t="n">
        <v>46261</v>
      </c>
      <c r="K1104" s="96" t="n">
        <v>46253</v>
      </c>
      <c r="O1104" t="inlineStr">
        <is>
          <t>Ashutosh Chauhan</t>
        </is>
      </c>
      <c r="Y1104" s="96" t="n">
        <v>46226</v>
      </c>
      <c r="Z1104" t="inlineStr">
        <is>
          <t>https://app.hubspot.com/contacts/243046792/record/0-3/337552987857</t>
        </is>
      </c>
    </row>
    <row r="1105">
      <c r="A1105" t="n">
        <v>1104</v>
      </c>
      <c r="B1105" t="inlineStr">
        <is>
          <t>343124411085</t>
        </is>
      </c>
      <c r="D1105" t="inlineStr">
        <is>
          <t>FortiGate 80F hardware with 1 Year FortiCare Premium and1 Year FortiGuard Enterprise Protection</t>
        </is>
      </c>
      <c r="E1105" t="inlineStr">
        <is>
          <t>Marin Housing Authority</t>
        </is>
      </c>
      <c r="F1105" t="inlineStr">
        <is>
          <t>California</t>
        </is>
      </c>
      <c r="G1105" t="inlineStr">
        <is>
          <t>Submitted</t>
        </is>
      </c>
      <c r="H1105" t="inlineStr">
        <is>
          <t>No</t>
        </is>
      </c>
      <c r="J1105" s="96" t="n">
        <v>46253</v>
      </c>
      <c r="K1105" s="96" t="n">
        <v>46253</v>
      </c>
      <c r="L1105" t="n">
        <v>2626.04</v>
      </c>
      <c r="O1105" t="inlineStr">
        <is>
          <t>Ashutosh Chauhan</t>
        </is>
      </c>
      <c r="Y1105" s="96" t="n">
        <v>46258</v>
      </c>
      <c r="Z1105" t="inlineStr">
        <is>
          <t>https://app.hubspot.com/contacts/243046792/record/0-3/343124411085</t>
        </is>
      </c>
    </row>
    <row r="1106">
      <c r="A1106" t="n">
        <v>1105</v>
      </c>
      <c r="B1106" t="inlineStr">
        <is>
          <t>340127629008</t>
        </is>
      </c>
      <c r="D1106" t="inlineStr">
        <is>
          <t>Cyber Table-Top Exercise</t>
        </is>
      </c>
      <c r="E1106" t="inlineStr">
        <is>
          <t>City of Bloomington</t>
        </is>
      </c>
      <c r="F1106" t="inlineStr">
        <is>
          <t>Minnesota</t>
        </is>
      </c>
      <c r="G1106" t="inlineStr">
        <is>
          <t>Submitted</t>
        </is>
      </c>
      <c r="H1106" t="inlineStr">
        <is>
          <t>No</t>
        </is>
      </c>
      <c r="J1106" s="96" t="n">
        <v>46254</v>
      </c>
      <c r="K1106" s="96" t="n">
        <v>46254</v>
      </c>
      <c r="O1106" t="inlineStr">
        <is>
          <t>Hrithik Srivastava</t>
        </is>
      </c>
      <c r="Y1106" s="96" t="n">
        <v>46237</v>
      </c>
      <c r="Z1106" t="inlineStr">
        <is>
          <t>https://app.hubspot.com/contacts/243046792/record/0-3/340127629008</t>
        </is>
      </c>
    </row>
    <row r="1107">
      <c r="A1107" t="n">
        <v>1106</v>
      </c>
      <c r="B1107" t="inlineStr">
        <is>
          <t>341764649697</t>
        </is>
      </c>
      <c r="D1107" t="inlineStr">
        <is>
          <t>Microsoft 365 Subscriptions</t>
        </is>
      </c>
      <c r="E1107" t="inlineStr">
        <is>
          <t>Genesee County Road Commission</t>
        </is>
      </c>
      <c r="F1107" t="inlineStr">
        <is>
          <t>Michigan</t>
        </is>
      </c>
      <c r="G1107" t="inlineStr">
        <is>
          <t>Closed Lost</t>
        </is>
      </c>
      <c r="H1107" t="inlineStr">
        <is>
          <t>No</t>
        </is>
      </c>
      <c r="J1107" s="96" t="n">
        <v>46260</v>
      </c>
      <c r="K1107" s="96" t="n">
        <v>46254</v>
      </c>
      <c r="O1107" t="inlineStr">
        <is>
          <t>Hrithik Srivastava</t>
        </is>
      </c>
      <c r="Y1107" s="96" t="n">
        <v>46247</v>
      </c>
      <c r="Z1107" t="inlineStr">
        <is>
          <t>https://app.hubspot.com/contacts/243046792/record/0-3/341764649697</t>
        </is>
      </c>
    </row>
    <row r="1108">
      <c r="A1108" t="n">
        <v>1107</v>
      </c>
      <c r="B1108" t="inlineStr">
        <is>
          <t>340265931465</t>
        </is>
      </c>
      <c r="C1108" t="inlineStr">
        <is>
          <t>26-077-IT</t>
        </is>
      </c>
      <c r="D1108" t="inlineStr">
        <is>
          <t xml:space="preserve">Data Readiness and Migration Preparation Services </t>
        </is>
      </c>
      <c r="E1108" t="inlineStr">
        <is>
          <t>Dupage County</t>
        </is>
      </c>
      <c r="F1108" t="inlineStr">
        <is>
          <t>Illinois</t>
        </is>
      </c>
      <c r="G1108" t="inlineStr">
        <is>
          <t>Closed Lost</t>
        </is>
      </c>
      <c r="H1108" t="inlineStr">
        <is>
          <t>No</t>
        </is>
      </c>
      <c r="J1108" s="96" t="n">
        <v>46274</v>
      </c>
      <c r="K1108" s="96" t="n">
        <v>46254</v>
      </c>
      <c r="L1108" t="n">
        <v>185000</v>
      </c>
      <c r="M1108" t="inlineStr">
        <is>
          <t>Modernization / Migration</t>
        </is>
      </c>
      <c r="N1108" t="inlineStr">
        <is>
          <t>Email</t>
        </is>
      </c>
      <c r="O1108" t="inlineStr">
        <is>
          <t>Ashutosh Chauhan</t>
        </is>
      </c>
      <c r="Y1108" s="96" t="n">
        <v>46241</v>
      </c>
      <c r="Z1108" t="inlineStr">
        <is>
          <t>https://app.hubspot.com/contacts/243046792/record/0-3/340265931465</t>
        </is>
      </c>
    </row>
    <row r="1109">
      <c r="A1109" t="n">
        <v>1108</v>
      </c>
      <c r="B1109" t="inlineStr">
        <is>
          <t>341391946478</t>
        </is>
      </c>
      <c r="D1109" t="inlineStr">
        <is>
          <t xml:space="preserve">C++ Programmer </t>
        </is>
      </c>
      <c r="E1109" t="inlineStr">
        <is>
          <t>Fish Ecology Division (Federal)</t>
        </is>
      </c>
      <c r="F1109" t="inlineStr">
        <is>
          <t>Washington</t>
        </is>
      </c>
      <c r="G1109" t="inlineStr">
        <is>
          <t>Submitted</t>
        </is>
      </c>
      <c r="H1109" t="inlineStr">
        <is>
          <t>No</t>
        </is>
      </c>
      <c r="J1109" s="96" t="n">
        <v>46254</v>
      </c>
      <c r="K1109" s="96" t="n">
        <v>46254</v>
      </c>
      <c r="M1109" t="inlineStr">
        <is>
          <t>Staff Augmentation</t>
        </is>
      </c>
      <c r="O1109" t="inlineStr">
        <is>
          <t>Ashutosh Chauhan</t>
        </is>
      </c>
      <c r="Y1109" s="96" t="n">
        <v>46246</v>
      </c>
      <c r="Z1109" t="inlineStr">
        <is>
          <t>https://app.hubspot.com/contacts/243046792/record/0-3/341391946478</t>
        </is>
      </c>
    </row>
    <row r="1110">
      <c r="A1110" t="n">
        <v>1109</v>
      </c>
      <c r="B1110" t="inlineStr">
        <is>
          <t>341764649660</t>
        </is>
      </c>
      <c r="D1110" t="inlineStr">
        <is>
          <t>Microsoft Active Directory Upgrade and Server Migration</t>
        </is>
      </c>
      <c r="E1110" t="inlineStr">
        <is>
          <t>City of Santa Maria</t>
        </is>
      </c>
      <c r="F1110" t="inlineStr">
        <is>
          <t>California</t>
        </is>
      </c>
      <c r="G1110" t="inlineStr">
        <is>
          <t>RFx Cancelled</t>
        </is>
      </c>
      <c r="H1110" t="inlineStr">
        <is>
          <t>No</t>
        </is>
      </c>
      <c r="J1110" s="96" t="n">
        <v>46255</v>
      </c>
      <c r="K1110" s="96" t="n">
        <v>46254</v>
      </c>
      <c r="M1110" t="inlineStr">
        <is>
          <t>Modernization / Migration</t>
        </is>
      </c>
      <c r="O1110" t="inlineStr">
        <is>
          <t>Ashutosh Chauhan</t>
        </is>
      </c>
      <c r="Y1110" s="96" t="n">
        <v>46247</v>
      </c>
      <c r="Z1110" t="inlineStr">
        <is>
          <t>https://app.hubspot.com/contacts/243046792/record/0-3/341764649660</t>
        </is>
      </c>
    </row>
    <row r="1111">
      <c r="A1111" t="n">
        <v>1110</v>
      </c>
      <c r="B1111" t="inlineStr">
        <is>
          <t>340266463983</t>
        </is>
      </c>
      <c r="D1111" t="inlineStr">
        <is>
          <t xml:space="preserve">IT Services </t>
        </is>
      </c>
      <c r="E1111" t="inlineStr">
        <is>
          <t>California Community Action Partnership Association (CalCAPA)</t>
        </is>
      </c>
      <c r="F1111" t="inlineStr">
        <is>
          <t>California</t>
        </is>
      </c>
      <c r="G1111" t="inlineStr">
        <is>
          <t>Submitted</t>
        </is>
      </c>
      <c r="H1111" t="inlineStr">
        <is>
          <t>No</t>
        </is>
      </c>
      <c r="J1111" s="96" t="n">
        <v>46255</v>
      </c>
      <c r="K1111" s="96" t="n">
        <v>46255</v>
      </c>
      <c r="M1111" t="inlineStr">
        <is>
          <t>Managed Services (MSP)</t>
        </is>
      </c>
      <c r="O1111" t="inlineStr">
        <is>
          <t>Ashutosh Chauhan</t>
        </is>
      </c>
      <c r="Y1111" s="96" t="n">
        <v>46239</v>
      </c>
      <c r="Z1111" t="inlineStr">
        <is>
          <t>https://app.hubspot.com/contacts/243046792/record/0-3/340266463983</t>
        </is>
      </c>
    </row>
    <row r="1112">
      <c r="A1112" t="n">
        <v>1111</v>
      </c>
      <c r="B1112" t="inlineStr">
        <is>
          <t>335264577253</t>
        </is>
      </c>
      <c r="C1112" t="inlineStr">
        <is>
          <t>ELAIT2026-02</t>
        </is>
      </c>
      <c r="D1112" t="inlineStr">
        <is>
          <t>Ela Township Managed IT Services</t>
        </is>
      </c>
      <c r="E1112" t="inlineStr">
        <is>
          <t>Ela Township</t>
        </is>
      </c>
      <c r="F1112" t="inlineStr">
        <is>
          <t>Illinois</t>
        </is>
      </c>
      <c r="G1112" t="inlineStr">
        <is>
          <t>Submitted</t>
        </is>
      </c>
      <c r="H1112" t="inlineStr">
        <is>
          <t>No</t>
        </is>
      </c>
      <c r="J1112" s="96" t="n">
        <v>46255</v>
      </c>
      <c r="K1112" s="96" t="n">
        <v>46255</v>
      </c>
      <c r="M1112" t="inlineStr">
        <is>
          <t>Managed Services (MSP)</t>
        </is>
      </c>
      <c r="O1112" t="inlineStr">
        <is>
          <t>Yash More</t>
        </is>
      </c>
      <c r="Y1112" s="96" t="n">
        <v>46217</v>
      </c>
      <c r="Z1112" t="inlineStr">
        <is>
          <t>https://app.hubspot.com/contacts/243046792/record/0-3/335264577253</t>
        </is>
      </c>
    </row>
    <row r="1113">
      <c r="A1113" t="n">
        <v>1112</v>
      </c>
      <c r="B1113" t="inlineStr">
        <is>
          <t>335867245299</t>
        </is>
      </c>
      <c r="D1113" t="inlineStr">
        <is>
          <t xml:space="preserve">Workday Consulting Services </t>
        </is>
      </c>
      <c r="E1113" t="inlineStr">
        <is>
          <t>CITY OF SAN MATEO</t>
        </is>
      </c>
      <c r="F1113" t="inlineStr">
        <is>
          <t>California</t>
        </is>
      </c>
      <c r="G1113" t="inlineStr">
        <is>
          <t>Closed Lost</t>
        </is>
      </c>
      <c r="H1113" t="inlineStr">
        <is>
          <t>No</t>
        </is>
      </c>
      <c r="J1113" s="96" t="n">
        <v>46273</v>
      </c>
      <c r="K1113" s="96" t="n">
        <v>46255</v>
      </c>
      <c r="O1113" t="inlineStr">
        <is>
          <t>Jyothsna Nanda kishore</t>
        </is>
      </c>
      <c r="Y1113" s="96" t="n">
        <v>46218</v>
      </c>
      <c r="Z1113" t="inlineStr">
        <is>
          <t>https://app.hubspot.com/contacts/243046792/record/0-3/335867245299</t>
        </is>
      </c>
    </row>
    <row r="1114">
      <c r="A1114" t="n">
        <v>1113</v>
      </c>
      <c r="B1114" t="inlineStr">
        <is>
          <t>340785154783</t>
        </is>
      </c>
      <c r="C1114" t="inlineStr">
        <is>
          <t>7168</t>
        </is>
      </c>
      <c r="D1114" t="inlineStr">
        <is>
          <t>Emergency Communications Technology Consultant</t>
        </is>
      </c>
      <c r="E1114" t="inlineStr">
        <is>
          <t>Cuyahoga County</t>
        </is>
      </c>
      <c r="F1114" t="inlineStr">
        <is>
          <t>Ohio</t>
        </is>
      </c>
      <c r="G1114" t="inlineStr">
        <is>
          <t>Submitted</t>
        </is>
      </c>
      <c r="H1114" t="inlineStr">
        <is>
          <t>No</t>
        </is>
      </c>
      <c r="J1114" s="96" t="n">
        <v>46255</v>
      </c>
      <c r="K1114" s="96" t="n">
        <v>46255</v>
      </c>
      <c r="M1114" t="inlineStr">
        <is>
          <t>Consulting</t>
        </is>
      </c>
      <c r="N1114" t="inlineStr">
        <is>
          <t>Portal</t>
        </is>
      </c>
      <c r="O1114" t="inlineStr">
        <is>
          <t>Ashutosh Chauhan</t>
        </is>
      </c>
      <c r="Y1114" s="96" t="n">
        <v>46244</v>
      </c>
      <c r="Z1114" t="inlineStr">
        <is>
          <t>https://app.hubspot.com/contacts/243046792/record/0-3/340785154783</t>
        </is>
      </c>
    </row>
    <row r="1115">
      <c r="A1115" t="n">
        <v>1114</v>
      </c>
      <c r="B1115" t="inlineStr">
        <is>
          <t>343611945708</t>
        </is>
      </c>
      <c r="D1115" t="inlineStr">
        <is>
          <t>Cisco End User Quote</t>
        </is>
      </c>
      <c r="E1115" t="inlineStr">
        <is>
          <t xml:space="preserve">New Mexico Finance Authority (“NMFA”) </t>
        </is>
      </c>
      <c r="F1115" t="inlineStr">
        <is>
          <t>New Mexico</t>
        </is>
      </c>
      <c r="G1115" t="inlineStr">
        <is>
          <t>Intent to Award</t>
        </is>
      </c>
      <c r="H1115" t="inlineStr">
        <is>
          <t>No</t>
        </is>
      </c>
      <c r="J1115" s="96" t="n">
        <v>46255</v>
      </c>
      <c r="K1115" s="96" t="n">
        <v>46255</v>
      </c>
      <c r="L1115" t="n">
        <v>916.6900000000001</v>
      </c>
      <c r="M1115" t="inlineStr">
        <is>
          <t>Reseller</t>
        </is>
      </c>
      <c r="N1115" t="inlineStr">
        <is>
          <t>Email</t>
        </is>
      </c>
      <c r="O1115" t="inlineStr">
        <is>
          <t>Ashutosh Chauhan</t>
        </is>
      </c>
      <c r="S1115" s="96" t="n">
        <v>46280</v>
      </c>
      <c r="Y1115" s="96" t="n">
        <v>46258</v>
      </c>
      <c r="Z1115" t="inlineStr">
        <is>
          <t>https://app.hubspot.com/contacts/243046792/record/0-3/343611945708</t>
        </is>
      </c>
    </row>
    <row r="1116">
      <c r="A1116" t="n">
        <v>1115</v>
      </c>
      <c r="B1116" t="inlineStr">
        <is>
          <t>331925481149</t>
        </is>
      </c>
      <c r="C1116" t="inlineStr">
        <is>
          <t>2634-889</t>
        </is>
      </c>
      <c r="D1116" t="inlineStr">
        <is>
          <t>User Experience Design Consultant for WA Cares Fund</t>
        </is>
      </c>
      <c r="E1116" t="inlineStr">
        <is>
          <t>Washington State Department of Social and Health Services</t>
        </is>
      </c>
      <c r="F1116" t="inlineStr">
        <is>
          <t>Washington</t>
        </is>
      </c>
      <c r="G1116" t="inlineStr">
        <is>
          <t>Submitted</t>
        </is>
      </c>
      <c r="H1116" t="inlineStr">
        <is>
          <t>No</t>
        </is>
      </c>
      <c r="J1116" s="96" t="n">
        <v>46240</v>
      </c>
      <c r="K1116" s="96" t="n">
        <v>46240</v>
      </c>
      <c r="L1116" t="n">
        <v>56210</v>
      </c>
      <c r="M1116" t="inlineStr">
        <is>
          <t>Consulting</t>
        </is>
      </c>
      <c r="N1116" t="inlineStr">
        <is>
          <t>Email</t>
        </is>
      </c>
      <c r="O1116" t="inlineStr">
        <is>
          <t>Yash More</t>
        </is>
      </c>
      <c r="Y1116" s="96" t="n">
        <v>46196</v>
      </c>
      <c r="Z1116" t="inlineStr">
        <is>
          <t>https://app.hubspot.com/contacts/243046792/record/0-3/331925481149</t>
        </is>
      </c>
    </row>
    <row r="1117">
      <c r="A1117" t="n">
        <v>1116</v>
      </c>
      <c r="B1117" t="inlineStr">
        <is>
          <t>335261514487</t>
        </is>
      </c>
      <c r="C1117" t="inlineStr">
        <is>
          <t>SRC0000036055</t>
        </is>
      </c>
      <c r="D1117" t="inlineStr">
        <is>
          <t>ODJFS Child Support SETS Modernization RFP</t>
        </is>
      </c>
      <c r="E1117" t="inlineStr">
        <is>
          <t>Ohio Department of Job and Family Services</t>
        </is>
      </c>
      <c r="F1117" t="inlineStr">
        <is>
          <t>Ohio</t>
        </is>
      </c>
      <c r="G1117" t="inlineStr">
        <is>
          <t>Submitted</t>
        </is>
      </c>
      <c r="H1117" t="inlineStr">
        <is>
          <t>No</t>
        </is>
      </c>
      <c r="J1117" s="96" t="n">
        <v>46255</v>
      </c>
      <c r="K1117" s="96" t="n">
        <v>46255</v>
      </c>
      <c r="M1117" t="inlineStr">
        <is>
          <t>Modernization / Migration</t>
        </is>
      </c>
      <c r="O1117" t="inlineStr">
        <is>
          <t>Yash More</t>
        </is>
      </c>
      <c r="Y1117" s="96" t="n">
        <v>46217</v>
      </c>
      <c r="Z1117" t="inlineStr">
        <is>
          <t>https://app.hubspot.com/contacts/243046792/record/0-3/335261514487</t>
        </is>
      </c>
    </row>
    <row r="1118">
      <c r="A1118" t="n">
        <v>1117</v>
      </c>
      <c r="B1118" t="inlineStr">
        <is>
          <t>338920861370</t>
        </is>
      </c>
      <c r="C1118" t="inlineStr">
        <is>
          <t>SFUSD-PD-FY27#86</t>
        </is>
      </c>
      <c r="D1118" t="inlineStr">
        <is>
          <t>Computerized Maintenance Management System (CMMS)</t>
        </is>
      </c>
      <c r="E1118" t="inlineStr">
        <is>
          <t>San Francisco Unified School District (SFUSD)</t>
        </is>
      </c>
      <c r="F1118" t="inlineStr">
        <is>
          <t>California</t>
        </is>
      </c>
      <c r="G1118" t="inlineStr">
        <is>
          <t>Submitted</t>
        </is>
      </c>
      <c r="H1118" t="inlineStr">
        <is>
          <t>No</t>
        </is>
      </c>
      <c r="J1118" s="96" t="n">
        <v>46254</v>
      </c>
      <c r="K1118" s="96" t="n">
        <v>46254</v>
      </c>
      <c r="M1118" t="inlineStr">
        <is>
          <t>Platform Implementation (ERP, CRMs)</t>
        </is>
      </c>
      <c r="O1118" t="inlineStr">
        <is>
          <t>Yash More</t>
        </is>
      </c>
      <c r="Y1118" s="96" t="n">
        <v>46231</v>
      </c>
      <c r="Z1118" t="inlineStr">
        <is>
          <t>https://app.hubspot.com/contacts/243046792/record/0-3/338920861370</t>
        </is>
      </c>
    </row>
    <row r="1119">
      <c r="A1119" t="n">
        <v>1118</v>
      </c>
      <c r="B1119" t="inlineStr">
        <is>
          <t>339241439953</t>
        </is>
      </c>
      <c r="C1119" t="inlineStr">
        <is>
          <t>RFP No. #03-07.026</t>
        </is>
      </c>
      <c r="D1119" t="inlineStr">
        <is>
          <t xml:space="preserve">SaaS Consulting Services </t>
        </is>
      </c>
      <c r="E1119" t="inlineStr">
        <is>
          <t>Monroe County Community College</t>
        </is>
      </c>
      <c r="F1119" t="inlineStr">
        <is>
          <t>Michigan</t>
        </is>
      </c>
      <c r="G1119" t="inlineStr">
        <is>
          <t>Submitted</t>
        </is>
      </c>
      <c r="H1119" t="inlineStr">
        <is>
          <t>No</t>
        </is>
      </c>
      <c r="J1119" s="96" t="n">
        <v>46240</v>
      </c>
      <c r="K1119" s="96" t="n">
        <v>46240</v>
      </c>
      <c r="L1119" t="n">
        <v>335275</v>
      </c>
      <c r="M1119" t="inlineStr">
        <is>
          <t>Consulting</t>
        </is>
      </c>
      <c r="N1119" t="inlineStr">
        <is>
          <t>Email</t>
        </is>
      </c>
      <c r="O1119" t="inlineStr">
        <is>
          <t>Hrithik Srivastava</t>
        </is>
      </c>
      <c r="Y1119" s="96" t="n">
        <v>46232</v>
      </c>
      <c r="Z1119" t="inlineStr">
        <is>
          <t>https://app.hubspot.com/contacts/243046792/record/0-3/339241439953</t>
        </is>
      </c>
    </row>
    <row r="1120">
      <c r="A1120" t="n">
        <v>1119</v>
      </c>
      <c r="B1120" t="inlineStr">
        <is>
          <t>340222101204</t>
        </is>
      </c>
      <c r="C1120" t="inlineStr">
        <is>
          <t>270024</t>
        </is>
      </c>
      <c r="D1120" t="inlineStr">
        <is>
          <t>Independent Voter Data Validation and Automation Protocol Design</t>
        </is>
      </c>
      <c r="E1120" t="inlineStr">
        <is>
          <t>Jefferson County Clerk’s Office (JCC)</t>
        </is>
      </c>
      <c r="F1120" t="inlineStr">
        <is>
          <t>Colorado</t>
        </is>
      </c>
      <c r="G1120" t="inlineStr">
        <is>
          <t>Submitted</t>
        </is>
      </c>
      <c r="H1120" t="inlineStr">
        <is>
          <t>No</t>
        </is>
      </c>
      <c r="J1120" s="96" t="n">
        <v>46248</v>
      </c>
      <c r="K1120" s="96" t="n">
        <v>46248</v>
      </c>
      <c r="L1120" t="n">
        <v>30400</v>
      </c>
      <c r="M1120" t="inlineStr">
        <is>
          <t>Audits and Assessment;Consulting</t>
        </is>
      </c>
      <c r="N1120" t="inlineStr">
        <is>
          <t>Portal</t>
        </is>
      </c>
      <c r="O1120" t="inlineStr">
        <is>
          <t>Yash More</t>
        </is>
      </c>
      <c r="Y1120" s="96" t="n">
        <v>46239</v>
      </c>
      <c r="Z1120" t="inlineStr">
        <is>
          <t>https://app.hubspot.com/contacts/243046792/record/0-3/340222101204</t>
        </is>
      </c>
    </row>
    <row r="1121">
      <c r="A1121" t="n">
        <v>1120</v>
      </c>
      <c r="B1121" t="inlineStr">
        <is>
          <t>340226297531</t>
        </is>
      </c>
      <c r="D1121" t="inlineStr">
        <is>
          <t>Generative AI Training, Policy Development and Policy Implementation</t>
        </is>
      </c>
      <c r="E1121" t="inlineStr">
        <is>
          <t>MERRIMACK COUNTY</t>
        </is>
      </c>
      <c r="F1121" t="inlineStr">
        <is>
          <t>New Hampshire</t>
        </is>
      </c>
      <c r="G1121" t="inlineStr">
        <is>
          <t>Submitted</t>
        </is>
      </c>
      <c r="H1121" t="inlineStr">
        <is>
          <t>No</t>
        </is>
      </c>
      <c r="J1121" s="96" t="n">
        <v>46259</v>
      </c>
      <c r="K1121" s="96" t="n">
        <v>46255</v>
      </c>
      <c r="M1121" t="inlineStr">
        <is>
          <t>Consulting</t>
        </is>
      </c>
      <c r="O1121" t="inlineStr">
        <is>
          <t>Yash More</t>
        </is>
      </c>
      <c r="Y1121" s="96" t="n">
        <v>46240</v>
      </c>
      <c r="Z1121" t="inlineStr">
        <is>
          <t>https://app.hubspot.com/contacts/243046792/record/0-3/340226297531</t>
        </is>
      </c>
    </row>
    <row r="1122">
      <c r="A1122" t="n">
        <v>1121</v>
      </c>
      <c r="B1122" t="inlineStr">
        <is>
          <t>340260896449</t>
        </is>
      </c>
      <c r="D1122" t="inlineStr">
        <is>
          <t xml:space="preserve">MANAGED INFORMATION TECHNOLOGY SERVICES </t>
        </is>
      </c>
      <c r="E1122" t="inlineStr">
        <is>
          <t xml:space="preserve">CITY OF BAYONNE </t>
        </is>
      </c>
      <c r="F1122" t="inlineStr">
        <is>
          <t>New Jersey</t>
        </is>
      </c>
      <c r="G1122" t="inlineStr">
        <is>
          <t>Submitted</t>
        </is>
      </c>
      <c r="H1122" t="inlineStr">
        <is>
          <t>No</t>
        </is>
      </c>
      <c r="J1122" s="96" t="n">
        <v>46248</v>
      </c>
      <c r="K1122" s="96" t="n">
        <v>46248</v>
      </c>
      <c r="L1122" t="n">
        <v>34460</v>
      </c>
      <c r="M1122" t="inlineStr">
        <is>
          <t>Consulting;Managed Services (MSP)</t>
        </is>
      </c>
      <c r="N1122" t="inlineStr">
        <is>
          <t>Offline</t>
        </is>
      </c>
      <c r="O1122" t="inlineStr">
        <is>
          <t>Hrithik Srivastava</t>
        </is>
      </c>
      <c r="Y1122" s="96" t="n">
        <v>46239</v>
      </c>
      <c r="Z1122" t="inlineStr">
        <is>
          <t>https://app.hubspot.com/contacts/243046792/record/0-3/340260896449</t>
        </is>
      </c>
    </row>
    <row r="1123">
      <c r="A1123" t="n">
        <v>1122</v>
      </c>
      <c r="B1123" t="inlineStr">
        <is>
          <t>340263700165</t>
        </is>
      </c>
      <c r="C1123" t="inlineStr">
        <is>
          <t>RFQ-ITS 26-0063</t>
        </is>
      </c>
      <c r="D1123" t="inlineStr">
        <is>
          <t>Enterprise Resource Planning (ERP) Implementation Advisory Services</t>
        </is>
      </c>
      <c r="E1123" t="inlineStr">
        <is>
          <t>City of Davis</t>
        </is>
      </c>
      <c r="F1123" t="inlineStr">
        <is>
          <t>California</t>
        </is>
      </c>
      <c r="G1123" t="inlineStr">
        <is>
          <t>Submitted</t>
        </is>
      </c>
      <c r="H1123" t="inlineStr">
        <is>
          <t>No</t>
        </is>
      </c>
      <c r="J1123" s="96" t="n">
        <v>46253</v>
      </c>
      <c r="K1123" s="96" t="n">
        <v>46253</v>
      </c>
      <c r="L1123" t="n">
        <v>89720</v>
      </c>
      <c r="M1123" t="inlineStr">
        <is>
          <t>Consulting</t>
        </is>
      </c>
      <c r="N1123" t="inlineStr">
        <is>
          <t>Email</t>
        </is>
      </c>
      <c r="O1123" t="inlineStr">
        <is>
          <t>Yash More</t>
        </is>
      </c>
      <c r="Y1123" s="96" t="n">
        <v>46239</v>
      </c>
      <c r="Z1123" t="inlineStr">
        <is>
          <t>https://app.hubspot.com/contacts/243046792/record/0-3/340263700165</t>
        </is>
      </c>
    </row>
    <row r="1124">
      <c r="A1124" t="n">
        <v>1123</v>
      </c>
      <c r="B1124" t="inlineStr">
        <is>
          <t>340266535672</t>
        </is>
      </c>
      <c r="D1124" t="inlineStr">
        <is>
          <t>[Offline] Managed IT and Technical Support Services</t>
        </is>
      </c>
      <c r="E1124" t="inlineStr">
        <is>
          <t>TOWN OF MOUNT VERNON</t>
        </is>
      </c>
      <c r="F1124" t="inlineStr">
        <is>
          <t>New Hampshire</t>
        </is>
      </c>
      <c r="G1124" t="inlineStr">
        <is>
          <t>Submitted</t>
        </is>
      </c>
      <c r="H1124" t="inlineStr">
        <is>
          <t>No</t>
        </is>
      </c>
      <c r="J1124" s="96" t="n">
        <v>46251</v>
      </c>
      <c r="K1124" s="96" t="n">
        <v>46251</v>
      </c>
      <c r="L1124" t="n">
        <v>138800</v>
      </c>
      <c r="M1124" t="inlineStr">
        <is>
          <t>Consulting;Managed Services (MSP)</t>
        </is>
      </c>
      <c r="N1124" t="inlineStr">
        <is>
          <t>Offline</t>
        </is>
      </c>
      <c r="O1124" t="inlineStr">
        <is>
          <t>Hrithik Srivastava</t>
        </is>
      </c>
      <c r="Y1124" s="96" t="n">
        <v>46240</v>
      </c>
      <c r="Z1124" t="inlineStr">
        <is>
          <t>https://app.hubspot.com/contacts/243046792/record/0-3/340266535672</t>
        </is>
      </c>
    </row>
    <row r="1125">
      <c r="A1125" t="n">
        <v>1124</v>
      </c>
      <c r="B1125" t="inlineStr">
        <is>
          <t>340491546352</t>
        </is>
      </c>
      <c r="D1125" t="inlineStr">
        <is>
          <t>Community Action Partnership of Kern - CAPK SOW 2</t>
        </is>
      </c>
      <c r="E1125" t="inlineStr">
        <is>
          <t>Community Action Partnership of Kern</t>
        </is>
      </c>
      <c r="F1125" t="inlineStr">
        <is>
          <t>California</t>
        </is>
      </c>
      <c r="G1125" t="inlineStr">
        <is>
          <t>Closed Won</t>
        </is>
      </c>
      <c r="H1125" t="inlineStr">
        <is>
          <t>No</t>
        </is>
      </c>
      <c r="J1125" s="96" t="n">
        <v>46310</v>
      </c>
      <c r="K1125" s="96" t="n">
        <v>46295</v>
      </c>
      <c r="L1125" t="n">
        <v>48668</v>
      </c>
      <c r="M1125" t="inlineStr">
        <is>
          <t>Custom development;Platform Implementation (ERP, CRMs)</t>
        </is>
      </c>
      <c r="O1125" t="inlineStr">
        <is>
          <t>Ashutosh Chauhan</t>
        </is>
      </c>
      <c r="S1125" s="96" t="n">
        <v>46310</v>
      </c>
      <c r="U1125" s="96" t="n">
        <v>46310</v>
      </c>
      <c r="Y1125" s="96" t="n">
        <v>46241</v>
      </c>
      <c r="Z1125" t="inlineStr">
        <is>
          <t>https://app.hubspot.com/contacts/243046792/record/0-3/340491546352</t>
        </is>
      </c>
    </row>
    <row r="1126">
      <c r="A1126" t="n">
        <v>1125</v>
      </c>
      <c r="B1126" t="inlineStr">
        <is>
          <t>340263702254</t>
        </is>
      </c>
      <c r="D1126" t="inlineStr">
        <is>
          <t>Advanced Email Security</t>
        </is>
      </c>
      <c r="E1126" t="inlineStr">
        <is>
          <t>State of West Virginia</t>
        </is>
      </c>
      <c r="F1126" t="inlineStr">
        <is>
          <t>West Virginia</t>
        </is>
      </c>
      <c r="G1126" t="inlineStr">
        <is>
          <t>Intent to Award</t>
        </is>
      </c>
      <c r="H1126" t="inlineStr">
        <is>
          <t>No</t>
        </is>
      </c>
      <c r="J1126" s="96" t="n">
        <v>46259</v>
      </c>
      <c r="K1126" s="96" t="n">
        <v>46258</v>
      </c>
      <c r="L1126" t="n">
        <v>81400</v>
      </c>
      <c r="M1126" t="inlineStr">
        <is>
          <t>Reseller</t>
        </is>
      </c>
      <c r="O1126" t="inlineStr">
        <is>
          <t>Hrithik Srivastava</t>
        </is>
      </c>
      <c r="S1126" s="96" t="n">
        <v>46315</v>
      </c>
      <c r="Y1126" s="96" t="n">
        <v>46239</v>
      </c>
      <c r="Z1126" t="inlineStr">
        <is>
          <t>https://app.hubspot.com/contacts/243046792/record/0-3/340263702254</t>
        </is>
      </c>
    </row>
    <row r="1127">
      <c r="A1127" t="n">
        <v>1126</v>
      </c>
      <c r="B1127" t="inlineStr">
        <is>
          <t>343126350577</t>
        </is>
      </c>
      <c r="D1127" t="inlineStr">
        <is>
          <t>Consulting and full stack development services for PORTAL and BikePed Portal</t>
        </is>
      </c>
      <c r="E1127" t="inlineStr">
        <is>
          <t>Portland State University</t>
        </is>
      </c>
      <c r="F1127" t="inlineStr">
        <is>
          <t>Oregon</t>
        </is>
      </c>
      <c r="G1127" t="inlineStr">
        <is>
          <t>Closed Lost</t>
        </is>
      </c>
      <c r="H1127" t="inlineStr">
        <is>
          <t>No</t>
        </is>
      </c>
      <c r="J1127" s="96" t="n">
        <v>46297</v>
      </c>
      <c r="K1127" s="96" t="n">
        <v>46258</v>
      </c>
      <c r="O1127" t="inlineStr">
        <is>
          <t>Hrithik Srivastava</t>
        </is>
      </c>
      <c r="Y1127" s="96" t="n">
        <v>46255</v>
      </c>
      <c r="Z1127" t="inlineStr">
        <is>
          <t>https://app.hubspot.com/contacts/243046792/record/0-3/343126350577</t>
        </is>
      </c>
    </row>
    <row r="1128">
      <c r="A1128" t="n">
        <v>1127</v>
      </c>
      <c r="B1128" t="inlineStr">
        <is>
          <t>337719148279</t>
        </is>
      </c>
      <c r="D1128" t="inlineStr">
        <is>
          <t>Database Design and Application Development</t>
        </is>
      </c>
      <c r="E1128" t="inlineStr">
        <is>
          <t>Skagit Valley College</t>
        </is>
      </c>
      <c r="F1128" t="inlineStr">
        <is>
          <t>Washington</t>
        </is>
      </c>
      <c r="G1128" t="inlineStr">
        <is>
          <t>RFx Cancelled</t>
        </is>
      </c>
      <c r="H1128" t="inlineStr">
        <is>
          <t>No</t>
        </is>
      </c>
      <c r="J1128" s="96" t="n">
        <v>46258</v>
      </c>
      <c r="K1128" s="96" t="n">
        <v>46258</v>
      </c>
      <c r="O1128" t="inlineStr">
        <is>
          <t>Ashutosh Chauhan</t>
        </is>
      </c>
      <c r="Y1128" s="96" t="n">
        <v>46226</v>
      </c>
      <c r="Z1128" t="inlineStr">
        <is>
          <t>https://app.hubspot.com/contacts/243046792/record/0-3/337719148279</t>
        </is>
      </c>
    </row>
    <row r="1129">
      <c r="A1129" t="n">
        <v>1128</v>
      </c>
      <c r="B1129" t="inlineStr">
        <is>
          <t>339688035053</t>
        </is>
      </c>
      <c r="C1129" t="inlineStr">
        <is>
          <t>20673</t>
        </is>
      </c>
      <c r="D1129" t="inlineStr">
        <is>
          <t>Managed Security Operations Center</t>
        </is>
      </c>
      <c r="E1129" t="inlineStr">
        <is>
          <t>County of Placer</t>
        </is>
      </c>
      <c r="F1129" t="inlineStr">
        <is>
          <t>California</t>
        </is>
      </c>
      <c r="G1129" t="inlineStr">
        <is>
          <t>Closed Lost</t>
        </is>
      </c>
      <c r="H1129" t="inlineStr">
        <is>
          <t>No</t>
        </is>
      </c>
      <c r="J1129" s="96" t="n">
        <v>46283</v>
      </c>
      <c r="K1129" s="96" t="n">
        <v>46258</v>
      </c>
      <c r="O1129" t="inlineStr">
        <is>
          <t>Ashutosh Chauhan</t>
        </is>
      </c>
      <c r="Y1129" s="96" t="n">
        <v>46234</v>
      </c>
      <c r="Z1129" t="inlineStr">
        <is>
          <t>https://app.hubspot.com/contacts/243046792/record/0-3/339688035053</t>
        </is>
      </c>
    </row>
    <row r="1130">
      <c r="A1130" t="n">
        <v>1129</v>
      </c>
      <c r="B1130" t="inlineStr">
        <is>
          <t>339204272847</t>
        </is>
      </c>
      <c r="D1130" t="inlineStr">
        <is>
          <t xml:space="preserve">EPA Year 1 IT Strategic Plan Implementation Support Services </t>
        </is>
      </c>
      <c r="E1130" t="inlineStr">
        <is>
          <t>City of East Palo Alto</t>
        </is>
      </c>
      <c r="F1130" t="inlineStr">
        <is>
          <t>California</t>
        </is>
      </c>
      <c r="G1130" t="inlineStr">
        <is>
          <t>Closed Lost</t>
        </is>
      </c>
      <c r="H1130" t="inlineStr">
        <is>
          <t>No</t>
        </is>
      </c>
      <c r="J1130" s="96" t="n">
        <v>46302</v>
      </c>
      <c r="K1130" s="96" t="n">
        <v>46258</v>
      </c>
      <c r="L1130" t="n">
        <v>112104</v>
      </c>
      <c r="M1130" t="inlineStr">
        <is>
          <t>Consulting</t>
        </is>
      </c>
      <c r="N1130" t="inlineStr">
        <is>
          <t>Email</t>
        </is>
      </c>
      <c r="O1130" t="inlineStr">
        <is>
          <t>Yash More</t>
        </is>
      </c>
      <c r="Y1130" s="96" t="n">
        <v>46232</v>
      </c>
      <c r="Z1130" t="inlineStr">
        <is>
          <t>https://app.hubspot.com/contacts/243046792/record/0-3/339204272847</t>
        </is>
      </c>
    </row>
    <row r="1131">
      <c r="A1131" t="n">
        <v>1130</v>
      </c>
      <c r="B1131" t="inlineStr">
        <is>
          <t>340262204126</t>
        </is>
      </c>
      <c r="D1131" t="inlineStr">
        <is>
          <t>Hiring a Consultant to Assist with the Choosing, Implementation, and Support of a New Computer Aided Dispatch and Records Management System</t>
        </is>
      </c>
      <c r="E1131" t="inlineStr">
        <is>
          <t>The County of Ontario</t>
        </is>
      </c>
      <c r="F1131" t="inlineStr">
        <is>
          <t>New York</t>
        </is>
      </c>
      <c r="G1131" t="inlineStr">
        <is>
          <t>Submitted</t>
        </is>
      </c>
      <c r="H1131" t="inlineStr">
        <is>
          <t>No</t>
        </is>
      </c>
      <c r="J1131" s="96" t="n">
        <v>46258</v>
      </c>
      <c r="K1131" s="96" t="n">
        <v>46258</v>
      </c>
      <c r="L1131" t="n">
        <v>243200</v>
      </c>
      <c r="M1131" t="inlineStr">
        <is>
          <t>Consulting</t>
        </is>
      </c>
      <c r="O1131" t="inlineStr">
        <is>
          <t>Hrithik Srivastava</t>
        </is>
      </c>
      <c r="Y1131" s="96" t="n">
        <v>46238</v>
      </c>
      <c r="Z1131" t="inlineStr">
        <is>
          <t>https://app.hubspot.com/contacts/243046792/record/0-3/340262204126</t>
        </is>
      </c>
    </row>
    <row r="1132">
      <c r="A1132" t="n">
        <v>1131</v>
      </c>
      <c r="B1132" t="inlineStr">
        <is>
          <t>334067536603</t>
        </is>
      </c>
      <c r="C1132" t="inlineStr">
        <is>
          <t>66114-27-RFP-0707</t>
        </is>
      </c>
      <c r="D1132" t="inlineStr">
        <is>
          <t>OFF - Managed Information Technology (IT) Services</t>
        </is>
      </c>
      <c r="E1132" t="inlineStr">
        <is>
          <t>City of Canton</t>
        </is>
      </c>
      <c r="F1132" t="inlineStr">
        <is>
          <t>Ohio</t>
        </is>
      </c>
      <c r="G1132" t="inlineStr">
        <is>
          <t>Submitted</t>
        </is>
      </c>
      <c r="H1132" t="inlineStr">
        <is>
          <t>No</t>
        </is>
      </c>
      <c r="J1132" s="96" t="n">
        <v>46259</v>
      </c>
      <c r="K1132" s="96" t="n">
        <v>46259</v>
      </c>
      <c r="L1132" t="n">
        <v>92000</v>
      </c>
      <c r="N1132" t="inlineStr">
        <is>
          <t>Offline</t>
        </is>
      </c>
      <c r="O1132" t="inlineStr">
        <is>
          <t>Ashutosh Chauhan</t>
        </is>
      </c>
      <c r="Y1132" s="96" t="n">
        <v>46211</v>
      </c>
      <c r="Z1132" t="inlineStr">
        <is>
          <t>https://app.hubspot.com/contacts/243046792/record/0-3/334067536603</t>
        </is>
      </c>
    </row>
    <row r="1133">
      <c r="A1133" t="n">
        <v>1132</v>
      </c>
      <c r="B1133" t="inlineStr">
        <is>
          <t>342341006014</t>
        </is>
      </c>
      <c r="D1133" t="inlineStr">
        <is>
          <t>IT Managed Services Provider (MSP) Contract</t>
        </is>
      </c>
      <c r="E1133" t="inlineStr">
        <is>
          <t>Town of Milton</t>
        </is>
      </c>
      <c r="F1133" t="inlineStr">
        <is>
          <t>Massachusetts</t>
        </is>
      </c>
      <c r="G1133" t="inlineStr">
        <is>
          <t>Closed Lost</t>
        </is>
      </c>
      <c r="H1133" t="inlineStr">
        <is>
          <t>No</t>
        </is>
      </c>
      <c r="J1133" s="96" t="n">
        <v>46275</v>
      </c>
      <c r="K1133" s="96" t="n">
        <v>46259</v>
      </c>
      <c r="L1133" t="n">
        <v>150624</v>
      </c>
      <c r="M1133" t="inlineStr">
        <is>
          <t>Managed Services (MSP)</t>
        </is>
      </c>
      <c r="N1133" t="inlineStr">
        <is>
          <t>Email</t>
        </is>
      </c>
      <c r="O1133" t="inlineStr">
        <is>
          <t>Ashutosh Chauhan</t>
        </is>
      </c>
      <c r="Y1133" s="96" t="n">
        <v>46251</v>
      </c>
      <c r="Z1133" t="inlineStr">
        <is>
          <t>https://app.hubspot.com/contacts/243046792/record/0-3/342341006014</t>
        </is>
      </c>
    </row>
    <row r="1134">
      <c r="A1134" t="n">
        <v>1133</v>
      </c>
      <c r="B1134" t="inlineStr">
        <is>
          <t>339205651149</t>
        </is>
      </c>
      <c r="D1134" t="inlineStr">
        <is>
          <t xml:space="preserve">Information Technology Managed Services </t>
        </is>
      </c>
      <c r="E1134" t="inlineStr">
        <is>
          <t>City of Maywood</t>
        </is>
      </c>
      <c r="F1134" t="inlineStr">
        <is>
          <t>California</t>
        </is>
      </c>
      <c r="G1134" t="inlineStr">
        <is>
          <t>Closed Lost</t>
        </is>
      </c>
      <c r="H1134" t="inlineStr">
        <is>
          <t>No</t>
        </is>
      </c>
      <c r="J1134" s="96" t="n">
        <v>46303</v>
      </c>
      <c r="K1134" s="96" t="n">
        <v>46259</v>
      </c>
      <c r="M1134" t="inlineStr">
        <is>
          <t>Managed Services (MSP)</t>
        </is>
      </c>
      <c r="O1134" t="inlineStr">
        <is>
          <t>Ashutosh Chauhan</t>
        </is>
      </c>
      <c r="Y1134" s="96" t="n">
        <v>46231</v>
      </c>
      <c r="Z1134" t="inlineStr">
        <is>
          <t>https://app.hubspot.com/contacts/243046792/record/0-3/339205651149</t>
        </is>
      </c>
    </row>
    <row r="1135">
      <c r="A1135" t="n">
        <v>1134</v>
      </c>
      <c r="B1135" t="inlineStr">
        <is>
          <t>335797821128</t>
        </is>
      </c>
      <c r="D1135" t="inlineStr">
        <is>
          <t>OFFLINE Cloud Migration of Server Infrastructure</t>
        </is>
      </c>
      <c r="E1135" t="inlineStr">
        <is>
          <t>City of Cabot</t>
        </is>
      </c>
      <c r="F1135" t="inlineStr">
        <is>
          <t>Arkansas</t>
        </is>
      </c>
      <c r="G1135" t="inlineStr">
        <is>
          <t>Submitted</t>
        </is>
      </c>
      <c r="H1135" t="inlineStr">
        <is>
          <t>No</t>
        </is>
      </c>
      <c r="J1135" s="96" t="n">
        <v>46259</v>
      </c>
      <c r="K1135" s="96" t="n">
        <v>46259</v>
      </c>
      <c r="M1135" t="inlineStr">
        <is>
          <t>Modernization / Migration</t>
        </is>
      </c>
      <c r="O1135" t="inlineStr">
        <is>
          <t>Yash More</t>
        </is>
      </c>
      <c r="Y1135" s="96" t="n">
        <v>46218</v>
      </c>
      <c r="Z1135" t="inlineStr">
        <is>
          <t>https://app.hubspot.com/contacts/243046792/record/0-3/335797821128</t>
        </is>
      </c>
    </row>
    <row r="1136">
      <c r="A1136" t="n">
        <v>1135</v>
      </c>
      <c r="B1136" t="inlineStr">
        <is>
          <t>340266175210</t>
        </is>
      </c>
      <c r="C1136" t="inlineStr">
        <is>
          <t>RFP No. 12-26</t>
        </is>
      </c>
      <c r="D1136" t="inlineStr">
        <is>
          <t>OFF - Managed IT Services</t>
        </is>
      </c>
      <c r="E1136" t="inlineStr">
        <is>
          <t>City of Pleasant Hill</t>
        </is>
      </c>
      <c r="F1136" t="inlineStr">
        <is>
          <t>California</t>
        </is>
      </c>
      <c r="G1136" t="inlineStr">
        <is>
          <t>Submitted</t>
        </is>
      </c>
      <c r="H1136" t="inlineStr">
        <is>
          <t>No</t>
        </is>
      </c>
      <c r="J1136" s="96" t="n">
        <v>46310</v>
      </c>
      <c r="K1136" s="96" t="n">
        <v>46310</v>
      </c>
      <c r="L1136" t="n">
        <v>67200</v>
      </c>
      <c r="M1136" t="inlineStr">
        <is>
          <t>Managed Services (MSP)</t>
        </is>
      </c>
      <c r="N1136" t="inlineStr">
        <is>
          <t>Offline;Email</t>
        </is>
      </c>
      <c r="O1136" t="inlineStr">
        <is>
          <t>Ashutosh Chauhan</t>
        </is>
      </c>
      <c r="Y1136" s="96" t="n">
        <v>46244</v>
      </c>
      <c r="Z1136" t="inlineStr">
        <is>
          <t>https://app.hubspot.com/contacts/243046792/record/0-3/340266175210</t>
        </is>
      </c>
    </row>
    <row r="1137">
      <c r="A1137" t="n">
        <v>1136</v>
      </c>
      <c r="B1137" t="inlineStr">
        <is>
          <t>337949148879</t>
        </is>
      </c>
      <c r="D1137" t="inlineStr">
        <is>
          <t>Managed Technology Services</t>
        </is>
      </c>
      <c r="E1137" t="inlineStr">
        <is>
          <t>City of Isle of Palms</t>
        </is>
      </c>
      <c r="F1137" t="inlineStr">
        <is>
          <t>South Carolina</t>
        </is>
      </c>
      <c r="G1137" t="inlineStr">
        <is>
          <t>Submitted</t>
        </is>
      </c>
      <c r="H1137" t="inlineStr">
        <is>
          <t>No</t>
        </is>
      </c>
      <c r="J1137" s="96" t="n">
        <v>46262</v>
      </c>
      <c r="K1137" s="96" t="n">
        <v>46259</v>
      </c>
      <c r="O1137" t="inlineStr">
        <is>
          <t>Hrithik Srivastava</t>
        </is>
      </c>
      <c r="Y1137" s="96" t="n">
        <v>46226</v>
      </c>
      <c r="Z1137" t="inlineStr">
        <is>
          <t>https://app.hubspot.com/contacts/243046792/record/0-3/337949148879</t>
        </is>
      </c>
    </row>
    <row r="1138">
      <c r="A1138" t="n">
        <v>1137</v>
      </c>
      <c r="B1138" t="inlineStr">
        <is>
          <t>341673935590</t>
        </is>
      </c>
      <c r="C1138" t="inlineStr">
        <is>
          <t>6895</t>
        </is>
      </c>
      <c r="D1138" t="inlineStr">
        <is>
          <t>Third-Party Microsoft Support Svcs</t>
        </is>
      </c>
      <c r="E1138" t="inlineStr">
        <is>
          <t>Washtenaw Community College</t>
        </is>
      </c>
      <c r="F1138" t="inlineStr">
        <is>
          <t>Michigan</t>
        </is>
      </c>
      <c r="G1138" t="inlineStr">
        <is>
          <t>Submitted</t>
        </is>
      </c>
      <c r="H1138" t="inlineStr">
        <is>
          <t>No</t>
        </is>
      </c>
      <c r="J1138" s="96" t="n">
        <v>46259</v>
      </c>
      <c r="K1138" s="96" t="n">
        <v>46259</v>
      </c>
      <c r="M1138" t="inlineStr">
        <is>
          <t>Support &amp; Maintenance</t>
        </is>
      </c>
      <c r="O1138" t="inlineStr">
        <is>
          <t>Yash More</t>
        </is>
      </c>
      <c r="Y1138" s="96" t="n">
        <v>46246</v>
      </c>
      <c r="Z1138" t="inlineStr">
        <is>
          <t>https://app.hubspot.com/contacts/243046792/record/0-3/341673935590</t>
        </is>
      </c>
    </row>
    <row r="1139">
      <c r="A1139" t="n">
        <v>1138</v>
      </c>
      <c r="B1139" t="inlineStr">
        <is>
          <t>337719147232</t>
        </is>
      </c>
      <c r="D1139" t="inlineStr">
        <is>
          <t xml:space="preserve">GIS Support Services </t>
        </is>
      </c>
      <c r="E1139" t="inlineStr">
        <is>
          <t>CITY OF NEW BRITAIN</t>
        </is>
      </c>
      <c r="F1139" t="inlineStr">
        <is>
          <t>Connecticut</t>
        </is>
      </c>
      <c r="G1139" t="inlineStr">
        <is>
          <t>Submitted</t>
        </is>
      </c>
      <c r="H1139" t="inlineStr">
        <is>
          <t>No</t>
        </is>
      </c>
      <c r="J1139" s="96" t="n">
        <v>46262</v>
      </c>
      <c r="K1139" s="96" t="n">
        <v>46259</v>
      </c>
      <c r="M1139" t="inlineStr">
        <is>
          <t>Support &amp; Maintenance</t>
        </is>
      </c>
      <c r="O1139" t="inlineStr">
        <is>
          <t>Hrithik Srivastava</t>
        </is>
      </c>
      <c r="Y1139" s="96" t="n">
        <v>46226</v>
      </c>
      <c r="Z1139" t="inlineStr">
        <is>
          <t>https://app.hubspot.com/contacts/243046792/record/0-3/337719147232</t>
        </is>
      </c>
    </row>
    <row r="1140">
      <c r="A1140" t="n">
        <v>1139</v>
      </c>
      <c r="B1140" t="inlineStr">
        <is>
          <t>340877955802</t>
        </is>
      </c>
      <c r="D1140" t="inlineStr">
        <is>
          <t xml:space="preserve">Public Safety Software Consulting </t>
        </is>
      </c>
      <c r="E1140" t="inlineStr">
        <is>
          <t xml:space="preserve">Rockingham County Emergency Communications </t>
        </is>
      </c>
      <c r="F1140" t="inlineStr">
        <is>
          <t>Virginia</t>
        </is>
      </c>
      <c r="G1140" t="inlineStr">
        <is>
          <t>Submitted</t>
        </is>
      </c>
      <c r="H1140" t="inlineStr">
        <is>
          <t>No</t>
        </is>
      </c>
      <c r="J1140" s="96" t="n">
        <v>46265</v>
      </c>
      <c r="K1140" s="96" t="n">
        <v>46260</v>
      </c>
      <c r="O1140" t="inlineStr">
        <is>
          <t>Hrithik Srivastava</t>
        </is>
      </c>
      <c r="Y1140" s="96" t="n">
        <v>46245</v>
      </c>
      <c r="Z1140" t="inlineStr">
        <is>
          <t>https://app.hubspot.com/contacts/243046792/record/0-3/340877955802</t>
        </is>
      </c>
    </row>
    <row r="1141">
      <c r="A1141" t="n">
        <v>1140</v>
      </c>
      <c r="B1141" t="inlineStr">
        <is>
          <t>339872705212</t>
        </is>
      </c>
      <c r="D1141" t="inlineStr">
        <is>
          <t>MANAGED SECURITY SERVICES PROVIDER</t>
        </is>
      </c>
      <c r="E1141" t="inlineStr">
        <is>
          <t>Columbus Regional Airport Authority</t>
        </is>
      </c>
      <c r="F1141" t="inlineStr">
        <is>
          <t>Ohio</t>
        </is>
      </c>
      <c r="G1141" t="inlineStr">
        <is>
          <t>Submitted</t>
        </is>
      </c>
      <c r="H1141" t="inlineStr">
        <is>
          <t>No</t>
        </is>
      </c>
      <c r="J1141" s="96" t="n">
        <v>46260</v>
      </c>
      <c r="K1141" s="96" t="n">
        <v>46260</v>
      </c>
      <c r="O1141" t="inlineStr">
        <is>
          <t>Hrithik Srivastava</t>
        </is>
      </c>
      <c r="Y1141" s="96" t="n">
        <v>46235</v>
      </c>
      <c r="Z1141" t="inlineStr">
        <is>
          <t>https://app.hubspot.com/contacts/243046792/record/0-3/339872705212</t>
        </is>
      </c>
    </row>
    <row r="1142">
      <c r="A1142" t="n">
        <v>1141</v>
      </c>
      <c r="B1142" t="inlineStr">
        <is>
          <t>340227097294</t>
        </is>
      </c>
      <c r="C1142" t="inlineStr">
        <is>
          <t>RFQ-ITS 26-0063</t>
        </is>
      </c>
      <c r="D1142" t="inlineStr">
        <is>
          <t>Project Portfolio Management (PPM) Dashboard</t>
        </is>
      </c>
      <c r="E1142" t="inlineStr">
        <is>
          <t xml:space="preserve">Department of Forestry and Fire Protection (CAL FIRE) </t>
        </is>
      </c>
      <c r="F1142" t="inlineStr">
        <is>
          <t>California</t>
        </is>
      </c>
      <c r="G1142" t="inlineStr">
        <is>
          <t>Closed Lost</t>
        </is>
      </c>
      <c r="H1142" t="inlineStr">
        <is>
          <t>No</t>
        </is>
      </c>
      <c r="J1142" s="96" t="n">
        <v>46300</v>
      </c>
      <c r="K1142" s="96" t="n">
        <v>46260</v>
      </c>
      <c r="M1142" t="inlineStr">
        <is>
          <t>Consulting</t>
        </is>
      </c>
      <c r="N1142" t="inlineStr">
        <is>
          <t>Email</t>
        </is>
      </c>
      <c r="O1142" t="inlineStr">
        <is>
          <t>Hrithik Srivastava</t>
        </is>
      </c>
      <c r="Y1142" s="96" t="n">
        <v>46241</v>
      </c>
      <c r="Z1142" t="inlineStr">
        <is>
          <t>https://app.hubspot.com/contacts/243046792/record/0-3/340227097294</t>
        </is>
      </c>
    </row>
    <row r="1143">
      <c r="A1143" t="n">
        <v>1142</v>
      </c>
      <c r="B1143" t="inlineStr">
        <is>
          <t>342330119868</t>
        </is>
      </c>
      <c r="D1143" t="inlineStr">
        <is>
          <t>Staff Augmentation for IBM iSeries</t>
        </is>
      </c>
      <c r="E1143" t="inlineStr">
        <is>
          <t>University of Minnesota</t>
        </is>
      </c>
      <c r="F1143" t="inlineStr">
        <is>
          <t>Minnesota</t>
        </is>
      </c>
      <c r="G1143" t="inlineStr">
        <is>
          <t>Closed Lost</t>
        </is>
      </c>
      <c r="H1143" t="inlineStr">
        <is>
          <t>No</t>
        </is>
      </c>
      <c r="J1143" s="96" t="n">
        <v>46300</v>
      </c>
      <c r="K1143" s="96" t="n">
        <v>46260</v>
      </c>
      <c r="O1143" t="inlineStr">
        <is>
          <t>Hrithik Srivastava</t>
        </is>
      </c>
      <c r="Y1143" s="96" t="n">
        <v>46251</v>
      </c>
      <c r="Z1143" t="inlineStr">
        <is>
          <t>https://app.hubspot.com/contacts/243046792/record/0-3/342330119868</t>
        </is>
      </c>
    </row>
    <row r="1144">
      <c r="A1144" t="n">
        <v>1143</v>
      </c>
      <c r="B1144" t="inlineStr">
        <is>
          <t>339559107311</t>
        </is>
      </c>
      <c r="D1144" t="inlineStr">
        <is>
          <t>EPA vCISO Support Services</t>
        </is>
      </c>
      <c r="E1144" t="inlineStr">
        <is>
          <t>City of East Palo Alto</t>
        </is>
      </c>
      <c r="F1144" t="inlineStr">
        <is>
          <t>California</t>
        </is>
      </c>
      <c r="G1144" t="inlineStr">
        <is>
          <t>Closed Lost</t>
        </is>
      </c>
      <c r="H1144" t="inlineStr">
        <is>
          <t>No</t>
        </is>
      </c>
      <c r="J1144" s="96" t="n">
        <v>46302</v>
      </c>
      <c r="K1144" s="96" t="n">
        <v>46260</v>
      </c>
      <c r="M1144" t="inlineStr">
        <is>
          <t>Consulting</t>
        </is>
      </c>
      <c r="N1144" t="inlineStr">
        <is>
          <t>Email</t>
        </is>
      </c>
      <c r="O1144" t="inlineStr">
        <is>
          <t>Yash More</t>
        </is>
      </c>
      <c r="Y1144" s="96" t="n">
        <v>46234</v>
      </c>
      <c r="Z1144" t="inlineStr">
        <is>
          <t>https://app.hubspot.com/contacts/243046792/record/0-3/339559107311</t>
        </is>
      </c>
    </row>
    <row r="1145">
      <c r="A1145" t="n">
        <v>1144</v>
      </c>
      <c r="B1145" t="inlineStr">
        <is>
          <t>335262883519</t>
        </is>
      </c>
      <c r="D1145" t="inlineStr">
        <is>
          <t>OFF - MAPPING AND GEOGRAPHIC INFORMATION SERVICES (GIS)</t>
        </is>
      </c>
      <c r="E1145" t="inlineStr">
        <is>
          <t>City of Canton</t>
        </is>
      </c>
      <c r="F1145" t="inlineStr">
        <is>
          <t>Ohio</t>
        </is>
      </c>
      <c r="G1145" t="inlineStr">
        <is>
          <t>Submitted</t>
        </is>
      </c>
      <c r="H1145" t="inlineStr">
        <is>
          <t>No</t>
        </is>
      </c>
      <c r="J1145" s="96" t="n">
        <v>46258</v>
      </c>
      <c r="K1145" s="96" t="n">
        <v>46260</v>
      </c>
      <c r="O1145" t="inlineStr">
        <is>
          <t>Ashutosh Chauhan</t>
        </is>
      </c>
      <c r="Y1145" s="96" t="n">
        <v>46216</v>
      </c>
      <c r="Z1145" t="inlineStr">
        <is>
          <t>https://app.hubspot.com/contacts/243046792/record/0-3/335262883519</t>
        </is>
      </c>
    </row>
    <row r="1146">
      <c r="A1146" t="n">
        <v>1145</v>
      </c>
      <c r="B1146" t="inlineStr">
        <is>
          <t>340222697182</t>
        </is>
      </c>
      <c r="C1146" t="inlineStr">
        <is>
          <t>26-084</t>
        </is>
      </c>
      <c r="D1146" t="inlineStr">
        <is>
          <t>Enterprise Digital Accessibility Consulting and ADA Compliance Services</t>
        </is>
      </c>
      <c r="E1146" t="inlineStr">
        <is>
          <t>City of College Station</t>
        </is>
      </c>
      <c r="F1146" t="inlineStr">
        <is>
          <t>Texas</t>
        </is>
      </c>
      <c r="G1146" t="inlineStr">
        <is>
          <t>Submitted</t>
        </is>
      </c>
      <c r="H1146" t="inlineStr">
        <is>
          <t>No</t>
        </is>
      </c>
      <c r="J1146" s="96" t="n">
        <v>46261</v>
      </c>
      <c r="K1146" s="96" t="n">
        <v>46260</v>
      </c>
      <c r="O1146" t="inlineStr">
        <is>
          <t>Ashutosh Chauhan</t>
        </is>
      </c>
      <c r="Y1146" s="96" t="n">
        <v>46238</v>
      </c>
      <c r="Z1146" t="inlineStr">
        <is>
          <t>https://app.hubspot.com/contacts/243046792/record/0-3/340222697182</t>
        </is>
      </c>
    </row>
    <row r="1147">
      <c r="A1147" t="n">
        <v>1146</v>
      </c>
      <c r="B1147" t="inlineStr">
        <is>
          <t>339242259167</t>
        </is>
      </c>
      <c r="D1147" t="inlineStr">
        <is>
          <t>HubSpot Design, Implementation, and Support Services IDIQ</t>
        </is>
      </c>
      <c r="E1147" t="inlineStr">
        <is>
          <t>Port of Seattle</t>
        </is>
      </c>
      <c r="F1147" t="inlineStr">
        <is>
          <t>Washington</t>
        </is>
      </c>
      <c r="G1147" t="inlineStr">
        <is>
          <t>Closed Lost</t>
        </is>
      </c>
      <c r="H1147" t="inlineStr">
        <is>
          <t>No</t>
        </is>
      </c>
      <c r="J1147" s="96" t="n">
        <v>46289</v>
      </c>
      <c r="K1147" s="96" t="n">
        <v>46261</v>
      </c>
      <c r="O1147" t="inlineStr">
        <is>
          <t>Hrithik Srivastava</t>
        </is>
      </c>
      <c r="Y1147" s="96" t="n">
        <v>46233</v>
      </c>
      <c r="Z1147" t="inlineStr">
        <is>
          <t>https://app.hubspot.com/contacts/243046792/record/0-3/339242259167</t>
        </is>
      </c>
    </row>
    <row r="1148">
      <c r="A1148" t="n">
        <v>1147</v>
      </c>
      <c r="B1148" t="inlineStr">
        <is>
          <t>340263576281</t>
        </is>
      </c>
      <c r="C1148" t="inlineStr">
        <is>
          <t>2771</t>
        </is>
      </c>
      <c r="D1148" t="inlineStr">
        <is>
          <t>Digital Accessibility Services</t>
        </is>
      </c>
      <c r="E1148" t="inlineStr">
        <is>
          <t>Contra Costa Water District</t>
        </is>
      </c>
      <c r="F1148" t="inlineStr">
        <is>
          <t>California</t>
        </is>
      </c>
      <c r="G1148" t="inlineStr">
        <is>
          <t>Submitted</t>
        </is>
      </c>
      <c r="H1148" t="inlineStr">
        <is>
          <t>No</t>
        </is>
      </c>
      <c r="J1148" s="96" t="n">
        <v>46262</v>
      </c>
      <c r="K1148" s="96" t="n">
        <v>46261</v>
      </c>
      <c r="O1148" t="inlineStr">
        <is>
          <t>Hrithik Srivastava</t>
        </is>
      </c>
      <c r="Y1148" s="96" t="n">
        <v>46238</v>
      </c>
      <c r="Z1148" t="inlineStr">
        <is>
          <t>https://app.hubspot.com/contacts/243046792/record/0-3/340263576281</t>
        </is>
      </c>
    </row>
    <row r="1149">
      <c r="A1149" t="n">
        <v>1148</v>
      </c>
      <c r="B1149" t="inlineStr">
        <is>
          <t>340221250244</t>
        </is>
      </c>
      <c r="C1149" t="inlineStr">
        <is>
          <t>27-022-TUSD1</t>
        </is>
      </c>
      <c r="D1149" t="inlineStr">
        <is>
          <t>Enterprise Resource Planning (ERP) Strategy, Procurement, and Implementation Consulting Services</t>
        </is>
      </c>
      <c r="E1149" t="inlineStr">
        <is>
          <t>Tucson Unified School District</t>
        </is>
      </c>
      <c r="F1149" t="inlineStr">
        <is>
          <t>Arizona</t>
        </is>
      </c>
      <c r="G1149" t="inlineStr">
        <is>
          <t>Submitted</t>
        </is>
      </c>
      <c r="H1149" t="inlineStr">
        <is>
          <t>No</t>
        </is>
      </c>
      <c r="J1149" s="96" t="n">
        <v>46261</v>
      </c>
      <c r="K1149" s="96" t="n">
        <v>46261</v>
      </c>
      <c r="M1149" t="inlineStr">
        <is>
          <t>Audits and Assessment</t>
        </is>
      </c>
      <c r="N1149" t="inlineStr">
        <is>
          <t>Portal</t>
        </is>
      </c>
      <c r="O1149" t="inlineStr">
        <is>
          <t>Yash More</t>
        </is>
      </c>
      <c r="Y1149" s="96" t="n">
        <v>46238</v>
      </c>
      <c r="Z1149" t="inlineStr">
        <is>
          <t>https://app.hubspot.com/contacts/243046792/record/0-3/340221250244</t>
        </is>
      </c>
    </row>
    <row r="1150">
      <c r="A1150" t="n">
        <v>1149</v>
      </c>
      <c r="B1150" t="inlineStr">
        <is>
          <t>337549681365</t>
        </is>
      </c>
      <c r="C1150" t="inlineStr">
        <is>
          <t>2026-RFP-DP-003</t>
        </is>
      </c>
      <c r="D1150" t="inlineStr">
        <is>
          <t>Consulting Services to Advise on Artificial Intelligence (AI) Use</t>
        </is>
      </c>
      <c r="E1150" t="inlineStr">
        <is>
          <t>Housing Authority of the City of Alameda</t>
        </is>
      </c>
      <c r="F1150" t="inlineStr">
        <is>
          <t>California</t>
        </is>
      </c>
      <c r="G1150" t="inlineStr">
        <is>
          <t>Submitted</t>
        </is>
      </c>
      <c r="H1150" t="inlineStr">
        <is>
          <t>No</t>
        </is>
      </c>
      <c r="J1150" s="96" t="n">
        <v>46260</v>
      </c>
      <c r="K1150" s="96" t="n">
        <v>46261</v>
      </c>
      <c r="M1150" t="inlineStr">
        <is>
          <t>Consulting</t>
        </is>
      </c>
      <c r="O1150" t="inlineStr">
        <is>
          <t>Yash More</t>
        </is>
      </c>
      <c r="Y1150" s="96" t="n">
        <v>46226</v>
      </c>
      <c r="Z1150" t="inlineStr">
        <is>
          <t>https://app.hubspot.com/contacts/243046792/record/0-3/337549681365</t>
        </is>
      </c>
    </row>
    <row r="1151">
      <c r="A1151" t="n">
        <v>1150</v>
      </c>
      <c r="B1151" t="inlineStr">
        <is>
          <t>343825812216</t>
        </is>
      </c>
      <c r="D1151" t="inlineStr">
        <is>
          <t>Investment Data Warehouse (IDW) Technical Resources</t>
        </is>
      </c>
      <c r="E1151" t="inlineStr">
        <is>
          <t>California State Teachers' Retirement System</t>
        </is>
      </c>
      <c r="F1151" t="inlineStr">
        <is>
          <t>California</t>
        </is>
      </c>
      <c r="G1151" t="inlineStr">
        <is>
          <t>Submitted</t>
        </is>
      </c>
      <c r="H1151" t="inlineStr">
        <is>
          <t>No</t>
        </is>
      </c>
      <c r="J1151" s="96" t="n">
        <v>46262</v>
      </c>
      <c r="K1151" s="96" t="n">
        <v>46262</v>
      </c>
      <c r="O1151" t="inlineStr">
        <is>
          <t>Ashutosh Chauhan</t>
        </is>
      </c>
      <c r="Y1151" s="96" t="n">
        <v>46259</v>
      </c>
      <c r="Z1151" t="inlineStr">
        <is>
          <t>https://app.hubspot.com/contacts/243046792/record/0-3/343825812216</t>
        </is>
      </c>
    </row>
    <row r="1152">
      <c r="A1152" t="n">
        <v>1151</v>
      </c>
      <c r="B1152" t="inlineStr">
        <is>
          <t>340785154807</t>
        </is>
      </c>
      <c r="C1152" t="inlineStr">
        <is>
          <t>2026-001-049</t>
        </is>
      </c>
      <c r="D1152" t="inlineStr">
        <is>
          <t>Managed Email Security Solution RFP</t>
        </is>
      </c>
      <c r="E1152" t="inlineStr">
        <is>
          <t>Cherokee Nation Business</t>
        </is>
      </c>
      <c r="F1152" t="inlineStr">
        <is>
          <t>Oklahoma</t>
        </is>
      </c>
      <c r="G1152" t="inlineStr">
        <is>
          <t>Submitted</t>
        </is>
      </c>
      <c r="H1152" t="inlineStr">
        <is>
          <t>No</t>
        </is>
      </c>
      <c r="J1152" s="96" t="n">
        <v>46262</v>
      </c>
      <c r="K1152" s="96" t="n">
        <v>46262</v>
      </c>
      <c r="M1152" t="inlineStr">
        <is>
          <t>Managed Services (MSP)</t>
        </is>
      </c>
      <c r="O1152" t="inlineStr">
        <is>
          <t>Ashutosh Chauhan</t>
        </is>
      </c>
      <c r="Y1152" s="96" t="n">
        <v>46244</v>
      </c>
      <c r="Z1152" t="inlineStr">
        <is>
          <t>https://app.hubspot.com/contacts/243046792/record/0-3/340785154807</t>
        </is>
      </c>
    </row>
    <row r="1153">
      <c r="A1153" t="n">
        <v>1152</v>
      </c>
      <c r="B1153" t="inlineStr">
        <is>
          <t>340227330770</t>
        </is>
      </c>
      <c r="C1153" t="inlineStr">
        <is>
          <t>FHA-RFP2026-01</t>
        </is>
      </c>
      <c r="D1153" t="inlineStr">
        <is>
          <t>OFFLINE Managed IT Services</t>
        </is>
      </c>
      <c r="E1153" t="inlineStr">
        <is>
          <t>Franklin Housing Authority</t>
        </is>
      </c>
      <c r="F1153" t="inlineStr">
        <is>
          <t>Tennessee</t>
        </is>
      </c>
      <c r="G1153" t="inlineStr">
        <is>
          <t>Submitted</t>
        </is>
      </c>
      <c r="H1153" t="inlineStr">
        <is>
          <t>No</t>
        </is>
      </c>
      <c r="J1153" s="96" t="n">
        <v>46265</v>
      </c>
      <c r="K1153" s="96" t="n">
        <v>46262</v>
      </c>
      <c r="M1153" t="inlineStr">
        <is>
          <t>Managed Services (MSP)</t>
        </is>
      </c>
      <c r="O1153" t="inlineStr">
        <is>
          <t>Yash More</t>
        </is>
      </c>
      <c r="Y1153" s="96" t="n">
        <v>46244</v>
      </c>
      <c r="Z1153" t="inlineStr">
        <is>
          <t>https://app.hubspot.com/contacts/243046792/record/0-3/340227330770</t>
        </is>
      </c>
    </row>
    <row r="1154">
      <c r="A1154" t="n">
        <v>1153</v>
      </c>
      <c r="B1154" t="inlineStr">
        <is>
          <t>337284643518</t>
        </is>
      </c>
      <c r="D1154" t="inlineStr">
        <is>
          <t>Managed Information Technology Consulting Services</t>
        </is>
      </c>
      <c r="E1154" t="inlineStr">
        <is>
          <t>Village of Inverness</t>
        </is>
      </c>
      <c r="F1154" t="inlineStr">
        <is>
          <t>Illinois</t>
        </is>
      </c>
      <c r="G1154" t="inlineStr">
        <is>
          <t>Closed Lost</t>
        </is>
      </c>
      <c r="H1154" t="inlineStr">
        <is>
          <t>No</t>
        </is>
      </c>
      <c r="J1154" s="96" t="n">
        <v>46286</v>
      </c>
      <c r="K1154" s="96" t="n">
        <v>46262</v>
      </c>
      <c r="O1154" t="inlineStr">
        <is>
          <t>Ashutosh Chauhan</t>
        </is>
      </c>
      <c r="Y1154" s="96" t="n">
        <v>46224</v>
      </c>
      <c r="Z1154" t="inlineStr">
        <is>
          <t>https://app.hubspot.com/contacts/243046792/record/0-3/337284643518</t>
        </is>
      </c>
    </row>
    <row r="1155">
      <c r="A1155" t="n">
        <v>1154</v>
      </c>
      <c r="B1155" t="inlineStr">
        <is>
          <t>340785149663</t>
        </is>
      </c>
      <c r="C1155" t="inlineStr">
        <is>
          <t>RFP 2026-005</t>
        </is>
      </c>
      <c r="D1155" t="inlineStr">
        <is>
          <t>IT Managed Services RFP (Re-Issue)</t>
        </is>
      </c>
      <c r="E1155" t="inlineStr">
        <is>
          <t>Regional Transit Authority of Southeast Michigan</t>
        </is>
      </c>
      <c r="F1155" t="inlineStr">
        <is>
          <t>Michigan</t>
        </is>
      </c>
      <c r="G1155" t="inlineStr">
        <is>
          <t>Submitted</t>
        </is>
      </c>
      <c r="H1155" t="inlineStr">
        <is>
          <t>No</t>
        </is>
      </c>
      <c r="J1155" s="96" t="n">
        <v>46262</v>
      </c>
      <c r="K1155" s="96" t="n">
        <v>46262</v>
      </c>
      <c r="L1155" t="n">
        <v>222207.22</v>
      </c>
      <c r="M1155" t="inlineStr">
        <is>
          <t>Managed Services (MSP)</t>
        </is>
      </c>
      <c r="N1155" t="inlineStr">
        <is>
          <t>Portal</t>
        </is>
      </c>
      <c r="O1155" t="inlineStr">
        <is>
          <t>Yash More</t>
        </is>
      </c>
      <c r="Y1155" s="96" t="n">
        <v>46244</v>
      </c>
      <c r="Z1155" t="inlineStr">
        <is>
          <t>https://app.hubspot.com/contacts/243046792/record/0-3/340785149663</t>
        </is>
      </c>
    </row>
    <row r="1156">
      <c r="A1156" t="n">
        <v>1155</v>
      </c>
      <c r="B1156" t="inlineStr">
        <is>
          <t>343126348490</t>
        </is>
      </c>
      <c r="D1156" t="inlineStr">
        <is>
          <t>IT Managed Services Provider</t>
        </is>
      </c>
      <c r="E1156" t="inlineStr">
        <is>
          <t>Community Desk Chicago</t>
        </is>
      </c>
      <c r="F1156" t="inlineStr">
        <is>
          <t>Illinois</t>
        </is>
      </c>
      <c r="G1156" t="inlineStr">
        <is>
          <t>Closed Lost</t>
        </is>
      </c>
      <c r="H1156" t="inlineStr">
        <is>
          <t>No</t>
        </is>
      </c>
      <c r="J1156" s="96" t="n">
        <v>46316</v>
      </c>
      <c r="K1156" s="96" t="n">
        <v>46265</v>
      </c>
      <c r="L1156" t="n">
        <v>33300</v>
      </c>
      <c r="M1156" t="inlineStr">
        <is>
          <t>Managed Services (MSP)</t>
        </is>
      </c>
      <c r="O1156" t="inlineStr">
        <is>
          <t>Hrithik Srivastava</t>
        </is>
      </c>
      <c r="Y1156" s="96" t="n">
        <v>46255</v>
      </c>
      <c r="Z1156" t="inlineStr">
        <is>
          <t>https://app.hubspot.com/contacts/243046792/record/0-3/343126348490</t>
        </is>
      </c>
    </row>
    <row r="1157">
      <c r="A1157" t="n">
        <v>1156</v>
      </c>
      <c r="B1157" t="inlineStr">
        <is>
          <t>343958642382</t>
        </is>
      </c>
      <c r="C1157" t="inlineStr">
        <is>
          <t>IT-RFP-2026</t>
        </is>
      </c>
      <c r="D1157" t="inlineStr">
        <is>
          <t>Request for Proposal (RFP) for Technology Services</t>
        </is>
      </c>
      <c r="E1157" t="inlineStr">
        <is>
          <t>The Center for Law and Social Policy (CLASP)</t>
        </is>
      </c>
      <c r="F1157" t="inlineStr">
        <is>
          <t>District of Columbia</t>
        </is>
      </c>
      <c r="G1157" t="inlineStr">
        <is>
          <t>Interview</t>
        </is>
      </c>
      <c r="H1157" t="inlineStr">
        <is>
          <t>Yes</t>
        </is>
      </c>
      <c r="J1157" s="96" t="n">
        <v>46265</v>
      </c>
      <c r="K1157" s="96" t="n">
        <v>46265</v>
      </c>
      <c r="L1157" t="n">
        <v>171190</v>
      </c>
      <c r="M1157" t="inlineStr">
        <is>
          <t>Consulting;Managed Services (MSP)</t>
        </is>
      </c>
      <c r="O1157" t="inlineStr">
        <is>
          <t>Hrithik Srivastava</t>
        </is>
      </c>
      <c r="Q1157" s="96" t="n">
        <v>46294</v>
      </c>
      <c r="Y1157" s="96" t="n">
        <v>46259</v>
      </c>
      <c r="Z1157" t="inlineStr">
        <is>
          <t>https://app.hubspot.com/contacts/243046792/record/0-3/343958642382</t>
        </is>
      </c>
    </row>
    <row r="1158">
      <c r="A1158" t="n">
        <v>1157</v>
      </c>
      <c r="B1158" t="inlineStr">
        <is>
          <t>340227089087</t>
        </is>
      </c>
      <c r="D1158" t="inlineStr">
        <is>
          <t>Salesforce &amp; Systems Administrator</t>
        </is>
      </c>
      <c r="E1158" t="inlineStr">
        <is>
          <t>Canopy</t>
        </is>
      </c>
      <c r="F1158" t="inlineStr">
        <is>
          <t>California</t>
        </is>
      </c>
      <c r="G1158" t="inlineStr">
        <is>
          <t>Submitted</t>
        </is>
      </c>
      <c r="H1158" t="inlineStr">
        <is>
          <t>No</t>
        </is>
      </c>
      <c r="J1158" s="96" t="n">
        <v>46266</v>
      </c>
      <c r="K1158" s="96" t="n">
        <v>46265</v>
      </c>
      <c r="O1158" t="inlineStr">
        <is>
          <t>Ashutosh Chauhan</t>
        </is>
      </c>
      <c r="Y1158" s="96" t="n">
        <v>46241</v>
      </c>
      <c r="Z1158" t="inlineStr">
        <is>
          <t>https://app.hubspot.com/contacts/243046792/record/0-3/340227089087</t>
        </is>
      </c>
    </row>
    <row r="1159">
      <c r="A1159" t="n">
        <v>1158</v>
      </c>
      <c r="B1159" t="inlineStr">
        <is>
          <t>333486453483</t>
        </is>
      </c>
      <c r="C1159" t="inlineStr">
        <is>
          <t>2025-19</t>
        </is>
      </c>
      <c r="D1159" t="inlineStr">
        <is>
          <t>Microsoft 365 and Related Cloud Services Development, Administration, and Support</t>
        </is>
      </c>
      <c r="E1159" t="inlineStr">
        <is>
          <t>Covered California</t>
        </is>
      </c>
      <c r="F1159" t="inlineStr">
        <is>
          <t>California</t>
        </is>
      </c>
      <c r="G1159" t="inlineStr">
        <is>
          <t>Submitted</t>
        </is>
      </c>
      <c r="H1159" t="inlineStr">
        <is>
          <t>No</t>
        </is>
      </c>
      <c r="J1159" s="96" t="n">
        <v>46265</v>
      </c>
      <c r="K1159" s="96" t="n">
        <v>46265</v>
      </c>
      <c r="O1159" t="inlineStr">
        <is>
          <t>Ashutosh Chauhan</t>
        </is>
      </c>
      <c r="Y1159" s="96" t="n">
        <v>46203</v>
      </c>
      <c r="Z1159" t="inlineStr">
        <is>
          <t>https://app.hubspot.com/contacts/243046792/record/0-3/333486453483</t>
        </is>
      </c>
    </row>
    <row r="1160">
      <c r="A1160" t="n">
        <v>1159</v>
      </c>
      <c r="B1160" t="inlineStr">
        <is>
          <t>343124343538</t>
        </is>
      </c>
      <c r="D1160" t="inlineStr">
        <is>
          <t>PROFESSIONAL SERVICES</t>
        </is>
      </c>
      <c r="E1160" t="inlineStr">
        <is>
          <t>Rice Creek Watershed District</t>
        </is>
      </c>
      <c r="F1160" t="inlineStr">
        <is>
          <t>Minnesota</t>
        </is>
      </c>
      <c r="G1160" t="inlineStr">
        <is>
          <t>Submitted</t>
        </is>
      </c>
      <c r="H1160" t="inlineStr">
        <is>
          <t>No</t>
        </is>
      </c>
      <c r="J1160" s="96" t="n">
        <v>46269</v>
      </c>
      <c r="K1160" s="96" t="n">
        <v>46265</v>
      </c>
      <c r="M1160" t="inlineStr">
        <is>
          <t>Managed Services (MSP);Consulting</t>
        </is>
      </c>
      <c r="N1160" t="inlineStr">
        <is>
          <t>Email</t>
        </is>
      </c>
      <c r="O1160" t="inlineStr">
        <is>
          <t>Hrithik Srivastava</t>
        </is>
      </c>
      <c r="Y1160" s="96" t="n">
        <v>46257</v>
      </c>
      <c r="Z1160" t="inlineStr">
        <is>
          <t>https://app.hubspot.com/contacts/243046792/record/0-3/343124343538</t>
        </is>
      </c>
    </row>
    <row r="1161">
      <c r="A1161" t="n">
        <v>1160</v>
      </c>
      <c r="B1161" t="inlineStr">
        <is>
          <t>340614390470</t>
        </is>
      </c>
      <c r="C1161" t="inlineStr">
        <is>
          <t>123978</t>
        </is>
      </c>
      <c r="D1161" t="inlineStr">
        <is>
          <t xml:space="preserve">Technical Services for Networking and Infrastructure </t>
        </is>
      </c>
      <c r="E1161" t="inlineStr">
        <is>
          <t>Alexandria City public schools</t>
        </is>
      </c>
      <c r="F1161" t="inlineStr">
        <is>
          <t>Virginia</t>
        </is>
      </c>
      <c r="G1161" t="inlineStr">
        <is>
          <t>Interview</t>
        </is>
      </c>
      <c r="H1161" t="inlineStr">
        <is>
          <t>Yes</t>
        </is>
      </c>
      <c r="J1161" s="96" t="n">
        <v>46266</v>
      </c>
      <c r="K1161" s="96" t="n">
        <v>46265</v>
      </c>
      <c r="M1161" t="inlineStr">
        <is>
          <t>Consulting;Managed Services (MSP);Audits and Assessment</t>
        </is>
      </c>
      <c r="N1161" t="inlineStr">
        <is>
          <t>Portal</t>
        </is>
      </c>
      <c r="O1161" t="inlineStr">
        <is>
          <t>Ashutosh Chauhan</t>
        </is>
      </c>
      <c r="Q1161" s="96" t="n">
        <v>46294</v>
      </c>
      <c r="Y1161" s="96" t="n">
        <v>46241</v>
      </c>
      <c r="Z1161" t="inlineStr">
        <is>
          <t>https://app.hubspot.com/contacts/243046792/record/0-3/340614390470</t>
        </is>
      </c>
    </row>
    <row r="1162">
      <c r="A1162" t="n">
        <v>1161</v>
      </c>
      <c r="B1162" t="inlineStr">
        <is>
          <t>341765379791</t>
        </is>
      </c>
      <c r="D1162" t="inlineStr">
        <is>
          <t>Managed End-Point Detection and Response Software and Services</t>
        </is>
      </c>
      <c r="E1162" t="inlineStr">
        <is>
          <t xml:space="preserve">City of Biloxi	</t>
        </is>
      </c>
      <c r="F1162" t="inlineStr">
        <is>
          <t>Mississippi</t>
        </is>
      </c>
      <c r="G1162" t="inlineStr">
        <is>
          <t>Interview</t>
        </is>
      </c>
      <c r="H1162" t="inlineStr">
        <is>
          <t>Yes</t>
        </is>
      </c>
      <c r="J1162" s="96" t="n">
        <v>46265</v>
      </c>
      <c r="K1162" s="96" t="n">
        <v>46265</v>
      </c>
      <c r="M1162" t="inlineStr">
        <is>
          <t>Managed Services (MSP)</t>
        </is>
      </c>
      <c r="O1162" t="inlineStr">
        <is>
          <t>Ashutosh Chauhan</t>
        </is>
      </c>
      <c r="Q1162" s="96" t="n">
        <v>46275</v>
      </c>
      <c r="Y1162" s="96" t="n">
        <v>46247</v>
      </c>
      <c r="Z1162" t="inlineStr">
        <is>
          <t>https://app.hubspot.com/contacts/243046792/record/0-3/341765379791</t>
        </is>
      </c>
    </row>
    <row r="1163">
      <c r="A1163" t="n">
        <v>1162</v>
      </c>
      <c r="B1163" t="inlineStr">
        <is>
          <t>339566252749</t>
        </is>
      </c>
      <c r="D1163" t="inlineStr">
        <is>
          <t>Managed Information Technology Services, Microsoft 365 Migration, and Microsoft Licensing</t>
        </is>
      </c>
      <c r="E1163" t="inlineStr">
        <is>
          <t>Town of Madison</t>
        </is>
      </c>
      <c r="F1163" t="inlineStr">
        <is>
          <t>Connecticut</t>
        </is>
      </c>
      <c r="G1163" t="inlineStr">
        <is>
          <t>Submitted</t>
        </is>
      </c>
      <c r="H1163" t="inlineStr">
        <is>
          <t>No</t>
        </is>
      </c>
      <c r="J1163" s="96" t="n">
        <v>46265</v>
      </c>
      <c r="K1163" s="96" t="n">
        <v>46265</v>
      </c>
      <c r="M1163" t="inlineStr">
        <is>
          <t>Managed Services (MSP)</t>
        </is>
      </c>
      <c r="O1163" t="inlineStr">
        <is>
          <t>Yash More</t>
        </is>
      </c>
      <c r="Y1163" s="96" t="n">
        <v>46234</v>
      </c>
      <c r="Z1163" t="inlineStr">
        <is>
          <t>https://app.hubspot.com/contacts/243046792/record/0-3/339566252749</t>
        </is>
      </c>
    </row>
    <row r="1164">
      <c r="A1164" t="n">
        <v>1163</v>
      </c>
      <c r="B1164" t="inlineStr">
        <is>
          <t>342018932418</t>
        </is>
      </c>
      <c r="D1164" t="inlineStr">
        <is>
          <t xml:space="preserve">Dashboard and Scorecard System for Public Health Program Performance </t>
        </is>
      </c>
      <c r="E1164" t="inlineStr">
        <is>
          <t>BUNCOMBE COUNTY</t>
        </is>
      </c>
      <c r="F1164" t="inlineStr">
        <is>
          <t>North Carolina</t>
        </is>
      </c>
      <c r="G1164" t="inlineStr">
        <is>
          <t>Submitted</t>
        </is>
      </c>
      <c r="H1164" t="inlineStr">
        <is>
          <t>No</t>
        </is>
      </c>
      <c r="J1164" s="96" t="n">
        <v>46267</v>
      </c>
      <c r="K1164" s="96" t="n">
        <v>46265</v>
      </c>
      <c r="N1164" t="inlineStr">
        <is>
          <t>Email</t>
        </is>
      </c>
      <c r="O1164" t="inlineStr">
        <is>
          <t>Hrithik Srivastava</t>
        </is>
      </c>
      <c r="Y1164" s="96" t="n">
        <v>46241</v>
      </c>
      <c r="Z1164" t="inlineStr">
        <is>
          <t>https://app.hubspot.com/contacts/243046792/record/0-3/342018932418</t>
        </is>
      </c>
    </row>
    <row r="1165">
      <c r="A1165" t="n">
        <v>1164</v>
      </c>
      <c r="B1165" t="inlineStr">
        <is>
          <t>343587778289</t>
        </is>
      </c>
      <c r="D1165" t="inlineStr">
        <is>
          <t>Salesforce System Enhancement &amp; Optimization</t>
        </is>
      </c>
      <c r="E1165" t="inlineStr">
        <is>
          <t>Umoja Community Education Fund (UCEF)</t>
        </is>
      </c>
      <c r="F1165" t="inlineStr">
        <is>
          <t>California</t>
        </is>
      </c>
      <c r="G1165" t="inlineStr">
        <is>
          <t>Submitted</t>
        </is>
      </c>
      <c r="H1165" t="inlineStr">
        <is>
          <t>No</t>
        </is>
      </c>
      <c r="J1165" s="96" t="n">
        <v>46267</v>
      </c>
      <c r="K1165" s="96" t="n">
        <v>46265</v>
      </c>
      <c r="N1165" t="inlineStr">
        <is>
          <t>Email</t>
        </is>
      </c>
      <c r="O1165" t="inlineStr">
        <is>
          <t>Hrithik Srivastava</t>
        </is>
      </c>
      <c r="Y1165" s="96" t="n">
        <v>46258</v>
      </c>
      <c r="Z1165" t="inlineStr">
        <is>
          <t>https://app.hubspot.com/contacts/243046792/record/0-3/343587778289</t>
        </is>
      </c>
    </row>
    <row r="1166">
      <c r="A1166" t="n">
        <v>1165</v>
      </c>
      <c r="B1166" t="inlineStr">
        <is>
          <t>340265815743</t>
        </is>
      </c>
      <c r="D1166" t="inlineStr">
        <is>
          <t xml:space="preserve">Customer Support System </t>
        </is>
      </c>
      <c r="E1166" t="inlineStr">
        <is>
          <t>Massachusetts Office of the Inspector General</t>
        </is>
      </c>
      <c r="F1166" t="inlineStr">
        <is>
          <t>Massachusetts</t>
        </is>
      </c>
      <c r="G1166" t="inlineStr">
        <is>
          <t>Closed Lost</t>
        </is>
      </c>
      <c r="H1166" t="inlineStr">
        <is>
          <t>No</t>
        </is>
      </c>
      <c r="J1166" s="96" t="n">
        <v>46297</v>
      </c>
      <c r="K1166" s="96" t="n">
        <v>46265</v>
      </c>
      <c r="O1166" t="inlineStr">
        <is>
          <t>Hrithik Srivastava</t>
        </is>
      </c>
      <c r="Y1166" s="96" t="n">
        <v>46240</v>
      </c>
      <c r="Z1166" t="inlineStr">
        <is>
          <t>https://app.hubspot.com/contacts/243046792/record/0-3/340265815743</t>
        </is>
      </c>
    </row>
    <row r="1167">
      <c r="A1167" t="n">
        <v>1166</v>
      </c>
      <c r="B1167" t="inlineStr">
        <is>
          <t>340222691003</t>
        </is>
      </c>
      <c r="D1167" t="inlineStr">
        <is>
          <t>Retainer Contract Opportunity for Information Technology (IT) Services</t>
        </is>
      </c>
      <c r="E1167" t="inlineStr">
        <is>
          <t>State of Vermont (Department of Buildings and General Services)</t>
        </is>
      </c>
      <c r="F1167" t="inlineStr">
        <is>
          <t>Vermont</t>
        </is>
      </c>
      <c r="G1167" t="inlineStr">
        <is>
          <t>Submitted</t>
        </is>
      </c>
      <c r="H1167" t="inlineStr">
        <is>
          <t>No</t>
        </is>
      </c>
      <c r="J1167" s="96" t="n">
        <v>46267</v>
      </c>
      <c r="K1167" s="96" t="n">
        <v>46267</v>
      </c>
      <c r="M1167" t="inlineStr">
        <is>
          <t>Staff Augmentation</t>
        </is>
      </c>
      <c r="O1167" t="inlineStr">
        <is>
          <t>Yash More</t>
        </is>
      </c>
      <c r="Y1167" s="96" t="n">
        <v>46238</v>
      </c>
      <c r="Z1167" t="inlineStr">
        <is>
          <t>https://app.hubspot.com/contacts/243046792/record/0-3/340222691003</t>
        </is>
      </c>
    </row>
    <row r="1168">
      <c r="A1168" t="n">
        <v>1167</v>
      </c>
      <c r="B1168" t="inlineStr">
        <is>
          <t>340223358656</t>
        </is>
      </c>
      <c r="D1168" t="inlineStr">
        <is>
          <t>Information Technology Services</t>
        </is>
      </c>
      <c r="E1168" t="inlineStr">
        <is>
          <t>Orange County Employees Retirement System (OCERS)</t>
        </is>
      </c>
      <c r="F1168" t="inlineStr">
        <is>
          <t>California</t>
        </is>
      </c>
      <c r="G1168" t="inlineStr">
        <is>
          <t>Submitted</t>
        </is>
      </c>
      <c r="H1168" t="inlineStr">
        <is>
          <t>No</t>
        </is>
      </c>
      <c r="J1168" s="96" t="n">
        <v>46283</v>
      </c>
      <c r="K1168" s="96" t="n">
        <v>46283</v>
      </c>
      <c r="O1168" t="inlineStr">
        <is>
          <t>Hrithik Srivastava</t>
        </is>
      </c>
      <c r="Y1168" s="96" t="n">
        <v>46238</v>
      </c>
      <c r="Z1168" t="inlineStr">
        <is>
          <t>https://app.hubspot.com/contacts/243046792/record/0-3/340223358656</t>
        </is>
      </c>
    </row>
    <row r="1169">
      <c r="A1169" t="n">
        <v>1168</v>
      </c>
      <c r="B1169" t="inlineStr">
        <is>
          <t>344147314377</t>
        </is>
      </c>
      <c r="C1169" t="inlineStr">
        <is>
          <t>BD-26-340-3401-1993</t>
        </is>
      </c>
      <c r="D1169" t="inlineStr">
        <is>
          <t>FortiGate and FortiSwitch License Renewal and Support Services</t>
        </is>
      </c>
      <c r="E1169" t="inlineStr">
        <is>
          <t>Virgin Islands Bureau of Internal Revenue (VIBI)</t>
        </is>
      </c>
      <c r="F1169" t="inlineStr">
        <is>
          <t>Virgin Islands</t>
        </is>
      </c>
      <c r="G1169" t="inlineStr">
        <is>
          <t>Submitted</t>
        </is>
      </c>
      <c r="H1169" t="inlineStr">
        <is>
          <t>No</t>
        </is>
      </c>
      <c r="J1169" s="96" t="n">
        <v>46265</v>
      </c>
      <c r="K1169" s="96" t="n">
        <v>46265</v>
      </c>
      <c r="L1169" t="n">
        <v>48530.26</v>
      </c>
      <c r="M1169" t="inlineStr">
        <is>
          <t>Reseller</t>
        </is>
      </c>
      <c r="N1169" t="inlineStr">
        <is>
          <t>Email</t>
        </is>
      </c>
      <c r="O1169" t="inlineStr">
        <is>
          <t>Yash More</t>
        </is>
      </c>
      <c r="Y1169" s="96" t="n">
        <v>46260</v>
      </c>
      <c r="Z1169" t="inlineStr">
        <is>
          <t>https://app.hubspot.com/contacts/243046792/record/0-3/344147314377</t>
        </is>
      </c>
    </row>
    <row r="1170">
      <c r="A1170" t="n">
        <v>1169</v>
      </c>
      <c r="B1170" t="inlineStr">
        <is>
          <t>342172723922</t>
        </is>
      </c>
      <c r="D1170" t="inlineStr">
        <is>
          <t>On-site Information Technology Consultant Services</t>
        </is>
      </c>
      <c r="E1170" t="inlineStr">
        <is>
          <t>Stony Brook University Hospital</t>
        </is>
      </c>
      <c r="F1170" t="inlineStr">
        <is>
          <t>New York</t>
        </is>
      </c>
      <c r="G1170" t="inlineStr">
        <is>
          <t>Closed Lost</t>
        </is>
      </c>
      <c r="H1170" t="inlineStr">
        <is>
          <t>No</t>
        </is>
      </c>
      <c r="J1170" s="96" t="n">
        <v>46273</v>
      </c>
      <c r="K1170" s="96" t="n">
        <v>46265</v>
      </c>
      <c r="O1170" t="inlineStr">
        <is>
          <t>Hrithik Srivastava</t>
        </is>
      </c>
      <c r="Y1170" s="96" t="n">
        <v>46248</v>
      </c>
      <c r="Z1170" t="inlineStr">
        <is>
          <t>https://app.hubspot.com/contacts/243046792/record/0-3/342172723922</t>
        </is>
      </c>
    </row>
    <row r="1171">
      <c r="A1171" t="n">
        <v>1170</v>
      </c>
      <c r="B1171" t="inlineStr">
        <is>
          <t>342942703295</t>
        </is>
      </c>
      <c r="D1171" t="inlineStr">
        <is>
          <t>GEOGRAPHICAL INFORMATION SYSTEMS (GIS)  PROFESSIONAL SUPPORT SERVICES</t>
        </is>
      </c>
      <c r="E1171" t="inlineStr">
        <is>
          <t>Laguna Beach</t>
        </is>
      </c>
      <c r="F1171" t="inlineStr">
        <is>
          <t>California</t>
        </is>
      </c>
      <c r="G1171" t="inlineStr">
        <is>
          <t>Submitted</t>
        </is>
      </c>
      <c r="H1171" t="inlineStr">
        <is>
          <t>No</t>
        </is>
      </c>
      <c r="J1171" s="96" t="n">
        <v>46265</v>
      </c>
      <c r="K1171" s="96" t="n">
        <v>46265</v>
      </c>
      <c r="L1171" t="n">
        <v>74350</v>
      </c>
      <c r="M1171" t="inlineStr">
        <is>
          <t>Support &amp; Maintenance</t>
        </is>
      </c>
      <c r="O1171" t="inlineStr">
        <is>
          <t>Hrithik Srivastava</t>
        </is>
      </c>
      <c r="Y1171" s="96" t="n">
        <v>46252</v>
      </c>
      <c r="Z1171" t="inlineStr">
        <is>
          <t>https://app.hubspot.com/contacts/243046792/record/0-3/342942703295</t>
        </is>
      </c>
    </row>
    <row r="1172">
      <c r="A1172" t="n">
        <v>1171</v>
      </c>
      <c r="B1172" t="inlineStr">
        <is>
          <t>337549680364</t>
        </is>
      </c>
      <c r="C1172" t="inlineStr">
        <is>
          <t>26RFP-26-09RHT-021</t>
        </is>
      </c>
      <c r="D1172" t="inlineStr">
        <is>
          <t>Rural Health Data Atlas- Data Visualization and Analysis Platform</t>
        </is>
      </c>
      <c r="E1172" t="inlineStr">
        <is>
          <t>South Dakota Department of Health</t>
        </is>
      </c>
      <c r="F1172" t="inlineStr">
        <is>
          <t>South Dakota</t>
        </is>
      </c>
      <c r="G1172" t="inlineStr">
        <is>
          <t>Submitted</t>
        </is>
      </c>
      <c r="H1172" t="inlineStr">
        <is>
          <t>No</t>
        </is>
      </c>
      <c r="J1172" s="96" t="n">
        <v>46266</v>
      </c>
      <c r="K1172" s="96" t="n">
        <v>46265</v>
      </c>
      <c r="L1172" t="n">
        <v>374000</v>
      </c>
      <c r="M1172" t="inlineStr">
        <is>
          <t>Consulting</t>
        </is>
      </c>
      <c r="N1172" t="inlineStr">
        <is>
          <t>Email</t>
        </is>
      </c>
      <c r="O1172" t="inlineStr">
        <is>
          <t>Yash More</t>
        </is>
      </c>
      <c r="Y1172" s="96" t="n">
        <v>46226</v>
      </c>
      <c r="Z1172" t="inlineStr">
        <is>
          <t>https://app.hubspot.com/contacts/243046792/record/0-3/337549680364</t>
        </is>
      </c>
    </row>
    <row r="1173">
      <c r="A1173" t="n">
        <v>1172</v>
      </c>
      <c r="B1173" t="inlineStr">
        <is>
          <t>344949853888</t>
        </is>
      </c>
      <c r="D1173" t="inlineStr">
        <is>
          <t>Madison Metropolitan Sewerage District - Workday Solutions Architect Services - SOW 5</t>
        </is>
      </c>
      <c r="E1173" t="inlineStr">
        <is>
          <t>Madison Metropolitan Sewerage District</t>
        </is>
      </c>
      <c r="F1173" t="inlineStr">
        <is>
          <t>Wisconsin</t>
        </is>
      </c>
      <c r="G1173" t="inlineStr">
        <is>
          <t>Closed Won</t>
        </is>
      </c>
      <c r="H1173" t="inlineStr">
        <is>
          <t>No</t>
        </is>
      </c>
      <c r="J1173" s="96" t="n">
        <v>46265</v>
      </c>
      <c r="K1173" s="96" t="n">
        <v>46258</v>
      </c>
      <c r="L1173" t="n">
        <v>347746.43</v>
      </c>
      <c r="M1173" t="inlineStr">
        <is>
          <t>Managed Services (MSP);Staff Augmentation</t>
        </is>
      </c>
      <c r="O1173" t="inlineStr">
        <is>
          <t>Amber Soni</t>
        </is>
      </c>
      <c r="S1173" s="96" t="n">
        <v>46265</v>
      </c>
      <c r="Y1173" s="96" t="n">
        <v>46265</v>
      </c>
      <c r="Z1173" t="inlineStr">
        <is>
          <t>https://app.hubspot.com/contacts/243046792/record/0-3/344949853888</t>
        </is>
      </c>
    </row>
    <row r="1174">
      <c r="A1174" t="n">
        <v>1173</v>
      </c>
      <c r="B1174" t="inlineStr">
        <is>
          <t>344730713824</t>
        </is>
      </c>
      <c r="D1174" t="inlineStr">
        <is>
          <t>Madison Metropolitan Sewerage District - Workday Business Analyst Services - SOW 6</t>
        </is>
      </c>
      <c r="E1174" t="inlineStr">
        <is>
          <t>Madison Metropolitan Sewerage District</t>
        </is>
      </c>
      <c r="F1174" t="inlineStr">
        <is>
          <t>Wisconsin</t>
        </is>
      </c>
      <c r="G1174" t="inlineStr">
        <is>
          <t>Closed Won</t>
        </is>
      </c>
      <c r="H1174" t="inlineStr">
        <is>
          <t>No</t>
        </is>
      </c>
      <c r="K1174" s="96" t="n">
        <v>46265</v>
      </c>
      <c r="L1174" t="n">
        <v>153584.52</v>
      </c>
      <c r="M1174" t="inlineStr">
        <is>
          <t>Managed Services (MSP);Staff Augmentation</t>
        </is>
      </c>
      <c r="O1174" t="inlineStr">
        <is>
          <t>Amber Soni</t>
        </is>
      </c>
      <c r="S1174" s="96" t="n">
        <v>46265</v>
      </c>
      <c r="Y1174" s="96" t="n">
        <v>46265</v>
      </c>
      <c r="Z1174" t="inlineStr">
        <is>
          <t>https://app.hubspot.com/contacts/243046792/record/0-3/344730713824</t>
        </is>
      </c>
    </row>
    <row r="1175">
      <c r="A1175" t="n">
        <v>1174</v>
      </c>
      <c r="B1175" t="inlineStr">
        <is>
          <t>343124160225</t>
        </is>
      </c>
      <c r="D1175" t="inlineStr">
        <is>
          <t>Website Strategy, Redesign, Development, andManaged Digital Services</t>
        </is>
      </c>
      <c r="E1175" t="inlineStr">
        <is>
          <t xml:space="preserve">BBOP Center </t>
        </is>
      </c>
      <c r="F1175" t="inlineStr">
        <is>
          <t>District of Columbia</t>
        </is>
      </c>
      <c r="G1175" t="inlineStr">
        <is>
          <t>Submitted</t>
        </is>
      </c>
      <c r="H1175" t="inlineStr">
        <is>
          <t>No</t>
        </is>
      </c>
      <c r="J1175" s="96" t="n">
        <v>46272</v>
      </c>
      <c r="K1175" s="96" t="n">
        <v>46268</v>
      </c>
      <c r="M1175" t="inlineStr">
        <is>
          <t>Consulting</t>
        </is>
      </c>
      <c r="O1175" t="inlineStr">
        <is>
          <t>Yash More</t>
        </is>
      </c>
      <c r="Y1175" s="96" t="n">
        <v>46255</v>
      </c>
      <c r="Z1175" t="inlineStr">
        <is>
          <t>https://app.hubspot.com/contacts/243046792/record/0-3/343124160225</t>
        </is>
      </c>
    </row>
    <row r="1176">
      <c r="A1176" t="n">
        <v>1175</v>
      </c>
      <c r="B1176" t="inlineStr">
        <is>
          <t>337433980658</t>
        </is>
      </c>
      <c r="D1176" t="inlineStr">
        <is>
          <t xml:space="preserve">IMP - Information Technology (IT) Managed Services </t>
        </is>
      </c>
      <c r="E1176" t="inlineStr">
        <is>
          <t>Mesa Water District</t>
        </is>
      </c>
      <c r="F1176" t="inlineStr">
        <is>
          <t>California</t>
        </is>
      </c>
      <c r="G1176" t="inlineStr">
        <is>
          <t>Submitted</t>
        </is>
      </c>
      <c r="H1176" t="inlineStr">
        <is>
          <t>No</t>
        </is>
      </c>
      <c r="J1176" s="96" t="n">
        <v>46268</v>
      </c>
      <c r="K1176" s="96" t="n">
        <v>46268</v>
      </c>
      <c r="M1176" t="inlineStr">
        <is>
          <t>Managed Services (MSP)</t>
        </is>
      </c>
      <c r="O1176" t="inlineStr">
        <is>
          <t>Ashutosh Chauhan</t>
        </is>
      </c>
      <c r="Y1176" s="96" t="n">
        <v>46225</v>
      </c>
      <c r="Z1176" t="inlineStr">
        <is>
          <t>https://app.hubspot.com/contacts/243046792/record/0-3/337433980658</t>
        </is>
      </c>
    </row>
    <row r="1177">
      <c r="A1177" t="n">
        <v>1176</v>
      </c>
      <c r="B1177" t="inlineStr">
        <is>
          <t>343946947277</t>
        </is>
      </c>
      <c r="D1177" t="inlineStr">
        <is>
          <t>AWS Server Administration</t>
        </is>
      </c>
      <c r="E1177" t="inlineStr">
        <is>
          <t>San Francisco Bay Conservation Commission</t>
        </is>
      </c>
      <c r="F1177" t="inlineStr">
        <is>
          <t>California</t>
        </is>
      </c>
      <c r="G1177" t="inlineStr">
        <is>
          <t>Submitted</t>
        </is>
      </c>
      <c r="H1177" t="inlineStr">
        <is>
          <t>No</t>
        </is>
      </c>
      <c r="J1177" s="96" t="n">
        <v>46269</v>
      </c>
      <c r="K1177" s="96" t="n">
        <v>46269</v>
      </c>
      <c r="O1177" t="inlineStr">
        <is>
          <t>Ashutosh Chauhan</t>
        </is>
      </c>
      <c r="Y1177" s="96" t="n">
        <v>46260</v>
      </c>
      <c r="Z1177" t="inlineStr">
        <is>
          <t>https://app.hubspot.com/contacts/243046792/record/0-3/343946947277</t>
        </is>
      </c>
    </row>
    <row r="1178">
      <c r="A1178" t="n">
        <v>1177</v>
      </c>
      <c r="B1178" t="inlineStr">
        <is>
          <t>339208506046</t>
        </is>
      </c>
      <c r="C1178" t="inlineStr">
        <is>
          <t>No. VW0667</t>
        </is>
      </c>
      <c r="D1178" t="inlineStr">
        <is>
          <t>Web Development and Hosting Services</t>
        </is>
      </c>
      <c r="E1178" t="inlineStr">
        <is>
          <t>Santa Clara Valley Water District</t>
        </is>
      </c>
      <c r="F1178" t="inlineStr">
        <is>
          <t>California</t>
        </is>
      </c>
      <c r="G1178" t="inlineStr">
        <is>
          <t>Submitted</t>
        </is>
      </c>
      <c r="H1178" t="inlineStr">
        <is>
          <t>No</t>
        </is>
      </c>
      <c r="J1178" s="96" t="n">
        <v>46269</v>
      </c>
      <c r="K1178" s="96" t="n">
        <v>46269</v>
      </c>
      <c r="L1178" t="n">
        <v>624000</v>
      </c>
      <c r="O1178" t="inlineStr">
        <is>
          <t>Ashutosh Chauhan</t>
        </is>
      </c>
      <c r="Y1178" s="96" t="n">
        <v>46233</v>
      </c>
      <c r="Z1178" t="inlineStr">
        <is>
          <t>https://app.hubspot.com/contacts/243046792/record/0-3/339208506046</t>
        </is>
      </c>
    </row>
    <row r="1179">
      <c r="A1179" t="n">
        <v>1178</v>
      </c>
      <c r="B1179" t="inlineStr">
        <is>
          <t>340785869529</t>
        </is>
      </c>
      <c r="D1179" t="inlineStr">
        <is>
          <t>Case Management System (CMS) Modernization Technical Assistance</t>
        </is>
      </c>
      <c r="E1179" t="inlineStr">
        <is>
          <t>San Diego County</t>
        </is>
      </c>
      <c r="F1179" t="inlineStr">
        <is>
          <t>California</t>
        </is>
      </c>
      <c r="G1179" t="inlineStr">
        <is>
          <t>Intent to Award</t>
        </is>
      </c>
      <c r="H1179" t="inlineStr">
        <is>
          <t>No</t>
        </is>
      </c>
      <c r="J1179" s="96" t="n">
        <v>46252</v>
      </c>
      <c r="L1179" t="n">
        <v>209000</v>
      </c>
      <c r="M1179" t="inlineStr">
        <is>
          <t>Modernization / Migration</t>
        </is>
      </c>
      <c r="O1179" t="inlineStr">
        <is>
          <t>Ashutosh Chauhan</t>
        </is>
      </c>
      <c r="S1179" s="96" t="n">
        <v>46280</v>
      </c>
      <c r="Y1179" s="96" t="n">
        <v>46244</v>
      </c>
      <c r="Z1179" t="inlineStr">
        <is>
          <t>https://app.hubspot.com/contacts/243046792/record/0-3/340785869529</t>
        </is>
      </c>
    </row>
    <row r="1180">
      <c r="A1180" t="n">
        <v>1179</v>
      </c>
      <c r="B1180" t="inlineStr">
        <is>
          <t>341673938630</t>
        </is>
      </c>
      <c r="D1180" t="inlineStr">
        <is>
          <t>Business Crucial IT Consulting and Managed Services</t>
        </is>
      </c>
      <c r="E1180" t="inlineStr">
        <is>
          <t>Town of Erie</t>
        </is>
      </c>
      <c r="F1180" t="inlineStr">
        <is>
          <t>Colorado</t>
        </is>
      </c>
      <c r="G1180" t="inlineStr">
        <is>
          <t>RFx Cancelled</t>
        </is>
      </c>
      <c r="H1180" t="inlineStr">
        <is>
          <t>No</t>
        </is>
      </c>
      <c r="J1180" s="96" t="n">
        <v>46276</v>
      </c>
      <c r="O1180" t="inlineStr">
        <is>
          <t>Yash More</t>
        </is>
      </c>
      <c r="Y1180" s="96" t="n">
        <v>46246</v>
      </c>
      <c r="Z1180" t="inlineStr">
        <is>
          <t>https://app.hubspot.com/contacts/243046792/record/0-3/341673938630</t>
        </is>
      </c>
    </row>
    <row r="1181">
      <c r="A1181" t="n">
        <v>1180</v>
      </c>
      <c r="B1181" t="inlineStr">
        <is>
          <t>343185485500</t>
        </is>
      </c>
      <c r="D1181" t="inlineStr">
        <is>
          <t>Figma for Government FY27 Renewal</t>
        </is>
      </c>
      <c r="E1181" t="inlineStr">
        <is>
          <t>Department of Public Safety (Ohio)</t>
        </is>
      </c>
      <c r="F1181" t="inlineStr">
        <is>
          <t>Ohio</t>
        </is>
      </c>
      <c r="G1181" t="inlineStr">
        <is>
          <t>RFx Cancelled</t>
        </is>
      </c>
      <c r="H1181" t="inlineStr">
        <is>
          <t>No</t>
        </is>
      </c>
      <c r="J1181" s="96" t="n">
        <v>46267</v>
      </c>
      <c r="O1181" t="inlineStr">
        <is>
          <t>Hrithik Srivastava</t>
        </is>
      </c>
      <c r="Y1181" s="96" t="n">
        <v>46255</v>
      </c>
      <c r="Z1181" t="inlineStr">
        <is>
          <t>https://app.hubspot.com/contacts/243046792/record/0-3/343185485500</t>
        </is>
      </c>
    </row>
    <row r="1182">
      <c r="A1182" t="n">
        <v>1181</v>
      </c>
      <c r="B1182" t="inlineStr">
        <is>
          <t>343825824480</t>
        </is>
      </c>
      <c r="D1182" t="inlineStr">
        <is>
          <t>AI Assessment Services</t>
        </is>
      </c>
      <c r="E1182" t="inlineStr">
        <is>
          <t>Illinois Housing Development Authority</t>
        </is>
      </c>
      <c r="F1182" t="inlineStr">
        <is>
          <t>Illinois</t>
        </is>
      </c>
      <c r="G1182" t="inlineStr">
        <is>
          <t>RFx Cancelled</t>
        </is>
      </c>
      <c r="H1182" t="inlineStr">
        <is>
          <t>No</t>
        </is>
      </c>
      <c r="J1182" s="96" t="n">
        <v>46265</v>
      </c>
      <c r="O1182" t="inlineStr">
        <is>
          <t>Yash More</t>
        </is>
      </c>
      <c r="Y1182" s="96" t="n">
        <v>46259</v>
      </c>
      <c r="Z1182" t="inlineStr">
        <is>
          <t>https://app.hubspot.com/contacts/243046792/record/0-3/343825824480</t>
        </is>
      </c>
    </row>
    <row r="1183">
      <c r="A1183" t="n">
        <v>1182</v>
      </c>
      <c r="B1183" t="inlineStr">
        <is>
          <t>344318357212</t>
        </is>
      </c>
      <c r="D1183" t="inlineStr">
        <is>
          <t>Cisco Meraki Licenses and Support</t>
        </is>
      </c>
      <c r="E1183" t="inlineStr">
        <is>
          <t xml:space="preserve">Clay County </t>
        </is>
      </c>
      <c r="F1183" t="inlineStr">
        <is>
          <t>Florida</t>
        </is>
      </c>
      <c r="G1183" t="inlineStr">
        <is>
          <t>Closed Lost</t>
        </is>
      </c>
      <c r="H1183" t="inlineStr">
        <is>
          <t>No</t>
        </is>
      </c>
      <c r="J1183" s="96" t="n">
        <v>46287</v>
      </c>
      <c r="K1183" s="96" t="n">
        <v>46273</v>
      </c>
      <c r="M1183" t="inlineStr">
        <is>
          <t>Reseller</t>
        </is>
      </c>
      <c r="O1183" t="inlineStr">
        <is>
          <t>Ashutosh Chauhan</t>
        </is>
      </c>
      <c r="Y1183" s="96" t="n">
        <v>46260</v>
      </c>
      <c r="Z1183" t="inlineStr">
        <is>
          <t>https://app.hubspot.com/contacts/243046792/record/0-3/344318357212</t>
        </is>
      </c>
    </row>
    <row r="1184">
      <c r="A1184" t="n">
        <v>1183</v>
      </c>
      <c r="B1184" t="inlineStr">
        <is>
          <t>335175760588</t>
        </is>
      </c>
      <c r="C1184" t="inlineStr">
        <is>
          <t>2026-020</t>
        </is>
      </c>
      <c r="D1184" t="inlineStr">
        <is>
          <t>360° MANAGED IT SERVICES</t>
        </is>
      </c>
      <c r="E1184" t="inlineStr">
        <is>
          <t>New Orleans Regional Transit Authority</t>
        </is>
      </c>
      <c r="F1184" t="inlineStr">
        <is>
          <t>Louisiana</t>
        </is>
      </c>
      <c r="G1184" t="inlineStr">
        <is>
          <t>RFx Cancelled</t>
        </is>
      </c>
      <c r="H1184" t="inlineStr">
        <is>
          <t>No</t>
        </is>
      </c>
      <c r="J1184" s="96" t="n">
        <v>46255</v>
      </c>
      <c r="K1184" s="96" t="n">
        <v>46254</v>
      </c>
      <c r="M1184" t="inlineStr">
        <is>
          <t>Managed Services (MSP)</t>
        </is>
      </c>
      <c r="O1184" t="inlineStr">
        <is>
          <t>Yash More</t>
        </is>
      </c>
      <c r="Y1184" s="96" t="n">
        <v>46213</v>
      </c>
      <c r="Z1184" t="inlineStr">
        <is>
          <t>https://app.hubspot.com/contacts/243046792/record/0-3/335175760588</t>
        </is>
      </c>
    </row>
    <row r="1185">
      <c r="A1185" t="n">
        <v>1184</v>
      </c>
      <c r="B1185" t="inlineStr">
        <is>
          <t>345155887843</t>
        </is>
      </c>
      <c r="C1185" t="inlineStr">
        <is>
          <t>EOG-RFQ-27-03</t>
        </is>
      </c>
      <c r="D1185" t="inlineStr">
        <is>
          <t>Enterprise Cybersecurity Compliance Audits Testing and Support &amp; Cybersecurity Technical Assistance for National Institute of Standards and Technology (NIST) Cybersecurity Framework (CSF) Ground-Truth and Ad-Hoc Testing</t>
        </is>
      </c>
      <c r="E1185" t="inlineStr">
        <is>
          <t>Florida Offices of Inspector General (OIG)</t>
        </is>
      </c>
      <c r="F1185" t="inlineStr">
        <is>
          <t>Florida</t>
        </is>
      </c>
      <c r="G1185" t="inlineStr">
        <is>
          <t>Submitted</t>
        </is>
      </c>
      <c r="H1185" t="inlineStr">
        <is>
          <t>No</t>
        </is>
      </c>
      <c r="J1185" s="96" t="n">
        <v>46265</v>
      </c>
      <c r="K1185" s="96" t="n">
        <v>46264</v>
      </c>
      <c r="M1185" t="inlineStr">
        <is>
          <t>Consulting</t>
        </is>
      </c>
      <c r="O1185" t="inlineStr">
        <is>
          <t>Yash More</t>
        </is>
      </c>
      <c r="Y1185" s="96" t="n">
        <v>46266</v>
      </c>
      <c r="Z1185" t="inlineStr">
        <is>
          <t>https://app.hubspot.com/contacts/243046792/record/0-3/345155887843</t>
        </is>
      </c>
    </row>
    <row r="1186">
      <c r="A1186" t="n">
        <v>1185</v>
      </c>
      <c r="B1186" t="inlineStr">
        <is>
          <t>345157328607</t>
        </is>
      </c>
      <c r="C1186" t="inlineStr">
        <is>
          <t>EOG-RFQ-27-04</t>
        </is>
      </c>
      <c r="D1186" t="inlineStr">
        <is>
          <t>Cybersecurity Subject Matter Expertise and Audit Enablement Services</t>
        </is>
      </c>
      <c r="E1186" t="inlineStr">
        <is>
          <t>Florida Offices of Inspector General (OIG)</t>
        </is>
      </c>
      <c r="F1186" t="inlineStr">
        <is>
          <t>Florida</t>
        </is>
      </c>
      <c r="G1186" t="inlineStr">
        <is>
          <t>Submitted</t>
        </is>
      </c>
      <c r="H1186" t="inlineStr">
        <is>
          <t>No</t>
        </is>
      </c>
      <c r="J1186" s="96" t="n">
        <v>46265</v>
      </c>
      <c r="K1186" s="96" t="n">
        <v>46264</v>
      </c>
      <c r="O1186" t="inlineStr">
        <is>
          <t>Yash More</t>
        </is>
      </c>
      <c r="Y1186" s="96" t="n">
        <v>46266</v>
      </c>
      <c r="Z1186" t="inlineStr">
        <is>
          <t>https://app.hubspot.com/contacts/243046792/record/0-3/345157328607</t>
        </is>
      </c>
    </row>
    <row r="1187">
      <c r="A1187" t="n">
        <v>1186</v>
      </c>
      <c r="B1187" t="inlineStr">
        <is>
          <t>346797280995</t>
        </is>
      </c>
      <c r="D1187" t="inlineStr">
        <is>
          <t>Marin Housing Authority - Microsoft 365 Email Retention Policy Implementation</t>
        </is>
      </c>
      <c r="E1187" t="inlineStr">
        <is>
          <t>Marin Housing Authority</t>
        </is>
      </c>
      <c r="F1187" t="inlineStr">
        <is>
          <t>California</t>
        </is>
      </c>
      <c r="G1187" t="inlineStr">
        <is>
          <t>Submitted</t>
        </is>
      </c>
      <c r="H1187" t="inlineStr">
        <is>
          <t>No</t>
        </is>
      </c>
      <c r="J1187" s="96" t="n">
        <v>46280</v>
      </c>
      <c r="K1187" s="96" t="n">
        <v>46266</v>
      </c>
      <c r="L1187" t="n">
        <v>34580</v>
      </c>
      <c r="M1187" t="inlineStr">
        <is>
          <t>Modernization / Migration</t>
        </is>
      </c>
      <c r="N1187" t="inlineStr">
        <is>
          <t>Email</t>
        </is>
      </c>
      <c r="O1187" t="inlineStr">
        <is>
          <t>Hrithik Srivastava</t>
        </is>
      </c>
      <c r="S1187" s="96" t="n">
        <v>46294</v>
      </c>
      <c r="Y1187" s="96" t="n">
        <v>46273</v>
      </c>
      <c r="Z1187" t="inlineStr">
        <is>
          <t>https://app.hubspot.com/contacts/243046792/record/0-3/346797280995</t>
        </is>
      </c>
    </row>
    <row r="1188">
      <c r="A1188" t="n">
        <v>1187</v>
      </c>
      <c r="B1188" t="inlineStr">
        <is>
          <t>341767532224</t>
        </is>
      </c>
      <c r="C1188" t="inlineStr">
        <is>
          <t>RFP_F-0000000014</t>
        </is>
      </c>
      <c r="D1188" t="inlineStr">
        <is>
          <t>Information Technology Managed Service Provider</t>
        </is>
      </c>
      <c r="E1188" t="inlineStr">
        <is>
          <t>Destination Dutchess</t>
        </is>
      </c>
      <c r="F1188" t="inlineStr">
        <is>
          <t>New York</t>
        </is>
      </c>
      <c r="G1188" t="inlineStr">
        <is>
          <t>Submitted</t>
        </is>
      </c>
      <c r="H1188" t="inlineStr">
        <is>
          <t>No</t>
        </is>
      </c>
      <c r="J1188" s="96" t="n">
        <v>46269</v>
      </c>
      <c r="K1188" s="96" t="n">
        <v>46269</v>
      </c>
      <c r="L1188" t="n">
        <v>29151.88</v>
      </c>
      <c r="M1188" t="inlineStr">
        <is>
          <t>Managed Services (MSP)</t>
        </is>
      </c>
      <c r="N1188" t="inlineStr">
        <is>
          <t>Portal</t>
        </is>
      </c>
      <c r="O1188" t="inlineStr">
        <is>
          <t>Yash More</t>
        </is>
      </c>
      <c r="Y1188" s="96" t="n">
        <v>46247</v>
      </c>
      <c r="Z1188" t="inlineStr">
        <is>
          <t>https://app.hubspot.com/contacts/243046792/record/0-3/341767532224</t>
        </is>
      </c>
    </row>
    <row r="1189">
      <c r="A1189" t="n">
        <v>1188</v>
      </c>
      <c r="B1189" t="inlineStr">
        <is>
          <t>340266442454</t>
        </is>
      </c>
      <c r="D1189" t="inlineStr">
        <is>
          <t xml:space="preserve">IT PROJECT MANAGEMENT MANAGED SERVICES PROVIDER </t>
        </is>
      </c>
      <c r="E1189" t="inlineStr">
        <is>
          <t>Sacramento Municipal Utility District</t>
        </is>
      </c>
      <c r="F1189" t="inlineStr">
        <is>
          <t>California</t>
        </is>
      </c>
      <c r="G1189" t="inlineStr">
        <is>
          <t>Submitted</t>
        </is>
      </c>
      <c r="H1189" t="inlineStr">
        <is>
          <t>No</t>
        </is>
      </c>
      <c r="J1189" s="96" t="n">
        <v>46273</v>
      </c>
      <c r="K1189" s="96" t="n">
        <v>46273</v>
      </c>
      <c r="M1189" t="inlineStr">
        <is>
          <t>Consulting</t>
        </is>
      </c>
      <c r="O1189" t="inlineStr">
        <is>
          <t>Ashutosh Chauhan</t>
        </is>
      </c>
      <c r="Y1189" s="96" t="n">
        <v>46239</v>
      </c>
      <c r="Z1189" t="inlineStr">
        <is>
          <t>https://app.hubspot.com/contacts/243046792/record/0-3/340266442454</t>
        </is>
      </c>
    </row>
    <row r="1190">
      <c r="A1190" t="n">
        <v>1189</v>
      </c>
      <c r="B1190" t="inlineStr">
        <is>
          <t>343187425978</t>
        </is>
      </c>
      <c r="C1190" t="inlineStr">
        <is>
          <t>2026P047</t>
        </is>
      </c>
      <c r="D1190" t="inlineStr">
        <is>
          <t>Provide SAP S/4HANA Business Support Services</t>
        </is>
      </c>
      <c r="E1190" t="inlineStr">
        <is>
          <t>Municipality of Anchorage (MOA)</t>
        </is>
      </c>
      <c r="F1190" t="inlineStr">
        <is>
          <t>Alaska</t>
        </is>
      </c>
      <c r="G1190" t="inlineStr">
        <is>
          <t>Submitted</t>
        </is>
      </c>
      <c r="H1190" t="inlineStr">
        <is>
          <t>No</t>
        </is>
      </c>
      <c r="J1190" s="96" t="n">
        <v>46273</v>
      </c>
      <c r="K1190" s="96" t="n">
        <v>46273</v>
      </c>
      <c r="M1190" t="inlineStr">
        <is>
          <t>Staff Augmentation</t>
        </is>
      </c>
      <c r="N1190" t="inlineStr">
        <is>
          <t>Portal</t>
        </is>
      </c>
      <c r="O1190" t="inlineStr">
        <is>
          <t>Ashutosh Chauhan</t>
        </is>
      </c>
      <c r="Y1190" s="96" t="n">
        <v>46254</v>
      </c>
      <c r="Z1190" t="inlineStr">
        <is>
          <t>https://app.hubspot.com/contacts/243046792/record/0-3/343187425978</t>
        </is>
      </c>
    </row>
    <row r="1191">
      <c r="A1191" t="n">
        <v>1190</v>
      </c>
      <c r="B1191" t="inlineStr">
        <is>
          <t>343124045555</t>
        </is>
      </c>
      <c r="C1191" t="inlineStr">
        <is>
          <t>00322922</t>
        </is>
      </c>
      <c r="D1191" t="inlineStr">
        <is>
          <t>Organizational Continuity and Resiliency Portfolio (OCRP) Limited Penetration Test Engagement</t>
        </is>
      </c>
      <c r="E1191" t="inlineStr">
        <is>
          <t>Port of Seattle</t>
        </is>
      </c>
      <c r="F1191" t="inlineStr">
        <is>
          <t>Washington</t>
        </is>
      </c>
      <c r="G1191" t="inlineStr">
        <is>
          <t>Submitted</t>
        </is>
      </c>
      <c r="H1191" t="inlineStr">
        <is>
          <t>No</t>
        </is>
      </c>
      <c r="J1191" s="96" t="n">
        <v>46273</v>
      </c>
      <c r="K1191" s="96" t="n">
        <v>46273</v>
      </c>
      <c r="O1191" t="inlineStr">
        <is>
          <t>Yash More</t>
        </is>
      </c>
      <c r="Y1191" s="96" t="n">
        <v>46254</v>
      </c>
      <c r="Z1191" t="inlineStr">
        <is>
          <t>https://app.hubspot.com/contacts/243046792/record/0-3/343124045555</t>
        </is>
      </c>
    </row>
    <row r="1192">
      <c r="A1192" t="n">
        <v>1191</v>
      </c>
      <c r="B1192" t="inlineStr">
        <is>
          <t>342951394014</t>
        </is>
      </c>
      <c r="D1192" t="inlineStr">
        <is>
          <t xml:space="preserve">INFORMATION TECHNOLOGY  NONPROFESSIONAL CONSULTING SUPPORT SERVICES </t>
        </is>
      </c>
      <c r="E1192" t="inlineStr">
        <is>
          <t xml:space="preserve">CITY OF RANCHO SANTA MARGARITA </t>
        </is>
      </c>
      <c r="F1192" t="inlineStr">
        <is>
          <t>California</t>
        </is>
      </c>
      <c r="G1192" t="inlineStr">
        <is>
          <t>Submitted</t>
        </is>
      </c>
      <c r="H1192" t="inlineStr">
        <is>
          <t>No</t>
        </is>
      </c>
      <c r="J1192" s="96" t="n">
        <v>46275</v>
      </c>
      <c r="K1192" s="96" t="n">
        <v>46274</v>
      </c>
      <c r="M1192" t="inlineStr">
        <is>
          <t>Consulting</t>
        </is>
      </c>
      <c r="O1192" t="inlineStr">
        <is>
          <t>Hrithik Srivastava</t>
        </is>
      </c>
      <c r="Y1192" s="96" t="n">
        <v>46253</v>
      </c>
      <c r="Z1192" t="inlineStr">
        <is>
          <t>https://app.hubspot.com/contacts/243046792/record/0-3/342951394014</t>
        </is>
      </c>
    </row>
    <row r="1193">
      <c r="A1193" t="n">
        <v>1192</v>
      </c>
      <c r="B1193" t="inlineStr">
        <is>
          <t>345156498133</t>
        </is>
      </c>
      <c r="C1193" t="inlineStr">
        <is>
          <t>RTA/RP 0158-26</t>
        </is>
      </c>
      <c r="D1193" t="inlineStr">
        <is>
          <t>Kahua Implementation Support</t>
        </is>
      </c>
      <c r="E1193" t="inlineStr">
        <is>
          <t>Sound Transit</t>
        </is>
      </c>
      <c r="F1193" t="inlineStr">
        <is>
          <t>Washington</t>
        </is>
      </c>
      <c r="G1193" t="inlineStr">
        <is>
          <t>Submitted</t>
        </is>
      </c>
      <c r="H1193" t="inlineStr">
        <is>
          <t>No</t>
        </is>
      </c>
      <c r="J1193" s="96" t="n">
        <v>46274</v>
      </c>
      <c r="K1193" s="96" t="n">
        <v>46274</v>
      </c>
      <c r="M1193" t="inlineStr">
        <is>
          <t>Consulting;Support &amp; Maintenance</t>
        </is>
      </c>
      <c r="N1193" t="inlineStr">
        <is>
          <t>Portal</t>
        </is>
      </c>
      <c r="O1193" t="inlineStr">
        <is>
          <t>Hrithik Srivastava</t>
        </is>
      </c>
      <c r="Y1193" s="96" t="n">
        <v>46265</v>
      </c>
      <c r="Z1193" t="inlineStr">
        <is>
          <t>https://app.hubspot.com/contacts/243046792/record/0-3/345156498133</t>
        </is>
      </c>
    </row>
    <row r="1194">
      <c r="A1194" t="n">
        <v>1193</v>
      </c>
      <c r="B1194" t="inlineStr">
        <is>
          <t>343187428072</t>
        </is>
      </c>
      <c r="C1194" t="inlineStr">
        <is>
          <t>26-09</t>
        </is>
      </c>
      <c r="D1194" t="inlineStr">
        <is>
          <t>Information Technology Consulting Support</t>
        </is>
      </c>
      <c r="E1194" t="inlineStr">
        <is>
          <t>Vernon Township</t>
        </is>
      </c>
      <c r="F1194" t="inlineStr">
        <is>
          <t>New Jersey</t>
        </is>
      </c>
      <c r="G1194" t="inlineStr">
        <is>
          <t>Submitted</t>
        </is>
      </c>
      <c r="H1194" t="inlineStr">
        <is>
          <t>No</t>
        </is>
      </c>
      <c r="J1194" s="96" t="n">
        <v>46274</v>
      </c>
      <c r="K1194" s="96" t="n">
        <v>46274</v>
      </c>
      <c r="O1194" t="inlineStr">
        <is>
          <t>Ashutosh Chauhan</t>
        </is>
      </c>
      <c r="Y1194" s="96" t="n">
        <v>46254</v>
      </c>
      <c r="Z1194" t="inlineStr">
        <is>
          <t>https://app.hubspot.com/contacts/243046792/record/0-3/343187428072</t>
        </is>
      </c>
    </row>
    <row r="1195">
      <c r="A1195" t="n">
        <v>1194</v>
      </c>
      <c r="B1195" t="inlineStr">
        <is>
          <t>343960803022</t>
        </is>
      </c>
      <c r="D1195" t="inlineStr">
        <is>
          <t>SALESFORCE DEVELOPMENT SUPPORT FOR DECARBONIZATION PROGRAMS</t>
        </is>
      </c>
      <c r="E1195" t="inlineStr">
        <is>
          <t xml:space="preserve">Silicon Valley Clean Energy </t>
        </is>
      </c>
      <c r="F1195" t="inlineStr">
        <is>
          <t>California</t>
        </is>
      </c>
      <c r="G1195" t="inlineStr">
        <is>
          <t>Submitted</t>
        </is>
      </c>
      <c r="H1195" t="inlineStr">
        <is>
          <t>No</t>
        </is>
      </c>
      <c r="J1195" s="96" t="n">
        <v>46275</v>
      </c>
      <c r="K1195" s="96" t="n">
        <v>46275</v>
      </c>
      <c r="M1195" t="inlineStr">
        <is>
          <t>Support &amp; Maintenance</t>
        </is>
      </c>
      <c r="O1195" t="inlineStr">
        <is>
          <t>Hrithik Srivastava</t>
        </is>
      </c>
      <c r="Y1195" s="96" t="n">
        <v>46259</v>
      </c>
      <c r="Z1195" t="inlineStr">
        <is>
          <t>https://app.hubspot.com/contacts/243046792/record/0-3/343960803022</t>
        </is>
      </c>
    </row>
    <row r="1196">
      <c r="A1196" t="n">
        <v>1195</v>
      </c>
      <c r="B1196" t="inlineStr">
        <is>
          <t>340226409161</t>
        </is>
      </c>
      <c r="C1196" t="inlineStr">
        <is>
          <t>2026-205</t>
        </is>
      </c>
      <c r="D1196" t="inlineStr">
        <is>
          <t xml:space="preserve">IBM Maximo Upgrade </t>
        </is>
      </c>
      <c r="E1196" t="inlineStr">
        <is>
          <t>Florida Municipal Power Agency</t>
        </is>
      </c>
      <c r="F1196" t="inlineStr">
        <is>
          <t>Florida</t>
        </is>
      </c>
      <c r="G1196" t="inlineStr">
        <is>
          <t>Closed Lost</t>
        </is>
      </c>
      <c r="H1196" t="inlineStr">
        <is>
          <t>No</t>
        </is>
      </c>
      <c r="J1196" s="96" t="n">
        <v>46317</v>
      </c>
      <c r="K1196" s="96" t="n">
        <v>46275</v>
      </c>
      <c r="L1196" t="n">
        <v>674800</v>
      </c>
      <c r="M1196" t="inlineStr">
        <is>
          <t>Platform Implementation (ERP, CRMs)</t>
        </is>
      </c>
      <c r="N1196" t="inlineStr">
        <is>
          <t>Portal</t>
        </is>
      </c>
      <c r="O1196" t="inlineStr">
        <is>
          <t>Ashutosh Chauhan</t>
        </is>
      </c>
      <c r="Y1196" s="96" t="n">
        <v>46241</v>
      </c>
      <c r="Z1196" t="inlineStr">
        <is>
          <t>https://app.hubspot.com/contacts/243046792/record/0-3/340226409161</t>
        </is>
      </c>
    </row>
    <row r="1197">
      <c r="A1197" t="n">
        <v>1196</v>
      </c>
      <c r="B1197" t="inlineStr">
        <is>
          <t>335175844575</t>
        </is>
      </c>
      <c r="C1197" t="inlineStr">
        <is>
          <t>16-26</t>
        </is>
      </c>
      <c r="D1197" t="inlineStr">
        <is>
          <t>IT Consulting</t>
        </is>
      </c>
      <c r="E1197" t="inlineStr">
        <is>
          <t>City of New Smyrna Beach Utilities Commission</t>
        </is>
      </c>
      <c r="F1197" t="inlineStr">
        <is>
          <t>Florida</t>
        </is>
      </c>
      <c r="G1197" t="inlineStr">
        <is>
          <t>Submitted</t>
        </is>
      </c>
      <c r="H1197" t="inlineStr">
        <is>
          <t>No</t>
        </is>
      </c>
      <c r="J1197" s="96" t="n">
        <v>46275</v>
      </c>
      <c r="K1197" s="96" t="n">
        <v>46275</v>
      </c>
      <c r="L1197" t="n">
        <v>1295000</v>
      </c>
      <c r="M1197" t="inlineStr">
        <is>
          <t>Consulting</t>
        </is>
      </c>
      <c r="N1197" t="inlineStr">
        <is>
          <t>Portal</t>
        </is>
      </c>
      <c r="O1197" t="inlineStr">
        <is>
          <t>Jyothsna Nanda kishore</t>
        </is>
      </c>
      <c r="Y1197" s="96" t="n">
        <v>46213</v>
      </c>
      <c r="Z1197" t="inlineStr">
        <is>
          <t>https://app.hubspot.com/contacts/243046792/record/0-3/335175844575</t>
        </is>
      </c>
    </row>
    <row r="1198">
      <c r="A1198" t="n">
        <v>1197</v>
      </c>
      <c r="B1198" t="inlineStr">
        <is>
          <t>344599659236</t>
        </is>
      </c>
      <c r="D1198" t="inlineStr">
        <is>
          <t>ACTIVE DIRECTORY UPGRADE (Rebid Part 1)</t>
        </is>
      </c>
      <c r="E1198" t="inlineStr">
        <is>
          <t>City of Santa Maria</t>
        </is>
      </c>
      <c r="F1198" t="inlineStr">
        <is>
          <t>California</t>
        </is>
      </c>
      <c r="G1198" t="inlineStr">
        <is>
          <t>Submitted</t>
        </is>
      </c>
      <c r="H1198" t="inlineStr">
        <is>
          <t>No</t>
        </is>
      </c>
      <c r="J1198" s="96" t="n">
        <v>46275</v>
      </c>
      <c r="K1198" s="96" t="n">
        <v>46275</v>
      </c>
      <c r="O1198" t="inlineStr">
        <is>
          <t>Ashutosh Chauhan</t>
        </is>
      </c>
      <c r="Y1198" s="96" t="n">
        <v>46262</v>
      </c>
      <c r="Z1198" t="inlineStr">
        <is>
          <t>https://app.hubspot.com/contacts/243046792/record/0-3/344599659236</t>
        </is>
      </c>
    </row>
    <row r="1199">
      <c r="A1199" t="n">
        <v>1198</v>
      </c>
      <c r="B1199" t="inlineStr">
        <is>
          <t>345650826991</t>
        </is>
      </c>
      <c r="D1199" t="inlineStr">
        <is>
          <t>.org to .gov migration</t>
        </is>
      </c>
      <c r="E1199" t="inlineStr">
        <is>
          <t>Marin Housing Authority</t>
        </is>
      </c>
      <c r="F1199" t="inlineStr">
        <is>
          <t>California</t>
        </is>
      </c>
      <c r="G1199" t="inlineStr">
        <is>
          <t>Submitted</t>
        </is>
      </c>
      <c r="H1199" t="inlineStr">
        <is>
          <t>No</t>
        </is>
      </c>
      <c r="J1199" s="96" t="n">
        <v>46276</v>
      </c>
      <c r="K1199" s="96" t="n">
        <v>46275</v>
      </c>
      <c r="L1199" t="n">
        <v>39900</v>
      </c>
      <c r="M1199" t="inlineStr">
        <is>
          <t>Modernization / Migration</t>
        </is>
      </c>
      <c r="N1199" t="inlineStr">
        <is>
          <t>Email</t>
        </is>
      </c>
      <c r="O1199" t="inlineStr">
        <is>
          <t>Hrithik Srivastava</t>
        </is>
      </c>
      <c r="Y1199" s="96" t="n">
        <v>46268</v>
      </c>
      <c r="Z1199" t="inlineStr">
        <is>
          <t>https://app.hubspot.com/contacts/243046792/record/0-3/345650826991</t>
        </is>
      </c>
    </row>
    <row r="1200">
      <c r="A1200" t="n">
        <v>1199</v>
      </c>
      <c r="B1200" t="inlineStr">
        <is>
          <t>343187060444</t>
        </is>
      </c>
      <c r="D1200" t="inlineStr">
        <is>
          <t>Managed IT Services and Cybersecurity</t>
        </is>
      </c>
      <c r="E1200" t="inlineStr">
        <is>
          <t>Chelan-Douglas Health District</t>
        </is>
      </c>
      <c r="F1200" t="inlineStr">
        <is>
          <t>Washington</t>
        </is>
      </c>
      <c r="G1200" t="inlineStr">
        <is>
          <t>Interview</t>
        </is>
      </c>
      <c r="H1200" t="inlineStr">
        <is>
          <t>Yes</t>
        </is>
      </c>
      <c r="J1200" s="96" t="n">
        <v>46276</v>
      </c>
      <c r="K1200" s="96" t="n">
        <v>46276</v>
      </c>
      <c r="L1200" t="n">
        <v>477495.2</v>
      </c>
      <c r="M1200" t="inlineStr">
        <is>
          <t>Managed Services (MSP)</t>
        </is>
      </c>
      <c r="O1200" t="inlineStr">
        <is>
          <t>Hrithik Srivastava</t>
        </is>
      </c>
      <c r="Q1200" s="96" t="n">
        <v>46309</v>
      </c>
      <c r="Y1200" s="96" t="n">
        <v>46257</v>
      </c>
      <c r="Z1200" t="inlineStr">
        <is>
          <t>https://app.hubspot.com/contacts/243046792/record/0-3/343187060444</t>
        </is>
      </c>
    </row>
    <row r="1201">
      <c r="A1201" t="n">
        <v>1200</v>
      </c>
      <c r="B1201" t="inlineStr">
        <is>
          <t>346979205837</t>
        </is>
      </c>
      <c r="D1201" t="inlineStr">
        <is>
          <t xml:space="preserve">Digital Accessibility Assessment, Validation,Remediation Guidance, and Support Services </t>
        </is>
      </c>
      <c r="E1201" t="inlineStr">
        <is>
          <t>Southeast Michigan Council of Governments</t>
        </is>
      </c>
      <c r="F1201" t="inlineStr">
        <is>
          <t>Michigan</t>
        </is>
      </c>
      <c r="G1201" t="inlineStr">
        <is>
          <t>Submitted</t>
        </is>
      </c>
      <c r="H1201" t="inlineStr">
        <is>
          <t>No</t>
        </is>
      </c>
      <c r="J1201" s="96" t="n">
        <v>46276</v>
      </c>
      <c r="K1201" s="96" t="n">
        <v>46276</v>
      </c>
      <c r="M1201" t="inlineStr">
        <is>
          <t>Consulting;Custom development</t>
        </is>
      </c>
      <c r="O1201" t="inlineStr">
        <is>
          <t>Hrithik Srivastava</t>
        </is>
      </c>
      <c r="Y1201" s="96" t="n">
        <v>46273</v>
      </c>
      <c r="Z1201" t="inlineStr">
        <is>
          <t>https://app.hubspot.com/contacts/243046792/record/0-3/346979205837</t>
        </is>
      </c>
    </row>
    <row r="1202">
      <c r="A1202" t="n">
        <v>1201</v>
      </c>
      <c r="B1202" t="inlineStr">
        <is>
          <t>345383589572</t>
        </is>
      </c>
      <c r="C1202" t="inlineStr">
        <is>
          <t>RFP-2026-IS-1-0-2026</t>
        </is>
      </c>
      <c r="D1202" t="inlineStr">
        <is>
          <t>Co-Managed Information Technology and Cybersecurity Services</t>
        </is>
      </c>
      <c r="E1202" t="inlineStr">
        <is>
          <t>City of McMinnville</t>
        </is>
      </c>
      <c r="F1202" t="inlineStr">
        <is>
          <t>Oregon</t>
        </is>
      </c>
      <c r="G1202" t="inlineStr">
        <is>
          <t>Closed Lost</t>
        </is>
      </c>
      <c r="H1202" t="inlineStr">
        <is>
          <t>Yes</t>
        </is>
      </c>
      <c r="J1202" s="96" t="n">
        <v>46314</v>
      </c>
      <c r="K1202" s="96" t="n">
        <v>46276</v>
      </c>
      <c r="L1202" t="n">
        <v>317074</v>
      </c>
      <c r="M1202" t="inlineStr">
        <is>
          <t>Managed Services (MSP)</t>
        </is>
      </c>
      <c r="N1202" t="inlineStr">
        <is>
          <t>Email</t>
        </is>
      </c>
      <c r="O1202" t="inlineStr">
        <is>
          <t>Ashutosh Chauhan</t>
        </is>
      </c>
      <c r="Q1202" s="96" t="n">
        <v>46282</v>
      </c>
      <c r="Y1202" s="96" t="n">
        <v>46267</v>
      </c>
      <c r="Z1202" t="inlineStr">
        <is>
          <t>https://app.hubspot.com/contacts/243046792/record/0-3/345383589572</t>
        </is>
      </c>
    </row>
    <row r="1203">
      <c r="A1203" t="n">
        <v>1202</v>
      </c>
      <c r="B1203" t="inlineStr">
        <is>
          <t>343124424427</t>
        </is>
      </c>
      <c r="C1203" t="inlineStr">
        <is>
          <t>2026-VCE-ERP</t>
        </is>
      </c>
      <c r="D1203" t="inlineStr">
        <is>
          <t>ENTERPRISE RESOURCE PLANNING (ERP)SOFTWARE, IMPLEMENTATION, AND SUPPORT SERVICES</t>
        </is>
      </c>
      <c r="E1203" t="inlineStr">
        <is>
          <t>Valley Clean Energy</t>
        </is>
      </c>
      <c r="F1203" t="inlineStr">
        <is>
          <t>California</t>
        </is>
      </c>
      <c r="G1203" t="inlineStr">
        <is>
          <t>Submitted</t>
        </is>
      </c>
      <c r="H1203" t="inlineStr">
        <is>
          <t>No</t>
        </is>
      </c>
      <c r="J1203" s="96" t="n">
        <v>46276</v>
      </c>
      <c r="K1203" s="96" t="n">
        <v>46276</v>
      </c>
      <c r="L1203" t="n">
        <v>351808.75</v>
      </c>
      <c r="M1203" t="inlineStr">
        <is>
          <t>Platform Implementation (ERP, CRMs)</t>
        </is>
      </c>
      <c r="N1203" t="inlineStr">
        <is>
          <t>Email</t>
        </is>
      </c>
      <c r="O1203" t="inlineStr">
        <is>
          <t>Yash More</t>
        </is>
      </c>
      <c r="Y1203" s="96" t="n">
        <v>46258</v>
      </c>
      <c r="Z1203" t="inlineStr">
        <is>
          <t>https://app.hubspot.com/contacts/243046792/record/0-3/343124424427</t>
        </is>
      </c>
    </row>
    <row r="1204">
      <c r="A1204" t="n">
        <v>1203</v>
      </c>
      <c r="B1204" t="inlineStr">
        <is>
          <t>347378792183</t>
        </is>
      </c>
      <c r="C1204" t="inlineStr">
        <is>
          <t>RFQ-WC260602</t>
        </is>
      </c>
      <c r="D1204" t="inlineStr">
        <is>
          <t>FIREWALL APPLIANCE AND SUPPORT</t>
        </is>
      </c>
      <c r="E1204" t="inlineStr">
        <is>
          <t xml:space="preserve">Westchester County </t>
        </is>
      </c>
      <c r="F1204" t="inlineStr">
        <is>
          <t>New York</t>
        </is>
      </c>
      <c r="G1204" t="inlineStr">
        <is>
          <t>Submitted</t>
        </is>
      </c>
      <c r="H1204" t="inlineStr">
        <is>
          <t>No</t>
        </is>
      </c>
      <c r="J1204" s="96" t="n">
        <v>46276</v>
      </c>
      <c r="K1204" s="96" t="n">
        <v>46276</v>
      </c>
      <c r="M1204" t="inlineStr">
        <is>
          <t>Reseller</t>
        </is>
      </c>
      <c r="N1204" t="inlineStr">
        <is>
          <t>Portal</t>
        </is>
      </c>
      <c r="O1204" t="inlineStr">
        <is>
          <t>Yash More</t>
        </is>
      </c>
      <c r="Y1204" s="96" t="n">
        <v>46274</v>
      </c>
      <c r="Z1204" t="inlineStr">
        <is>
          <t>https://app.hubspot.com/contacts/243046792/record/0-3/347378792183</t>
        </is>
      </c>
    </row>
    <row r="1205">
      <c r="A1205" t="n">
        <v>1204</v>
      </c>
      <c r="B1205" t="inlineStr">
        <is>
          <t>347739356885</t>
        </is>
      </c>
      <c r="D1205" t="inlineStr">
        <is>
          <t>IT Audit Co-Sourcing Support</t>
        </is>
      </c>
      <c r="E1205" t="inlineStr">
        <is>
          <t>Cherokee Nation Business</t>
        </is>
      </c>
      <c r="F1205" t="inlineStr">
        <is>
          <t>Oklahoma</t>
        </is>
      </c>
      <c r="G1205" t="inlineStr">
        <is>
          <t>Closed Lost</t>
        </is>
      </c>
      <c r="H1205" t="inlineStr">
        <is>
          <t>No</t>
        </is>
      </c>
      <c r="J1205" s="96" t="n">
        <v>46293</v>
      </c>
      <c r="K1205" s="96" t="n">
        <v>46279</v>
      </c>
      <c r="O1205" t="inlineStr">
        <is>
          <t>Hrithik Srivastava</t>
        </is>
      </c>
      <c r="Y1205" s="96" t="n">
        <v>46275</v>
      </c>
      <c r="Z1205" t="inlineStr">
        <is>
          <t>https://app.hubspot.com/contacts/243046792/record/0-3/347739356885</t>
        </is>
      </c>
    </row>
    <row r="1206">
      <c r="A1206" t="n">
        <v>1205</v>
      </c>
      <c r="B1206" t="inlineStr">
        <is>
          <t>345155776191</t>
        </is>
      </c>
      <c r="C1206" t="inlineStr">
        <is>
          <t>Bid No. 26-002</t>
        </is>
      </c>
      <c r="D1206" t="inlineStr">
        <is>
          <t>INFORMATION TECHNOLOGY SERVICES</t>
        </is>
      </c>
      <c r="E1206" t="inlineStr">
        <is>
          <t>VENTURA REGIONAL SANITATION DISTRICT</t>
        </is>
      </c>
      <c r="F1206" t="inlineStr">
        <is>
          <t>California</t>
        </is>
      </c>
      <c r="G1206" t="inlineStr">
        <is>
          <t>Submitted</t>
        </is>
      </c>
      <c r="H1206" t="inlineStr">
        <is>
          <t>No</t>
        </is>
      </c>
      <c r="J1206" s="96" t="n">
        <v>46279</v>
      </c>
      <c r="K1206" s="96" t="n">
        <v>46279</v>
      </c>
      <c r="L1206" t="n">
        <v>50000</v>
      </c>
      <c r="M1206" t="inlineStr">
        <is>
          <t>Managed Services (MSP)</t>
        </is>
      </c>
      <c r="N1206" t="inlineStr">
        <is>
          <t>Email</t>
        </is>
      </c>
      <c r="O1206" t="inlineStr">
        <is>
          <t>Ashutosh Chauhan</t>
        </is>
      </c>
      <c r="Y1206" s="96" t="n">
        <v>46265</v>
      </c>
      <c r="Z1206" t="inlineStr">
        <is>
          <t>https://app.hubspot.com/contacts/243046792/record/0-3/345155776191</t>
        </is>
      </c>
    </row>
    <row r="1207">
      <c r="A1207" t="n">
        <v>1206</v>
      </c>
      <c r="B1207" t="inlineStr">
        <is>
          <t>343587754726</t>
        </is>
      </c>
      <c r="C1207" t="inlineStr">
        <is>
          <t>#2027-06-VPA</t>
        </is>
      </c>
      <c r="D1207" t="inlineStr">
        <is>
          <t>PeopleSoft Support Services</t>
        </is>
      </c>
      <c r="E1207" t="inlineStr">
        <is>
          <t>Virginia Port Authority</t>
        </is>
      </c>
      <c r="F1207" t="inlineStr">
        <is>
          <t>Virginia</t>
        </is>
      </c>
      <c r="G1207" t="inlineStr">
        <is>
          <t>Closed Lost</t>
        </is>
      </c>
      <c r="H1207" t="inlineStr">
        <is>
          <t>No</t>
        </is>
      </c>
      <c r="J1207" s="96" t="n">
        <v>46287</v>
      </c>
      <c r="K1207" s="96" t="n">
        <v>46279</v>
      </c>
      <c r="L1207" t="n">
        <v>42240</v>
      </c>
      <c r="M1207" t="inlineStr">
        <is>
          <t>Support &amp; Maintenance</t>
        </is>
      </c>
      <c r="N1207" t="inlineStr">
        <is>
          <t>Email</t>
        </is>
      </c>
      <c r="O1207" t="inlineStr">
        <is>
          <t>Ashutosh Chauhan</t>
        </is>
      </c>
      <c r="Y1207" s="96" t="n">
        <v>46258</v>
      </c>
      <c r="Z1207" t="inlineStr">
        <is>
          <t>https://app.hubspot.com/contacts/243046792/record/0-3/343587754726</t>
        </is>
      </c>
    </row>
    <row r="1208">
      <c r="A1208" t="n">
        <v>1207</v>
      </c>
      <c r="B1208" t="inlineStr">
        <is>
          <t>346982149827</t>
        </is>
      </c>
      <c r="D1208" t="inlineStr">
        <is>
          <t>HRIS - Human Resources Information System</t>
        </is>
      </c>
      <c r="E1208" t="inlineStr">
        <is>
          <t>Richland Library</t>
        </is>
      </c>
      <c r="F1208" t="inlineStr">
        <is>
          <t>South Carolina</t>
        </is>
      </c>
      <c r="G1208" t="inlineStr">
        <is>
          <t>Submitted</t>
        </is>
      </c>
      <c r="H1208" t="inlineStr">
        <is>
          <t>No</t>
        </is>
      </c>
      <c r="J1208" s="96" t="n">
        <v>46279</v>
      </c>
      <c r="K1208" s="96" t="n">
        <v>46279</v>
      </c>
      <c r="L1208" t="n">
        <v>171160</v>
      </c>
      <c r="N1208" t="inlineStr">
        <is>
          <t>Email</t>
        </is>
      </c>
      <c r="O1208" t="inlineStr">
        <is>
          <t>Ashutosh Chauhan</t>
        </is>
      </c>
      <c r="Y1208" s="96" t="n">
        <v>46274</v>
      </c>
      <c r="Z1208" t="inlineStr">
        <is>
          <t>https://app.hubspot.com/contacts/243046792/record/0-3/346982149827</t>
        </is>
      </c>
    </row>
    <row r="1209">
      <c r="A1209" t="n">
        <v>1208</v>
      </c>
      <c r="B1209" t="inlineStr">
        <is>
          <t>346794720956</t>
        </is>
      </c>
      <c r="D1209" t="inlineStr">
        <is>
          <t xml:space="preserve">MANAGED IT SERVICES PROVIDER (MSP) </t>
        </is>
      </c>
      <c r="E1209" t="inlineStr">
        <is>
          <t>Housing Authority of Fulton County</t>
        </is>
      </c>
      <c r="F1209" t="inlineStr">
        <is>
          <t>Georgia</t>
        </is>
      </c>
      <c r="G1209" t="inlineStr">
        <is>
          <t>Submitted</t>
        </is>
      </c>
      <c r="H1209" t="inlineStr">
        <is>
          <t>No</t>
        </is>
      </c>
      <c r="J1209" s="96" t="n">
        <v>46280</v>
      </c>
      <c r="K1209" s="96" t="n">
        <v>46280</v>
      </c>
      <c r="L1209" t="n">
        <v>151500</v>
      </c>
      <c r="M1209" t="inlineStr">
        <is>
          <t>Managed Services (MSP)</t>
        </is>
      </c>
      <c r="O1209" t="inlineStr">
        <is>
          <t>Ashutosh Chauhan</t>
        </is>
      </c>
      <c r="Y1209" s="96" t="n">
        <v>46273</v>
      </c>
      <c r="Z1209" t="inlineStr">
        <is>
          <t>https://app.hubspot.com/contacts/243046792/record/0-3/346794720956</t>
        </is>
      </c>
    </row>
    <row r="1210">
      <c r="A1210" t="n">
        <v>1209</v>
      </c>
      <c r="B1210" t="inlineStr">
        <is>
          <t>344357615314</t>
        </is>
      </c>
      <c r="C1210" t="inlineStr">
        <is>
          <t>BPE-RFP-2026-0009AB</t>
        </is>
      </c>
      <c r="D1210" t="inlineStr">
        <is>
          <t>Public Charter School Dashboard</t>
        </is>
      </c>
      <c r="E1210" t="inlineStr">
        <is>
          <t>State of Montana, State Procurement Services Division</t>
        </is>
      </c>
      <c r="F1210" t="inlineStr">
        <is>
          <t>Montana</t>
        </is>
      </c>
      <c r="G1210" t="inlineStr">
        <is>
          <t>Submitted</t>
        </is>
      </c>
      <c r="H1210" t="inlineStr">
        <is>
          <t>No</t>
        </is>
      </c>
      <c r="J1210" s="96" t="n">
        <v>46280</v>
      </c>
      <c r="K1210" s="96" t="n">
        <v>46280</v>
      </c>
      <c r="L1210" t="n">
        <v>30356</v>
      </c>
      <c r="M1210" t="inlineStr">
        <is>
          <t>Custom development</t>
        </is>
      </c>
      <c r="N1210" t="inlineStr">
        <is>
          <t>Portal</t>
        </is>
      </c>
      <c r="O1210" t="inlineStr">
        <is>
          <t>Ashutosh Chauhan</t>
        </is>
      </c>
      <c r="Y1210" s="96" t="n">
        <v>46261</v>
      </c>
      <c r="Z1210" t="inlineStr">
        <is>
          <t>https://app.hubspot.com/contacts/243046792/record/0-3/344357615314</t>
        </is>
      </c>
    </row>
    <row r="1211">
      <c r="A1211" t="n">
        <v>1210</v>
      </c>
      <c r="B1211" t="inlineStr">
        <is>
          <t>349725603544</t>
        </is>
      </c>
      <c r="D1211" t="inlineStr">
        <is>
          <t>25 Power BI Licenses</t>
        </is>
      </c>
      <c r="E1211" t="inlineStr">
        <is>
          <t>Village of Tinley Park</t>
        </is>
      </c>
      <c r="F1211" t="inlineStr">
        <is>
          <t>Illinois</t>
        </is>
      </c>
      <c r="G1211" t="inlineStr">
        <is>
          <t>Submitted</t>
        </is>
      </c>
      <c r="H1211" t="inlineStr">
        <is>
          <t>No</t>
        </is>
      </c>
      <c r="K1211" s="96" t="n">
        <v>46280</v>
      </c>
      <c r="M1211" t="inlineStr">
        <is>
          <t>Reseller</t>
        </is>
      </c>
      <c r="O1211" t="inlineStr">
        <is>
          <t>Hrithik Srivastava</t>
        </is>
      </c>
      <c r="Y1211" s="96" t="n">
        <v>46287</v>
      </c>
      <c r="Z1211" t="inlineStr">
        <is>
          <t>https://app.hubspot.com/contacts/243046792/record/0-3/349725603544</t>
        </is>
      </c>
    </row>
    <row r="1212">
      <c r="A1212" t="n">
        <v>1211</v>
      </c>
      <c r="B1212" t="inlineStr">
        <is>
          <t>343186208468</t>
        </is>
      </c>
      <c r="C1212" t="inlineStr">
        <is>
          <t>KID20260818</t>
        </is>
      </c>
      <c r="D1212" t="inlineStr">
        <is>
          <t>OFFLINE - IMP - Managed Information Technology &amp; Cybersecurity Services</t>
        </is>
      </c>
      <c r="E1212" t="inlineStr">
        <is>
          <t>Kearns Improvement District</t>
        </is>
      </c>
      <c r="F1212" t="inlineStr">
        <is>
          <t>Utah</t>
        </is>
      </c>
      <c r="G1212" t="inlineStr">
        <is>
          <t>Closed Lost</t>
        </is>
      </c>
      <c r="H1212" t="inlineStr">
        <is>
          <t>No</t>
        </is>
      </c>
      <c r="J1212" s="96" t="n">
        <v>46315</v>
      </c>
      <c r="K1212" s="96" t="n">
        <v>46280</v>
      </c>
      <c r="M1212" t="inlineStr">
        <is>
          <t>Managed Services (MSP)</t>
        </is>
      </c>
      <c r="O1212" t="inlineStr">
        <is>
          <t>Yash More</t>
        </is>
      </c>
      <c r="Y1212" s="96" t="n">
        <v>46255</v>
      </c>
      <c r="Z1212" t="inlineStr">
        <is>
          <t>https://app.hubspot.com/contacts/243046792/record/0-3/343186208468</t>
        </is>
      </c>
    </row>
    <row r="1213">
      <c r="A1213" t="n">
        <v>1212</v>
      </c>
      <c r="B1213" t="inlineStr">
        <is>
          <t>342942098120</t>
        </is>
      </c>
      <c r="D1213" t="inlineStr">
        <is>
          <t>Microsoft 365 Copilot Pre-Rollout Security Readiness Assessment</t>
        </is>
      </c>
      <c r="E1213" t="inlineStr">
        <is>
          <t>Teachers' Retirement System of the City of New York</t>
        </is>
      </c>
      <c r="F1213" t="inlineStr">
        <is>
          <t>New York</t>
        </is>
      </c>
      <c r="G1213" t="inlineStr">
        <is>
          <t>Submitted</t>
        </is>
      </c>
      <c r="H1213" t="inlineStr">
        <is>
          <t>No</t>
        </is>
      </c>
      <c r="J1213" s="96" t="n">
        <v>46280</v>
      </c>
      <c r="K1213" s="96" t="n">
        <v>46280</v>
      </c>
      <c r="O1213" t="inlineStr">
        <is>
          <t>Hrithik Srivastava</t>
        </is>
      </c>
      <c r="Y1213" s="96" t="n">
        <v>46253</v>
      </c>
      <c r="Z1213" t="inlineStr">
        <is>
          <t>https://app.hubspot.com/contacts/243046792/record/0-3/342942098120</t>
        </is>
      </c>
    </row>
    <row r="1214">
      <c r="A1214" t="n">
        <v>1213</v>
      </c>
      <c r="B1214" t="inlineStr">
        <is>
          <t>344149505764</t>
        </is>
      </c>
      <c r="D1214" t="inlineStr">
        <is>
          <t>Artificial Intelligence (AI) Strategic Roadmap and Governance Framework Consultant</t>
        </is>
      </c>
      <c r="E1214" t="inlineStr">
        <is>
          <t>Pinellas County</t>
        </is>
      </c>
      <c r="F1214" t="inlineStr">
        <is>
          <t>Florida</t>
        </is>
      </c>
      <c r="G1214" t="inlineStr">
        <is>
          <t>Closed Lost</t>
        </is>
      </c>
      <c r="H1214" t="inlineStr">
        <is>
          <t>No</t>
        </is>
      </c>
      <c r="J1214" s="96" t="n">
        <v>46308</v>
      </c>
      <c r="K1214" s="96" t="n">
        <v>46280</v>
      </c>
      <c r="O1214" t="inlineStr">
        <is>
          <t>Hrithik Srivastava</t>
        </is>
      </c>
      <c r="Y1214" s="96" t="n">
        <v>46260</v>
      </c>
      <c r="Z1214" t="inlineStr">
        <is>
          <t>https://app.hubspot.com/contacts/243046792/record/0-3/344149505764</t>
        </is>
      </c>
    </row>
    <row r="1215">
      <c r="A1215" t="n">
        <v>1214</v>
      </c>
      <c r="B1215" t="inlineStr">
        <is>
          <t>340260764403</t>
        </is>
      </c>
      <c r="C1215" t="inlineStr">
        <is>
          <t>RFP-RC-2026-020</t>
        </is>
      </c>
      <c r="D1215" t="inlineStr">
        <is>
          <t>IT Consultant Services for the Rockland County Department of Law</t>
        </is>
      </c>
      <c r="E1215" t="inlineStr">
        <is>
          <t>County of Rockland</t>
        </is>
      </c>
      <c r="F1215" t="inlineStr">
        <is>
          <t>New York</t>
        </is>
      </c>
      <c r="G1215" t="inlineStr">
        <is>
          <t>Submitted</t>
        </is>
      </c>
      <c r="H1215" t="inlineStr">
        <is>
          <t>No</t>
        </is>
      </c>
      <c r="J1215" s="96" t="n">
        <v>46280</v>
      </c>
      <c r="K1215" s="96" t="n">
        <v>46280</v>
      </c>
      <c r="M1215" t="inlineStr">
        <is>
          <t>Consulting</t>
        </is>
      </c>
      <c r="O1215" t="inlineStr">
        <is>
          <t>Ashutosh Chauhan</t>
        </is>
      </c>
      <c r="Y1215" s="96" t="n">
        <v>46238</v>
      </c>
      <c r="Z1215" t="inlineStr">
        <is>
          <t>https://app.hubspot.com/contacts/243046792/record/0-3/340260764403</t>
        </is>
      </c>
    </row>
    <row r="1216">
      <c r="A1216" t="n">
        <v>1215</v>
      </c>
      <c r="B1216" t="inlineStr">
        <is>
          <t>343186053845</t>
        </is>
      </c>
      <c r="D1216" t="inlineStr">
        <is>
          <t>[Offline] Information Technology (IT) StrategicPlan</t>
        </is>
      </c>
      <c r="E1216" t="inlineStr">
        <is>
          <t>Castro Valley Sanitary District</t>
        </is>
      </c>
      <c r="F1216" t="inlineStr">
        <is>
          <t>California</t>
        </is>
      </c>
      <c r="G1216" t="inlineStr">
        <is>
          <t>Submitted</t>
        </is>
      </c>
      <c r="H1216" t="inlineStr">
        <is>
          <t>No</t>
        </is>
      </c>
      <c r="J1216" s="96" t="n">
        <v>46282</v>
      </c>
      <c r="K1216" s="96" t="n">
        <v>46281</v>
      </c>
      <c r="L1216" t="n">
        <v>37080</v>
      </c>
      <c r="M1216" t="inlineStr">
        <is>
          <t>Consulting</t>
        </is>
      </c>
      <c r="N1216" t="inlineStr">
        <is>
          <t>Offline</t>
        </is>
      </c>
      <c r="O1216" t="inlineStr">
        <is>
          <t>Yash More</t>
        </is>
      </c>
      <c r="Y1216" s="96" t="n">
        <v>46254</v>
      </c>
      <c r="Z1216" t="inlineStr">
        <is>
          <t>https://app.hubspot.com/contacts/243046792/record/0-3/343186053845</t>
        </is>
      </c>
    </row>
    <row r="1217">
      <c r="A1217" t="n">
        <v>1216</v>
      </c>
      <c r="B1217" t="inlineStr">
        <is>
          <t>339242129136</t>
        </is>
      </c>
      <c r="C1217" t="inlineStr">
        <is>
          <t>RFP 2610AB</t>
        </is>
      </c>
      <c r="D1217" t="inlineStr">
        <is>
          <t xml:space="preserve"> Data Analytics Modernization &amp; Databricks Migration</t>
        </is>
      </c>
      <c r="E1217" t="inlineStr">
        <is>
          <t>University of California San Diego</t>
        </is>
      </c>
      <c r="F1217" t="inlineStr">
        <is>
          <t>California</t>
        </is>
      </c>
      <c r="G1217" t="inlineStr">
        <is>
          <t>Submitted</t>
        </is>
      </c>
      <c r="H1217" t="inlineStr">
        <is>
          <t>No</t>
        </is>
      </c>
      <c r="J1217" s="96" t="n">
        <v>46281</v>
      </c>
      <c r="K1217" s="96" t="n">
        <v>46281</v>
      </c>
      <c r="M1217" t="inlineStr">
        <is>
          <t>Modernization / Migration</t>
        </is>
      </c>
      <c r="O1217" t="inlineStr">
        <is>
          <t>Yash More</t>
        </is>
      </c>
      <c r="Y1217" s="96" t="n">
        <v>46232</v>
      </c>
      <c r="Z1217" t="inlineStr">
        <is>
          <t>https://app.hubspot.com/contacts/243046792/record/0-3/339242129136</t>
        </is>
      </c>
    </row>
    <row r="1218">
      <c r="A1218" t="n">
        <v>1217</v>
      </c>
      <c r="B1218" t="inlineStr">
        <is>
          <t>348354525940</t>
        </is>
      </c>
      <c r="D1218" t="inlineStr">
        <is>
          <t xml:space="preserve"> Artificial Intelligence and Large Language Model Advisor</t>
        </is>
      </c>
      <c r="E1218" t="inlineStr">
        <is>
          <t>World Resources Institute</t>
        </is>
      </c>
      <c r="F1218" t="inlineStr">
        <is>
          <t>District of Columbia</t>
        </is>
      </c>
      <c r="G1218" t="inlineStr">
        <is>
          <t>Submitted</t>
        </is>
      </c>
      <c r="H1218" t="inlineStr">
        <is>
          <t>No</t>
        </is>
      </c>
      <c r="J1218" s="96" t="n">
        <v>46282</v>
      </c>
      <c r="K1218" s="96" t="n">
        <v>46282</v>
      </c>
      <c r="O1218" t="inlineStr">
        <is>
          <t>Hrithik Srivastava</t>
        </is>
      </c>
      <c r="Y1218" s="96" t="n">
        <v>46279</v>
      </c>
      <c r="Z1218" t="inlineStr">
        <is>
          <t>https://app.hubspot.com/contacts/243046792/record/0-3/348354525940</t>
        </is>
      </c>
    </row>
    <row r="1219">
      <c r="A1219" t="n">
        <v>1218</v>
      </c>
      <c r="B1219" t="inlineStr">
        <is>
          <t>342013808369</t>
        </is>
      </c>
      <c r="C1219" t="inlineStr">
        <is>
          <t>2026-13696</t>
        </is>
      </c>
      <c r="D1219" t="inlineStr">
        <is>
          <t>Portland International Airport (PDX) Common Use Systems On-Site Staffing</t>
        </is>
      </c>
      <c r="E1219" t="inlineStr">
        <is>
          <t>Port of Portland</t>
        </is>
      </c>
      <c r="F1219" t="inlineStr">
        <is>
          <t>Oregon</t>
        </is>
      </c>
      <c r="G1219" t="inlineStr">
        <is>
          <t>Closed Lost</t>
        </is>
      </c>
      <c r="H1219" t="inlineStr">
        <is>
          <t>No</t>
        </is>
      </c>
      <c r="J1219" s="96" t="n">
        <v>46294</v>
      </c>
      <c r="K1219" s="96" t="n">
        <v>46282</v>
      </c>
      <c r="L1219" t="n">
        <v>1987740.45</v>
      </c>
      <c r="N1219" t="inlineStr">
        <is>
          <t>Portal</t>
        </is>
      </c>
      <c r="O1219" t="inlineStr">
        <is>
          <t>Ashutosh Chauhan</t>
        </is>
      </c>
      <c r="Y1219" s="96" t="n">
        <v>46247</v>
      </c>
      <c r="Z1219" t="inlineStr">
        <is>
          <t>https://app.hubspot.com/contacts/243046792/record/0-3/342013808369</t>
        </is>
      </c>
    </row>
    <row r="1220">
      <c r="A1220" t="n">
        <v>1219</v>
      </c>
      <c r="B1220" t="inlineStr">
        <is>
          <t>341763932885</t>
        </is>
      </c>
      <c r="D1220" t="inlineStr">
        <is>
          <t>IMP - Microsoft 365 Implementation, SharePoint and OneDriveConfiguration Services</t>
        </is>
      </c>
      <c r="E1220" t="inlineStr">
        <is>
          <t>City of Carpinteria</t>
        </is>
      </c>
      <c r="F1220" t="inlineStr">
        <is>
          <t>California</t>
        </is>
      </c>
      <c r="G1220" t="inlineStr">
        <is>
          <t>Submitted</t>
        </is>
      </c>
      <c r="H1220" t="inlineStr">
        <is>
          <t>No</t>
        </is>
      </c>
      <c r="J1220" s="96" t="n">
        <v>46283</v>
      </c>
      <c r="K1220" s="96" t="n">
        <v>46283</v>
      </c>
      <c r="M1220" t="inlineStr">
        <is>
          <t>Modernization / Migration</t>
        </is>
      </c>
      <c r="O1220" t="inlineStr">
        <is>
          <t>Madhav Mitruka</t>
        </is>
      </c>
      <c r="Y1220" s="96" t="n">
        <v>46247</v>
      </c>
      <c r="Z1220" t="inlineStr">
        <is>
          <t>https://app.hubspot.com/contacts/243046792/record/0-3/341763932885</t>
        </is>
      </c>
    </row>
    <row r="1221">
      <c r="A1221" t="n">
        <v>1220</v>
      </c>
      <c r="B1221" t="inlineStr">
        <is>
          <t>347378102009</t>
        </is>
      </c>
      <c r="D1221" t="inlineStr">
        <is>
          <t xml:space="preserve">IT Program/Senior Project Manager </t>
        </is>
      </c>
      <c r="E1221" t="inlineStr">
        <is>
          <t>Minnesota Department of Corrections</t>
        </is>
      </c>
      <c r="F1221" t="inlineStr">
        <is>
          <t>Minnesota</t>
        </is>
      </c>
      <c r="G1221" t="inlineStr">
        <is>
          <t>Closed Lost</t>
        </is>
      </c>
      <c r="H1221" t="inlineStr">
        <is>
          <t>No</t>
        </is>
      </c>
      <c r="J1221" s="96" t="n">
        <v>46294</v>
      </c>
      <c r="K1221" s="96" t="n">
        <v>46283</v>
      </c>
      <c r="O1221" t="inlineStr">
        <is>
          <t>Hrithik Srivastava</t>
        </is>
      </c>
      <c r="Y1221" s="96" t="n">
        <v>46274</v>
      </c>
      <c r="Z1221" t="inlineStr">
        <is>
          <t>https://app.hubspot.com/contacts/243046792/record/0-3/347378102009</t>
        </is>
      </c>
    </row>
    <row r="1222">
      <c r="A1222" t="n">
        <v>1221</v>
      </c>
      <c r="B1222" t="inlineStr">
        <is>
          <t>343126920896</t>
        </is>
      </c>
      <c r="C1222" t="inlineStr">
        <is>
          <t>739-SL3821039</t>
        </is>
      </c>
      <c r="D1222" t="inlineStr">
        <is>
          <t>Consulting Services - Enterprise AI Adoption &amp; Enablement</t>
        </is>
      </c>
      <c r="E1222" t="inlineStr">
        <is>
          <t>Texas Tech University System</t>
        </is>
      </c>
      <c r="F1222" t="inlineStr">
        <is>
          <t>Texas</t>
        </is>
      </c>
      <c r="G1222" t="inlineStr">
        <is>
          <t>Submitted</t>
        </is>
      </c>
      <c r="H1222" t="inlineStr">
        <is>
          <t>No</t>
        </is>
      </c>
      <c r="J1222" s="96" t="n">
        <v>46286</v>
      </c>
      <c r="K1222" s="96" t="n">
        <v>46286</v>
      </c>
      <c r="L1222" t="n">
        <v>600000</v>
      </c>
      <c r="M1222" t="inlineStr">
        <is>
          <t>Consulting</t>
        </is>
      </c>
      <c r="N1222" t="inlineStr">
        <is>
          <t>Portal</t>
        </is>
      </c>
      <c r="O1222" t="inlineStr">
        <is>
          <t>Ashutosh Chauhan</t>
        </is>
      </c>
      <c r="Y1222" s="96" t="n">
        <v>46254</v>
      </c>
      <c r="Z1222" t="inlineStr">
        <is>
          <t>https://app.hubspot.com/contacts/243046792/record/0-3/343126920896</t>
        </is>
      </c>
    </row>
    <row r="1223">
      <c r="A1223" t="n">
        <v>1222</v>
      </c>
      <c r="B1223" t="inlineStr">
        <is>
          <t>345156602617</t>
        </is>
      </c>
      <c r="C1223" t="inlineStr">
        <is>
          <t>6045</t>
        </is>
      </c>
      <c r="D1223" t="inlineStr">
        <is>
          <t>OFFLINE CAMPUS TECHNOLOGY MASTER PLAN</t>
        </is>
      </c>
      <c r="E1223" t="inlineStr">
        <is>
          <t>Southeast Missouri State University</t>
        </is>
      </c>
      <c r="F1223" t="inlineStr">
        <is>
          <t>Missouri</t>
        </is>
      </c>
      <c r="G1223" t="inlineStr">
        <is>
          <t>Submitted</t>
        </is>
      </c>
      <c r="H1223" t="inlineStr">
        <is>
          <t>No</t>
        </is>
      </c>
      <c r="J1223" s="96" t="n">
        <v>46287</v>
      </c>
      <c r="K1223" s="96" t="n">
        <v>46286</v>
      </c>
      <c r="M1223" t="inlineStr">
        <is>
          <t>Audits and Assessment</t>
        </is>
      </c>
      <c r="O1223" t="inlineStr">
        <is>
          <t>Yash More</t>
        </is>
      </c>
      <c r="Y1223" s="96" t="n">
        <v>46266</v>
      </c>
      <c r="Z1223" t="inlineStr">
        <is>
          <t>https://app.hubspot.com/contacts/243046792/record/0-3/345156602617</t>
        </is>
      </c>
    </row>
    <row r="1224">
      <c r="A1224" t="n">
        <v>1223</v>
      </c>
      <c r="B1224" t="inlineStr">
        <is>
          <t>346982149877</t>
        </is>
      </c>
      <c r="C1224" t="inlineStr">
        <is>
          <t>NCA-IT-2026-02</t>
        </is>
      </c>
      <c r="D1224" t="inlineStr">
        <is>
          <t>Co-Managed Information Technology Services</t>
        </is>
      </c>
      <c r="E1224" t="inlineStr">
        <is>
          <t>National Children’s Alliance</t>
        </is>
      </c>
      <c r="F1224" t="inlineStr">
        <is>
          <t>District of Columbia</t>
        </is>
      </c>
      <c r="G1224" t="inlineStr">
        <is>
          <t>Submitted</t>
        </is>
      </c>
      <c r="H1224" t="inlineStr">
        <is>
          <t>No</t>
        </is>
      </c>
      <c r="J1224" s="96" t="n">
        <v>46287</v>
      </c>
      <c r="K1224" s="96" t="n">
        <v>46287</v>
      </c>
      <c r="M1224" t="inlineStr">
        <is>
          <t>Managed Services (MSP)</t>
        </is>
      </c>
      <c r="O1224" t="inlineStr">
        <is>
          <t>Ashutosh Chauhan</t>
        </is>
      </c>
      <c r="Y1224" s="96" t="n">
        <v>46274</v>
      </c>
      <c r="Z1224" t="inlineStr">
        <is>
          <t>https://app.hubspot.com/contacts/243046792/record/0-3/346982149877</t>
        </is>
      </c>
    </row>
    <row r="1225">
      <c r="A1225" t="n">
        <v>1224</v>
      </c>
      <c r="B1225" t="inlineStr">
        <is>
          <t>348517382875</t>
        </is>
      </c>
      <c r="D1225" t="inlineStr">
        <is>
          <t xml:space="preserve">CMAS Sr. Test Analyst </t>
        </is>
      </c>
      <c r="E1225" t="inlineStr">
        <is>
          <t>California State Teachers' Retirement System</t>
        </is>
      </c>
      <c r="F1225" t="inlineStr">
        <is>
          <t>California</t>
        </is>
      </c>
      <c r="G1225" t="inlineStr">
        <is>
          <t>Submitted</t>
        </is>
      </c>
      <c r="H1225" t="inlineStr">
        <is>
          <t>No</t>
        </is>
      </c>
      <c r="J1225" s="96" t="n">
        <v>46288</v>
      </c>
      <c r="K1225" s="96" t="n">
        <v>46288</v>
      </c>
      <c r="O1225" t="inlineStr">
        <is>
          <t>Hrithik Srivastava</t>
        </is>
      </c>
      <c r="Y1225" s="96" t="n">
        <v>46279</v>
      </c>
      <c r="Z1225" t="inlineStr">
        <is>
          <t>https://app.hubspot.com/contacts/243046792/record/0-3/348517382875</t>
        </is>
      </c>
    </row>
    <row r="1226">
      <c r="A1226" t="n">
        <v>1225</v>
      </c>
      <c r="B1226" t="inlineStr">
        <is>
          <t>345159376618</t>
        </is>
      </c>
      <c r="D1226" t="inlineStr">
        <is>
          <t xml:space="preserve">User Acceptance Testing (UAT) and Test Automation Services </t>
        </is>
      </c>
      <c r="E1226" t="inlineStr">
        <is>
          <t>Commonwealth Charter Academy</t>
        </is>
      </c>
      <c r="F1226" t="inlineStr">
        <is>
          <t>Pennsylvania</t>
        </is>
      </c>
      <c r="G1226" t="inlineStr">
        <is>
          <t>Closed Lost</t>
        </is>
      </c>
      <c r="H1226" t="inlineStr">
        <is>
          <t>No</t>
        </is>
      </c>
      <c r="J1226" s="96" t="n">
        <v>46296</v>
      </c>
      <c r="K1226" s="96" t="n">
        <v>46288</v>
      </c>
      <c r="O1226" t="inlineStr">
        <is>
          <t>Hrithik Srivastava</t>
        </is>
      </c>
      <c r="Y1226" s="96" t="n">
        <v>46265</v>
      </c>
      <c r="Z1226" t="inlineStr">
        <is>
          <t>https://app.hubspot.com/contacts/243046792/record/0-3/345159376618</t>
        </is>
      </c>
    </row>
    <row r="1227">
      <c r="A1227" t="n">
        <v>1226</v>
      </c>
      <c r="B1227" t="inlineStr">
        <is>
          <t>346982155988</t>
        </is>
      </c>
      <c r="C1227" t="inlineStr">
        <is>
          <t>C#62-2026</t>
        </is>
      </c>
      <c r="D1227" t="inlineStr">
        <is>
          <t>OFF - Cisco Smartnet Service Agreement</t>
        </is>
      </c>
      <c r="E1227" t="inlineStr">
        <is>
          <t>Hempstead Town</t>
        </is>
      </c>
      <c r="F1227" t="inlineStr">
        <is>
          <t>New York</t>
        </is>
      </c>
      <c r="G1227" t="inlineStr">
        <is>
          <t>Submitted</t>
        </is>
      </c>
      <c r="H1227" t="inlineStr">
        <is>
          <t>No</t>
        </is>
      </c>
      <c r="J1227" s="96" t="n">
        <v>46287</v>
      </c>
      <c r="K1227" s="96" t="n">
        <v>46288</v>
      </c>
      <c r="L1227" t="n">
        <v>36227.36</v>
      </c>
      <c r="M1227" t="inlineStr">
        <is>
          <t>Reseller</t>
        </is>
      </c>
      <c r="N1227" t="inlineStr">
        <is>
          <t>Offline;Email</t>
        </is>
      </c>
      <c r="O1227" t="inlineStr">
        <is>
          <t>Ashutosh Chauhan</t>
        </is>
      </c>
      <c r="Y1227" s="96" t="n">
        <v>46274</v>
      </c>
      <c r="Z1227" t="inlineStr">
        <is>
          <t>https://app.hubspot.com/contacts/243046792/record/0-3/346982155988</t>
        </is>
      </c>
    </row>
    <row r="1228">
      <c r="A1228" t="n">
        <v>1227</v>
      </c>
      <c r="B1228" t="inlineStr">
        <is>
          <t>345650841310</t>
        </is>
      </c>
      <c r="D1228" t="inlineStr">
        <is>
          <t>Information Technologies Support Services</t>
        </is>
      </c>
      <c r="E1228" t="inlineStr">
        <is>
          <t>City of Needles</t>
        </is>
      </c>
      <c r="F1228" t="inlineStr">
        <is>
          <t>California</t>
        </is>
      </c>
      <c r="G1228" t="inlineStr">
        <is>
          <t>Interview</t>
        </is>
      </c>
      <c r="H1228" t="inlineStr">
        <is>
          <t>Yes</t>
        </is>
      </c>
      <c r="J1228" s="96" t="n">
        <v>46288</v>
      </c>
      <c r="K1228" s="96" t="n">
        <v>46288</v>
      </c>
      <c r="L1228" t="n">
        <v>71350</v>
      </c>
      <c r="M1228" t="inlineStr">
        <is>
          <t>Consulting</t>
        </is>
      </c>
      <c r="N1228" t="inlineStr">
        <is>
          <t>Portal</t>
        </is>
      </c>
      <c r="O1228" t="inlineStr">
        <is>
          <t>Yash More</t>
        </is>
      </c>
      <c r="Q1228" s="96" t="n">
        <v>46314</v>
      </c>
      <c r="Y1228" s="96" t="n">
        <v>46268</v>
      </c>
      <c r="Z1228" t="inlineStr">
        <is>
          <t>https://app.hubspot.com/contacts/243046792/record/0-3/345650841310</t>
        </is>
      </c>
    </row>
    <row r="1229">
      <c r="A1229" t="n">
        <v>1228</v>
      </c>
      <c r="B1229" t="inlineStr">
        <is>
          <t>348517389002</t>
        </is>
      </c>
      <c r="D1229" t="inlineStr">
        <is>
          <t>"Tyler ERP Migration Implementation Support and AdvisoryServices"</t>
        </is>
      </c>
      <c r="E1229" t="inlineStr">
        <is>
          <t xml:space="preserve">Sarpy County </t>
        </is>
      </c>
      <c r="F1229" t="inlineStr">
        <is>
          <t>Nebraska</t>
        </is>
      </c>
      <c r="G1229" t="inlineStr">
        <is>
          <t>Submitted</t>
        </is>
      </c>
      <c r="H1229" t="inlineStr">
        <is>
          <t>No</t>
        </is>
      </c>
      <c r="J1229" s="96" t="n">
        <v>46289</v>
      </c>
      <c r="K1229" s="96" t="n">
        <v>46289</v>
      </c>
      <c r="O1229" t="inlineStr">
        <is>
          <t>Ashutosh Chauhan</t>
        </is>
      </c>
      <c r="Y1229" s="96" t="n">
        <v>46279</v>
      </c>
      <c r="Z1229" t="inlineStr">
        <is>
          <t>https://app.hubspot.com/contacts/243046792/record/0-3/348517389002</t>
        </is>
      </c>
    </row>
    <row r="1230">
      <c r="A1230" t="n">
        <v>1229</v>
      </c>
      <c r="B1230" t="inlineStr">
        <is>
          <t>346797941487</t>
        </is>
      </c>
      <c r="D1230" t="inlineStr">
        <is>
          <t>INFORMATION TECHNOLOGY SERVICES</t>
        </is>
      </c>
      <c r="E1230" t="inlineStr">
        <is>
          <t>City of Springfield</t>
        </is>
      </c>
      <c r="F1230" t="inlineStr">
        <is>
          <t>Massachusetts</t>
        </is>
      </c>
      <c r="G1230" t="inlineStr">
        <is>
          <t>Submitted</t>
        </is>
      </c>
      <c r="H1230" t="inlineStr">
        <is>
          <t>No</t>
        </is>
      </c>
      <c r="J1230" s="96" t="n">
        <v>46294</v>
      </c>
      <c r="K1230" s="96" t="n">
        <v>46289</v>
      </c>
      <c r="O1230" t="inlineStr">
        <is>
          <t>Hrithik Srivastava</t>
        </is>
      </c>
      <c r="Y1230" s="96" t="n">
        <v>46273</v>
      </c>
      <c r="Z1230" t="inlineStr">
        <is>
          <t>https://app.hubspot.com/contacts/243046792/record/0-3/346797941487</t>
        </is>
      </c>
    </row>
    <row r="1231">
      <c r="A1231" t="n">
        <v>1230</v>
      </c>
      <c r="B1231" t="inlineStr">
        <is>
          <t>345391501039</t>
        </is>
      </c>
      <c r="D1231" t="inlineStr">
        <is>
          <t>AI Powered Chatbot Platform</t>
        </is>
      </c>
      <c r="E1231" t="inlineStr">
        <is>
          <t>City of Grand Rapids</t>
        </is>
      </c>
      <c r="F1231" t="inlineStr">
        <is>
          <t>Michigan</t>
        </is>
      </c>
      <c r="G1231" t="inlineStr">
        <is>
          <t>Submitted</t>
        </is>
      </c>
      <c r="H1231" t="inlineStr">
        <is>
          <t>No</t>
        </is>
      </c>
      <c r="J1231" s="96" t="n">
        <v>46289</v>
      </c>
      <c r="K1231" s="96" t="n">
        <v>46289</v>
      </c>
      <c r="L1231" t="n">
        <v>431760</v>
      </c>
      <c r="M1231" t="inlineStr">
        <is>
          <t>Custom development</t>
        </is>
      </c>
      <c r="O1231" t="inlineStr">
        <is>
          <t>Ashutosh Chauhan</t>
        </is>
      </c>
      <c r="Y1231" s="96" t="n">
        <v>46267</v>
      </c>
      <c r="Z1231" t="inlineStr">
        <is>
          <t>https://app.hubspot.com/contacts/243046792/record/0-3/345391501039</t>
        </is>
      </c>
    </row>
    <row r="1232">
      <c r="A1232" t="n">
        <v>1231</v>
      </c>
      <c r="B1232" t="inlineStr">
        <is>
          <t>344149508825</t>
        </is>
      </c>
      <c r="C1232" t="inlineStr">
        <is>
          <t>RFP No. 27-873</t>
        </is>
      </c>
      <c r="D1232" t="inlineStr">
        <is>
          <t>Enterprise Resource Planning (ERP) Advisory and Procurement Services Consultant</t>
        </is>
      </c>
      <c r="E1232" t="inlineStr">
        <is>
          <t>City of Norwalk</t>
        </is>
      </c>
      <c r="F1232" t="inlineStr">
        <is>
          <t>Connecticut</t>
        </is>
      </c>
      <c r="G1232" t="inlineStr">
        <is>
          <t>Submitted</t>
        </is>
      </c>
      <c r="H1232" t="inlineStr">
        <is>
          <t>No</t>
        </is>
      </c>
      <c r="J1232" s="96" t="n">
        <v>46289</v>
      </c>
      <c r="K1232" s="96" t="n">
        <v>46289</v>
      </c>
      <c r="L1232" t="n">
        <v>114775</v>
      </c>
      <c r="M1232" t="inlineStr">
        <is>
          <t>Consulting</t>
        </is>
      </c>
      <c r="N1232" t="inlineStr">
        <is>
          <t>Portal</t>
        </is>
      </c>
      <c r="O1232" t="inlineStr">
        <is>
          <t>Ashutosh Chauhan</t>
        </is>
      </c>
      <c r="Y1232" s="96" t="n">
        <v>46260</v>
      </c>
      <c r="Z1232" t="inlineStr">
        <is>
          <t>https://app.hubspot.com/contacts/243046792/record/0-3/344149508825</t>
        </is>
      </c>
    </row>
    <row r="1233">
      <c r="A1233" t="n">
        <v>1232</v>
      </c>
      <c r="B1233" t="inlineStr">
        <is>
          <t>347377384125</t>
        </is>
      </c>
      <c r="D1233" t="inlineStr">
        <is>
          <t>INFORMATION TECHNOLOGY AS-NEEDED PROFESSIONAL SERVICES</t>
        </is>
      </c>
      <c r="E1233" t="inlineStr">
        <is>
          <t>City of Santa Ana</t>
        </is>
      </c>
      <c r="F1233" t="inlineStr">
        <is>
          <t>California</t>
        </is>
      </c>
      <c r="G1233" t="inlineStr">
        <is>
          <t>Submitted</t>
        </is>
      </c>
      <c r="H1233" t="inlineStr">
        <is>
          <t>No</t>
        </is>
      </c>
      <c r="J1233" s="96" t="n">
        <v>46289</v>
      </c>
      <c r="K1233" s="96" t="n">
        <v>46289</v>
      </c>
      <c r="O1233" t="inlineStr">
        <is>
          <t>Hrithik Srivastava</t>
        </is>
      </c>
      <c r="Y1233" s="96" t="n">
        <v>46274</v>
      </c>
      <c r="Z1233" t="inlineStr">
        <is>
          <t>https://app.hubspot.com/contacts/243046792/record/0-3/347377384125</t>
        </is>
      </c>
    </row>
    <row r="1234">
      <c r="A1234" t="n">
        <v>1233</v>
      </c>
      <c r="B1234" t="inlineStr">
        <is>
          <t>349204046566</t>
        </is>
      </c>
      <c r="C1234" t="inlineStr">
        <is>
          <t>RFP-RC-2026-025</t>
        </is>
      </c>
      <c r="D1234" t="inlineStr">
        <is>
          <t>IT Consultant Services for the Rockland County Sheriffs Office</t>
        </is>
      </c>
      <c r="E1234" t="inlineStr">
        <is>
          <t>County of Rockland</t>
        </is>
      </c>
      <c r="F1234" t="inlineStr">
        <is>
          <t>New York</t>
        </is>
      </c>
      <c r="G1234" t="inlineStr">
        <is>
          <t>Submitted</t>
        </is>
      </c>
      <c r="H1234" t="inlineStr">
        <is>
          <t>No</t>
        </is>
      </c>
      <c r="J1234" s="96" t="n">
        <v>46289</v>
      </c>
      <c r="K1234" s="96" t="n">
        <v>46289</v>
      </c>
      <c r="L1234" t="n">
        <v>61800</v>
      </c>
      <c r="M1234" t="inlineStr">
        <is>
          <t>Managed Services (MSP);Consulting</t>
        </is>
      </c>
      <c r="N1234" t="inlineStr">
        <is>
          <t>Portal</t>
        </is>
      </c>
      <c r="O1234" t="inlineStr">
        <is>
          <t>Ashutosh Chauhan</t>
        </is>
      </c>
      <c r="Y1234" s="96" t="n">
        <v>46282</v>
      </c>
      <c r="Z1234" t="inlineStr">
        <is>
          <t>https://app.hubspot.com/contacts/243046792/record/0-3/349204046566</t>
        </is>
      </c>
    </row>
    <row r="1235">
      <c r="A1235" t="n">
        <v>1234</v>
      </c>
      <c r="B1235" t="inlineStr">
        <is>
          <t>345390704351</t>
        </is>
      </c>
      <c r="D1235" t="inlineStr">
        <is>
          <t>Offline INFORMATION TECHNOLOGY QUALIFIEDVENDOR POOL</t>
        </is>
      </c>
      <c r="E1235" t="inlineStr">
        <is>
          <t>Town of Hudson</t>
        </is>
      </c>
      <c r="F1235" t="inlineStr">
        <is>
          <t>New Hampshire</t>
        </is>
      </c>
      <c r="G1235" t="inlineStr">
        <is>
          <t>Submitted</t>
        </is>
      </c>
      <c r="H1235" t="inlineStr">
        <is>
          <t>No</t>
        </is>
      </c>
      <c r="J1235" s="96" t="n">
        <v>46290</v>
      </c>
      <c r="K1235" s="96" t="n">
        <v>46289</v>
      </c>
      <c r="M1235" t="inlineStr">
        <is>
          <t>Staff Augmentation</t>
        </is>
      </c>
      <c r="O1235" t="inlineStr">
        <is>
          <t>Yash More</t>
        </is>
      </c>
      <c r="Y1235" s="96" t="n">
        <v>46266</v>
      </c>
      <c r="Z1235" t="inlineStr">
        <is>
          <t>https://app.hubspot.com/contacts/243046792/record/0-3/345390704351</t>
        </is>
      </c>
    </row>
    <row r="1236">
      <c r="A1236" t="n">
        <v>1235</v>
      </c>
      <c r="B1236" t="inlineStr">
        <is>
          <t>345156498106</t>
        </is>
      </c>
      <c r="C1236" t="inlineStr">
        <is>
          <t>IT-PS-26-005</t>
        </is>
      </c>
      <c r="D1236" t="inlineStr">
        <is>
          <t>IMP - MICROSOFT 365 MANAGED SERVICES</t>
        </is>
      </c>
      <c r="E1236" t="inlineStr">
        <is>
          <t>Sonoma-Marin Area Rail Transit</t>
        </is>
      </c>
      <c r="F1236" t="inlineStr">
        <is>
          <t>California</t>
        </is>
      </c>
      <c r="G1236" t="inlineStr">
        <is>
          <t>Interview</t>
        </is>
      </c>
      <c r="H1236" t="inlineStr">
        <is>
          <t>Yes</t>
        </is>
      </c>
      <c r="J1236" s="96" t="n">
        <v>46290</v>
      </c>
      <c r="K1236" s="96" t="n">
        <v>46290</v>
      </c>
      <c r="L1236" t="n">
        <v>378919</v>
      </c>
      <c r="M1236" t="inlineStr">
        <is>
          <t>Managed Services (MSP)</t>
        </is>
      </c>
      <c r="O1236" t="inlineStr">
        <is>
          <t>Hrithik Srivastava</t>
        </is>
      </c>
      <c r="Q1236" s="96" t="n">
        <v>46314</v>
      </c>
      <c r="Y1236" s="96" t="n">
        <v>46265</v>
      </c>
      <c r="Z1236" t="inlineStr">
        <is>
          <t>https://app.hubspot.com/contacts/243046792/record/0-3/345156498106</t>
        </is>
      </c>
    </row>
    <row r="1237">
      <c r="A1237" t="n">
        <v>1236</v>
      </c>
      <c r="B1237" t="inlineStr">
        <is>
          <t>343946922717</t>
        </is>
      </c>
      <c r="C1237" t="inlineStr">
        <is>
          <t>RFP-2027-0005</t>
        </is>
      </c>
      <c r="D1237" t="inlineStr">
        <is>
          <t>Enterprise Resource Planning (ERP) Assessment and Advisory Services</t>
        </is>
      </c>
      <c r="E1237" t="inlineStr">
        <is>
          <t>Oregon Health and Science University</t>
        </is>
      </c>
      <c r="F1237" t="inlineStr">
        <is>
          <t>Oregon</t>
        </is>
      </c>
      <c r="G1237" t="inlineStr">
        <is>
          <t>Submitted</t>
        </is>
      </c>
      <c r="H1237" t="inlineStr">
        <is>
          <t>No</t>
        </is>
      </c>
      <c r="J1237" s="96" t="n">
        <v>46290</v>
      </c>
      <c r="K1237" s="96" t="n">
        <v>46290</v>
      </c>
      <c r="L1237" t="n">
        <v>191000</v>
      </c>
      <c r="M1237" t="inlineStr">
        <is>
          <t>Consulting</t>
        </is>
      </c>
      <c r="N1237" t="inlineStr">
        <is>
          <t>Email</t>
        </is>
      </c>
      <c r="O1237" t="inlineStr">
        <is>
          <t>Ashutosh Chauhan</t>
        </is>
      </c>
      <c r="Y1237" s="96" t="n">
        <v>46260</v>
      </c>
      <c r="Z1237" t="inlineStr">
        <is>
          <t>https://app.hubspot.com/contacts/243046792/record/0-3/343946922717</t>
        </is>
      </c>
    </row>
    <row r="1238">
      <c r="A1238" t="n">
        <v>1237</v>
      </c>
      <c r="B1238" t="inlineStr">
        <is>
          <t>335265625794</t>
        </is>
      </c>
      <c r="C1238" t="inlineStr">
        <is>
          <t>RFP-561</t>
        </is>
      </c>
      <c r="D1238" t="inlineStr">
        <is>
          <t>AI-DRIVEN MOBILE AND WEB APPLICATION “CONNECT YONKERS SENIORS”</t>
        </is>
      </c>
      <c r="E1238" t="inlineStr">
        <is>
          <t>City of Yonkers</t>
        </is>
      </c>
      <c r="F1238" t="inlineStr">
        <is>
          <t>New York</t>
        </is>
      </c>
      <c r="G1238" t="inlineStr">
        <is>
          <t>Submitted</t>
        </is>
      </c>
      <c r="H1238" t="inlineStr">
        <is>
          <t>No</t>
        </is>
      </c>
      <c r="J1238" s="96" t="n">
        <v>46290</v>
      </c>
      <c r="K1238" s="96" t="n">
        <v>46290</v>
      </c>
      <c r="L1238" t="n">
        <v>678530</v>
      </c>
      <c r="M1238" t="inlineStr">
        <is>
          <t>Custom development</t>
        </is>
      </c>
      <c r="N1238" t="inlineStr">
        <is>
          <t>Portal</t>
        </is>
      </c>
      <c r="O1238" t="inlineStr">
        <is>
          <t>Ashutosh Chauhan</t>
        </is>
      </c>
      <c r="Y1238" s="96" t="n">
        <v>46218</v>
      </c>
      <c r="Z1238" t="inlineStr">
        <is>
          <t>https://app.hubspot.com/contacts/243046792/record/0-3/335265625794</t>
        </is>
      </c>
    </row>
    <row r="1239">
      <c r="A1239" t="n">
        <v>1238</v>
      </c>
      <c r="B1239" t="inlineStr">
        <is>
          <t>343124767418</t>
        </is>
      </c>
      <c r="C1239" t="inlineStr">
        <is>
          <t>RFQ No. FIN. 2026-001</t>
        </is>
      </c>
      <c r="D1239" t="inlineStr">
        <is>
          <t>Post-Implementation Support Services for Microsoft Dynamics 365</t>
        </is>
      </c>
      <c r="E1239" t="inlineStr">
        <is>
          <t>Municipal Water District of Orange County (MWDOC)</t>
        </is>
      </c>
      <c r="F1239" t="inlineStr">
        <is>
          <t>California</t>
        </is>
      </c>
      <c r="G1239" t="inlineStr">
        <is>
          <t>Submitted</t>
        </is>
      </c>
      <c r="H1239" t="inlineStr">
        <is>
          <t>No</t>
        </is>
      </c>
      <c r="J1239" s="96" t="n">
        <v>46290</v>
      </c>
      <c r="K1239" s="96" t="n">
        <v>46290</v>
      </c>
      <c r="O1239" t="inlineStr">
        <is>
          <t>Ashutosh Chauhan</t>
        </is>
      </c>
      <c r="Y1239" s="96" t="n">
        <v>46254</v>
      </c>
      <c r="Z1239" t="inlineStr">
        <is>
          <t>https://app.hubspot.com/contacts/243046792/record/0-3/343124767418</t>
        </is>
      </c>
    </row>
    <row r="1240">
      <c r="A1240" t="n">
        <v>1239</v>
      </c>
      <c r="B1240" t="inlineStr">
        <is>
          <t>346576954068</t>
        </is>
      </c>
      <c r="C1240" t="inlineStr">
        <is>
          <t>RFP-FY27-2</t>
        </is>
      </c>
      <c r="D1240" t="inlineStr">
        <is>
          <t>Information Technology Services</t>
        </is>
      </c>
      <c r="E1240" t="inlineStr">
        <is>
          <t>Rural Community Transportation, Inc. (RCT)</t>
        </is>
      </c>
      <c r="F1240" t="inlineStr">
        <is>
          <t>Vermont</t>
        </is>
      </c>
      <c r="G1240" t="inlineStr">
        <is>
          <t>Submitted</t>
        </is>
      </c>
      <c r="H1240" t="inlineStr">
        <is>
          <t>No</t>
        </is>
      </c>
      <c r="J1240" s="96" t="n">
        <v>46290</v>
      </c>
      <c r="K1240" s="96" t="n">
        <v>46290</v>
      </c>
      <c r="M1240" t="inlineStr">
        <is>
          <t>Managed Services (MSP)</t>
        </is>
      </c>
      <c r="O1240" t="inlineStr">
        <is>
          <t>Yash More</t>
        </is>
      </c>
      <c r="Y1240" s="96" t="n">
        <v>46273</v>
      </c>
      <c r="Z1240" t="inlineStr">
        <is>
          <t>https://app.hubspot.com/contacts/243046792/record/0-3/346576954068</t>
        </is>
      </c>
    </row>
    <row r="1241">
      <c r="A1241" t="n">
        <v>1240</v>
      </c>
      <c r="B1241" t="inlineStr">
        <is>
          <t>350071113449</t>
        </is>
      </c>
      <c r="C1241" t="inlineStr">
        <is>
          <t>OM26-27.014</t>
        </is>
      </c>
      <c r="D1241" t="inlineStr">
        <is>
          <t>JDE MANAGED CLOUD SERVICES</t>
        </is>
      </c>
      <c r="E1241" t="inlineStr">
        <is>
          <t xml:space="preserve">Moulton Niguel Water District </t>
        </is>
      </c>
      <c r="F1241" t="inlineStr">
        <is>
          <t>California</t>
        </is>
      </c>
      <c r="G1241" t="inlineStr">
        <is>
          <t>Submitted</t>
        </is>
      </c>
      <c r="H1241" t="inlineStr">
        <is>
          <t>No</t>
        </is>
      </c>
      <c r="J1241" s="96" t="n">
        <v>46293</v>
      </c>
      <c r="K1241" s="96" t="n">
        <v>46293</v>
      </c>
      <c r="L1241" t="n">
        <v>2842770</v>
      </c>
      <c r="M1241" t="inlineStr">
        <is>
          <t>Managed Services (MSP);Modernization / Migration;Consulting</t>
        </is>
      </c>
      <c r="O1241" t="inlineStr">
        <is>
          <t>Hrithik Srivastava</t>
        </is>
      </c>
      <c r="Y1241" s="96" t="n">
        <v>46287</v>
      </c>
      <c r="Z1241" t="inlineStr">
        <is>
          <t>https://app.hubspot.com/contacts/243046792/record/0-3/350071113449</t>
        </is>
      </c>
    </row>
    <row r="1242">
      <c r="A1242" t="n">
        <v>1241</v>
      </c>
      <c r="B1242" t="inlineStr">
        <is>
          <t>347394555638</t>
        </is>
      </c>
      <c r="D1242" t="inlineStr">
        <is>
          <t>Managed Information Technology, Cybersecurity, Educational Systems, and State Testing Support Services</t>
        </is>
      </c>
      <c r="E1242" t="inlineStr">
        <is>
          <t>SouthSide Elementary Charter School</t>
        </is>
      </c>
      <c r="F1242" t="inlineStr">
        <is>
          <t>Alabama</t>
        </is>
      </c>
      <c r="G1242" t="inlineStr">
        <is>
          <t>Submitted</t>
        </is>
      </c>
      <c r="H1242" t="inlineStr">
        <is>
          <t>No</t>
        </is>
      </c>
      <c r="J1242" s="96" t="n">
        <v>46293</v>
      </c>
      <c r="K1242" s="96" t="n">
        <v>46293</v>
      </c>
      <c r="M1242" t="inlineStr">
        <is>
          <t>Managed Services (MSP)</t>
        </is>
      </c>
      <c r="O1242" t="inlineStr">
        <is>
          <t>Ashutosh Chauhan</t>
        </is>
      </c>
      <c r="Y1242" s="96" t="n">
        <v>46275</v>
      </c>
      <c r="Z1242" t="inlineStr">
        <is>
          <t>https://app.hubspot.com/contacts/243046792/record/0-3/347394555638</t>
        </is>
      </c>
    </row>
    <row r="1243">
      <c r="A1243" t="n">
        <v>1242</v>
      </c>
      <c r="B1243" t="inlineStr">
        <is>
          <t>343187433172</t>
        </is>
      </c>
      <c r="D1243" t="inlineStr">
        <is>
          <t>IMP - M365 Phase II Collaboration Tools</t>
        </is>
      </c>
      <c r="E1243" t="inlineStr">
        <is>
          <t>San Diego City Employees’ Retirement System</t>
        </is>
      </c>
      <c r="F1243" t="inlineStr">
        <is>
          <t>California</t>
        </is>
      </c>
      <c r="G1243" t="inlineStr">
        <is>
          <t>Interview</t>
        </is>
      </c>
      <c r="H1243" t="inlineStr">
        <is>
          <t>Yes</t>
        </is>
      </c>
      <c r="J1243" s="96" t="n">
        <v>46293</v>
      </c>
      <c r="K1243" s="96" t="n">
        <v>46293</v>
      </c>
      <c r="O1243" t="inlineStr">
        <is>
          <t>Ashutosh Chauhan</t>
        </is>
      </c>
      <c r="Q1243" s="96" t="n">
        <v>46308</v>
      </c>
      <c r="Y1243" s="96" t="n">
        <v>46254</v>
      </c>
      <c r="Z1243" t="inlineStr">
        <is>
          <t>https://app.hubspot.com/contacts/243046792/record/0-3/343187433172</t>
        </is>
      </c>
    </row>
    <row r="1244">
      <c r="A1244" t="n">
        <v>1243</v>
      </c>
      <c r="B1244" t="inlineStr">
        <is>
          <t>344367688393</t>
        </is>
      </c>
      <c r="C1244" t="inlineStr">
        <is>
          <t>27-09RHT-025</t>
        </is>
      </c>
      <c r="D1244" t="inlineStr">
        <is>
          <t>Rural Health Data Atlas- Informatics Services</t>
        </is>
      </c>
      <c r="E1244" t="inlineStr">
        <is>
          <t>South Dakota Department of Health</t>
        </is>
      </c>
      <c r="F1244" t="inlineStr">
        <is>
          <t>South Dakota</t>
        </is>
      </c>
      <c r="G1244" t="inlineStr">
        <is>
          <t>Submitted</t>
        </is>
      </c>
      <c r="H1244" t="inlineStr">
        <is>
          <t>No</t>
        </is>
      </c>
      <c r="J1244" s="96" t="n">
        <v>46293</v>
      </c>
      <c r="K1244" s="96" t="n">
        <v>46293</v>
      </c>
      <c r="M1244" t="inlineStr">
        <is>
          <t>Consulting</t>
        </is>
      </c>
      <c r="O1244" t="inlineStr">
        <is>
          <t>Yash More</t>
        </is>
      </c>
      <c r="Y1244" s="96" t="n">
        <v>46261</v>
      </c>
      <c r="Z1244" t="inlineStr">
        <is>
          <t>https://app.hubspot.com/contacts/243046792/record/0-3/344367688393</t>
        </is>
      </c>
    </row>
    <row r="1245">
      <c r="A1245" t="n">
        <v>1244</v>
      </c>
      <c r="B1245" t="inlineStr">
        <is>
          <t>345155997383</t>
        </is>
      </c>
      <c r="D1245" t="inlineStr">
        <is>
          <t xml:space="preserve">Security Operation Center as a Service </t>
        </is>
      </c>
      <c r="E1245" t="inlineStr">
        <is>
          <t>OKLAHOMA STATE UNIVERSITY CENTER FOR HEALTH SCIENCES</t>
        </is>
      </c>
      <c r="F1245" t="inlineStr">
        <is>
          <t>Oklahoma</t>
        </is>
      </c>
      <c r="G1245" t="inlineStr">
        <is>
          <t>Submitted</t>
        </is>
      </c>
      <c r="H1245" t="inlineStr">
        <is>
          <t>No</t>
        </is>
      </c>
      <c r="J1245" s="96" t="n">
        <v>46293</v>
      </c>
      <c r="K1245" s="96" t="n">
        <v>46293</v>
      </c>
      <c r="O1245" t="inlineStr">
        <is>
          <t>Ashutosh Chauhan</t>
        </is>
      </c>
      <c r="Y1245" s="96" t="n">
        <v>46267</v>
      </c>
      <c r="Z1245" t="inlineStr">
        <is>
          <t>https://app.hubspot.com/contacts/243046792/record/0-3/345155997383</t>
        </is>
      </c>
    </row>
    <row r="1246">
      <c r="A1246" t="n">
        <v>1245</v>
      </c>
      <c r="B1246" t="inlineStr">
        <is>
          <t>344147315441</t>
        </is>
      </c>
      <c r="C1246" t="inlineStr">
        <is>
          <t>RFP#ITS08.26</t>
        </is>
      </c>
      <c r="D1246" t="inlineStr">
        <is>
          <t xml:space="preserve">OFFLINE IT Managed Services </t>
        </is>
      </c>
      <c r="E1246" t="inlineStr">
        <is>
          <t>Biloxi Housing Authority</t>
        </is>
      </c>
      <c r="F1246" t="inlineStr">
        <is>
          <t>Mississippi</t>
        </is>
      </c>
      <c r="G1246" t="inlineStr">
        <is>
          <t>Submitted</t>
        </is>
      </c>
      <c r="H1246" t="inlineStr">
        <is>
          <t>No</t>
        </is>
      </c>
      <c r="J1246" s="96" t="n">
        <v>46294</v>
      </c>
      <c r="K1246" s="96" t="n">
        <v>46294</v>
      </c>
      <c r="M1246" t="inlineStr">
        <is>
          <t>Managed Services (MSP)</t>
        </is>
      </c>
      <c r="O1246" t="inlineStr">
        <is>
          <t>Yash More</t>
        </is>
      </c>
      <c r="Y1246" s="96" t="n">
        <v>46260</v>
      </c>
      <c r="Z1246" t="inlineStr">
        <is>
          <t>https://app.hubspot.com/contacts/243046792/record/0-3/344147315441</t>
        </is>
      </c>
    </row>
    <row r="1247">
      <c r="A1247" t="n">
        <v>1246</v>
      </c>
      <c r="B1247" t="inlineStr">
        <is>
          <t>344366274241</t>
        </is>
      </c>
      <c r="D1247" t="inlineStr">
        <is>
          <t>Professional and Consulting Services for Strategy and Technology Division</t>
        </is>
      </c>
      <c r="E1247" t="inlineStr">
        <is>
          <t>Fulton County Schools</t>
        </is>
      </c>
      <c r="F1247" t="inlineStr">
        <is>
          <t>Georgia</t>
        </is>
      </c>
      <c r="G1247" t="inlineStr">
        <is>
          <t>Submitted</t>
        </is>
      </c>
      <c r="H1247" t="inlineStr">
        <is>
          <t>No</t>
        </is>
      </c>
      <c r="J1247" s="96" t="n">
        <v>46294</v>
      </c>
      <c r="K1247" s="96" t="n">
        <v>46294</v>
      </c>
      <c r="O1247" t="inlineStr">
        <is>
          <t>Hrithik Srivastava</t>
        </is>
      </c>
      <c r="Y1247" s="96" t="n">
        <v>46261</v>
      </c>
      <c r="Z1247" t="inlineStr">
        <is>
          <t>https://app.hubspot.com/contacts/243046792/record/0-3/344366274241</t>
        </is>
      </c>
    </row>
    <row r="1248">
      <c r="A1248" t="n">
        <v>1247</v>
      </c>
      <c r="B1248" t="inlineStr">
        <is>
          <t>343705060069</t>
        </is>
      </c>
      <c r="D1248" t="inlineStr">
        <is>
          <t>IMP - Intranet Modernization Using M365 G5/SharePoint Online</t>
        </is>
      </c>
      <c r="E1248" t="inlineStr">
        <is>
          <t>Superior Court of California - County of Santa Clara</t>
        </is>
      </c>
      <c r="F1248" t="inlineStr">
        <is>
          <t>California</t>
        </is>
      </c>
      <c r="G1248" t="inlineStr">
        <is>
          <t>Submitted</t>
        </is>
      </c>
      <c r="H1248" t="inlineStr">
        <is>
          <t>No</t>
        </is>
      </c>
      <c r="J1248" s="96" t="n">
        <v>46295</v>
      </c>
      <c r="K1248" s="96" t="n">
        <v>46294</v>
      </c>
      <c r="M1248" t="inlineStr">
        <is>
          <t>Modernization / Migration</t>
        </is>
      </c>
      <c r="O1248" t="inlineStr">
        <is>
          <t>Ashutosh Chauhan</t>
        </is>
      </c>
      <c r="Y1248" s="96" t="n">
        <v>46258</v>
      </c>
      <c r="Z1248" t="inlineStr">
        <is>
          <t>https://app.hubspot.com/contacts/243046792/record/0-3/343705060069</t>
        </is>
      </c>
    </row>
    <row r="1249">
      <c r="A1249" t="n">
        <v>1248</v>
      </c>
      <c r="B1249" t="inlineStr">
        <is>
          <t>350300787442</t>
        </is>
      </c>
      <c r="D1249" t="inlineStr">
        <is>
          <t>Veeam Subscription Licenses Services</t>
        </is>
      </c>
      <c r="E1249" t="inlineStr">
        <is>
          <t>Tarrant County</t>
        </is>
      </c>
      <c r="F1249" t="inlineStr">
        <is>
          <t>Texas</t>
        </is>
      </c>
      <c r="G1249" t="inlineStr">
        <is>
          <t>RFx Cancelled</t>
        </is>
      </c>
      <c r="H1249" t="inlineStr">
        <is>
          <t>No</t>
        </is>
      </c>
      <c r="J1249" s="96" t="n">
        <v>46296</v>
      </c>
      <c r="O1249" t="inlineStr">
        <is>
          <t>Ashutosh Chauhan</t>
        </is>
      </c>
      <c r="Y1249" s="96" t="n">
        <v>46288</v>
      </c>
      <c r="Z1249" t="inlineStr">
        <is>
          <t>https://app.hubspot.com/contacts/243046792/record/0-3/350300787442</t>
        </is>
      </c>
    </row>
    <row r="1250">
      <c r="A1250" t="n">
        <v>1249</v>
      </c>
      <c r="B1250" t="inlineStr">
        <is>
          <t>347394550499</t>
        </is>
      </c>
      <c r="D1250" t="inlineStr">
        <is>
          <t>AI Governance Solution</t>
        </is>
      </c>
      <c r="E1250" t="inlineStr">
        <is>
          <t>Snohomish County</t>
        </is>
      </c>
      <c r="F1250" t="inlineStr">
        <is>
          <t>Washington</t>
        </is>
      </c>
      <c r="G1250" t="inlineStr">
        <is>
          <t>RFx Cancelled</t>
        </is>
      </c>
      <c r="H1250" t="inlineStr">
        <is>
          <t>No</t>
        </is>
      </c>
      <c r="J1250" s="96" t="n">
        <v>46296</v>
      </c>
      <c r="O1250" t="inlineStr">
        <is>
          <t>Hrithik Srivastava</t>
        </is>
      </c>
      <c r="Y1250" s="96" t="n">
        <v>46275</v>
      </c>
      <c r="Z1250" t="inlineStr">
        <is>
          <t>https://app.hubspot.com/contacts/243046792/record/0-3/347394550499</t>
        </is>
      </c>
    </row>
    <row r="1251">
      <c r="A1251" t="n">
        <v>1250</v>
      </c>
      <c r="B1251" t="inlineStr">
        <is>
          <t>350435180268</t>
        </is>
      </c>
      <c r="D1251" t="inlineStr">
        <is>
          <t>RFP804 – WordPress and Website Support</t>
        </is>
      </c>
      <c r="E1251" t="inlineStr">
        <is>
          <t xml:space="preserve">Atlanta Regional Commission </t>
        </is>
      </c>
      <c r="F1251" t="inlineStr">
        <is>
          <t>Georgia</t>
        </is>
      </c>
      <c r="G1251" t="inlineStr">
        <is>
          <t>RFx Cancelled</t>
        </is>
      </c>
      <c r="H1251" t="inlineStr">
        <is>
          <t>No</t>
        </is>
      </c>
      <c r="J1251" s="96" t="n">
        <v>46317</v>
      </c>
      <c r="O1251" t="inlineStr">
        <is>
          <t>Ashutosh Chauhan</t>
        </is>
      </c>
      <c r="Y1251" s="96" t="n">
        <v>46289</v>
      </c>
      <c r="Z1251" t="inlineStr">
        <is>
          <t>https://app.hubspot.com/contacts/243046792/record/0-3/350435180268</t>
        </is>
      </c>
    </row>
    <row r="1252">
      <c r="A1252" t="n">
        <v>1251</v>
      </c>
      <c r="B1252" t="inlineStr">
        <is>
          <t>343946966742</t>
        </is>
      </c>
      <c r="D1252" t="inlineStr">
        <is>
          <t>Information Technology Service Management (ITSM) System for CalHFA Information Technology Division</t>
        </is>
      </c>
      <c r="E1252" t="inlineStr">
        <is>
          <t>California Housing Finance Agency (CalHFA)</t>
        </is>
      </c>
      <c r="F1252" t="inlineStr">
        <is>
          <t>California</t>
        </is>
      </c>
      <c r="G1252" t="inlineStr">
        <is>
          <t>Submitted</t>
        </is>
      </c>
      <c r="H1252" t="inlineStr">
        <is>
          <t>No</t>
        </is>
      </c>
      <c r="J1252" s="96" t="n">
        <v>46294</v>
      </c>
      <c r="K1252" s="96" t="n">
        <v>46294</v>
      </c>
      <c r="L1252" t="n">
        <v>217370</v>
      </c>
      <c r="M1252" t="inlineStr">
        <is>
          <t>Consulting</t>
        </is>
      </c>
      <c r="N1252" t="inlineStr">
        <is>
          <t>Email</t>
        </is>
      </c>
      <c r="O1252" t="inlineStr">
        <is>
          <t>Hrithik Srivastava</t>
        </is>
      </c>
      <c r="Y1252" s="96" t="n">
        <v>46260</v>
      </c>
      <c r="Z1252" t="inlineStr">
        <is>
          <t>https://app.hubspot.com/contacts/243046792/record/0-3/343946966742</t>
        </is>
      </c>
    </row>
    <row r="1253">
      <c r="A1253" t="n">
        <v>1252</v>
      </c>
      <c r="B1253" t="inlineStr">
        <is>
          <t>344951223028</t>
        </is>
      </c>
      <c r="C1253" t="inlineStr">
        <is>
          <t>RFP 26-R-87261</t>
        </is>
      </c>
      <c r="D1253" t="inlineStr">
        <is>
          <t>ServiceNow Software Implementation Services</t>
        </is>
      </c>
      <c r="E1253" t="inlineStr">
        <is>
          <t>Alaska Native Tribal Health Consortium</t>
        </is>
      </c>
      <c r="G1253" t="inlineStr">
        <is>
          <t>Submitted</t>
        </is>
      </c>
      <c r="H1253" t="inlineStr">
        <is>
          <t>No</t>
        </is>
      </c>
      <c r="J1253" s="96" t="n">
        <v>46296</v>
      </c>
      <c r="K1253" s="96" t="n">
        <v>46294</v>
      </c>
      <c r="M1253" t="inlineStr">
        <is>
          <t>Platform Implementation (ERP, CRMs)</t>
        </is>
      </c>
      <c r="O1253" t="inlineStr">
        <is>
          <t>Yash More</t>
        </is>
      </c>
      <c r="Y1253" s="96" t="n">
        <v>46265</v>
      </c>
      <c r="Z1253" t="inlineStr">
        <is>
          <t>https://app.hubspot.com/contacts/243046792/record/0-3/344951223028</t>
        </is>
      </c>
    </row>
    <row r="1254">
      <c r="A1254" t="n">
        <v>1253</v>
      </c>
      <c r="B1254" t="inlineStr">
        <is>
          <t>351474018003</t>
        </is>
      </c>
      <c r="D1254" t="inlineStr">
        <is>
          <t>Additional SOW - Digital Forms and Workflow Enhancement</t>
        </is>
      </c>
      <c r="E1254" t="inlineStr">
        <is>
          <t>Santa Clara Valley Transportation Authority</t>
        </is>
      </c>
      <c r="F1254" t="inlineStr">
        <is>
          <t>California</t>
        </is>
      </c>
      <c r="G1254" t="inlineStr">
        <is>
          <t>Submitted</t>
        </is>
      </c>
      <c r="H1254" t="inlineStr">
        <is>
          <t>No</t>
        </is>
      </c>
      <c r="K1254" s="96" t="n">
        <v>46295</v>
      </c>
      <c r="M1254" t="inlineStr">
        <is>
          <t>Custom development</t>
        </is>
      </c>
      <c r="O1254" t="inlineStr">
        <is>
          <t>Ashutosh Chauhan</t>
        </is>
      </c>
      <c r="Y1254" s="96" t="n">
        <v>46296</v>
      </c>
      <c r="Z1254" t="inlineStr">
        <is>
          <t>https://app.hubspot.com/contacts/243046792/record/0-3/351474018003</t>
        </is>
      </c>
    </row>
    <row r="1255">
      <c r="A1255" t="n">
        <v>1254</v>
      </c>
      <c r="B1255" t="inlineStr">
        <is>
          <t>348946502358</t>
        </is>
      </c>
      <c r="D1255" t="inlineStr">
        <is>
          <t>Digital Security &amp; Content Risk Review</t>
        </is>
      </c>
      <c r="E1255" t="inlineStr">
        <is>
          <t>NATIVE AMERICAN FISH AND WILDLIFE SOCIETY</t>
        </is>
      </c>
      <c r="G1255" t="inlineStr">
        <is>
          <t>Submitted</t>
        </is>
      </c>
      <c r="H1255" t="inlineStr">
        <is>
          <t>No</t>
        </is>
      </c>
      <c r="J1255" s="96" t="n">
        <v>46300</v>
      </c>
      <c r="K1255" s="96" t="n">
        <v>46295</v>
      </c>
      <c r="L1255" t="n">
        <v>32645</v>
      </c>
      <c r="M1255" t="inlineStr">
        <is>
          <t>Audits and Assessment</t>
        </is>
      </c>
      <c r="O1255" t="inlineStr">
        <is>
          <t>Hrithik Srivastava</t>
        </is>
      </c>
      <c r="Y1255" s="96" t="n">
        <v>46282</v>
      </c>
      <c r="Z1255" t="inlineStr">
        <is>
          <t>https://app.hubspot.com/contacts/243046792/record/0-3/348946502358</t>
        </is>
      </c>
    </row>
    <row r="1256">
      <c r="A1256" t="n">
        <v>1255</v>
      </c>
      <c r="B1256" t="inlineStr">
        <is>
          <t>350193789651</t>
        </is>
      </c>
      <c r="D1256" t="inlineStr">
        <is>
          <t>AI Advisory and Tool Evaluation Services</t>
        </is>
      </c>
      <c r="E1256" t="inlineStr">
        <is>
          <t>Chesapeake Bay Foundation, Inc.</t>
        </is>
      </c>
      <c r="G1256" t="inlineStr">
        <is>
          <t>Submitted</t>
        </is>
      </c>
      <c r="H1256" t="inlineStr">
        <is>
          <t>No</t>
        </is>
      </c>
      <c r="J1256" s="96" t="n">
        <v>46295</v>
      </c>
      <c r="K1256" s="96" t="n">
        <v>46295</v>
      </c>
      <c r="L1256" t="n">
        <v>101286</v>
      </c>
      <c r="M1256" t="inlineStr">
        <is>
          <t>Consulting;Audits and Assessment</t>
        </is>
      </c>
      <c r="O1256" t="inlineStr">
        <is>
          <t>Hrithik Srivastava</t>
        </is>
      </c>
      <c r="Y1256" s="96" t="n">
        <v>46288</v>
      </c>
      <c r="Z1256" t="inlineStr">
        <is>
          <t>https://app.hubspot.com/contacts/243046792/record/0-3/350193789651</t>
        </is>
      </c>
    </row>
    <row r="1257">
      <c r="A1257" t="n">
        <v>1256</v>
      </c>
      <c r="B1257" t="inlineStr">
        <is>
          <t>347098202834</t>
        </is>
      </c>
      <c r="C1257" t="inlineStr">
        <is>
          <t>10575</t>
        </is>
      </c>
      <c r="D1257" t="inlineStr">
        <is>
          <t>Customer Experience AI Chatbot</t>
        </is>
      </c>
      <c r="E1257" t="inlineStr">
        <is>
          <t>Denver Water Purchasing</t>
        </is>
      </c>
      <c r="G1257" t="inlineStr">
        <is>
          <t>Submitted</t>
        </is>
      </c>
      <c r="H1257" t="inlineStr">
        <is>
          <t>No</t>
        </is>
      </c>
      <c r="J1257" s="96" t="n">
        <v>46295</v>
      </c>
      <c r="K1257" s="96" t="n">
        <v>46295</v>
      </c>
      <c r="O1257" t="inlineStr">
        <is>
          <t>Ashutosh Chauhan</t>
        </is>
      </c>
      <c r="Y1257" s="96" t="n">
        <v>46274</v>
      </c>
      <c r="Z1257" t="inlineStr">
        <is>
          <t>https://app.hubspot.com/contacts/243046792/record/0-3/347098202834</t>
        </is>
      </c>
    </row>
    <row r="1258">
      <c r="A1258" t="n">
        <v>1257</v>
      </c>
      <c r="B1258" t="inlineStr">
        <is>
          <t>350220149471</t>
        </is>
      </c>
      <c r="D1258" t="inlineStr">
        <is>
          <t>Offline: Technology Consulting Services</t>
        </is>
      </c>
      <c r="E1258" t="inlineStr">
        <is>
          <t>Westbury Union Free School District</t>
        </is>
      </c>
      <c r="G1258" t="inlineStr">
        <is>
          <t>Submitted</t>
        </is>
      </c>
      <c r="H1258" t="inlineStr">
        <is>
          <t>No</t>
        </is>
      </c>
      <c r="J1258" s="96" t="n">
        <v>46297</v>
      </c>
      <c r="K1258" s="96" t="n">
        <v>46295</v>
      </c>
      <c r="L1258" t="n">
        <v>244080</v>
      </c>
      <c r="M1258" t="inlineStr">
        <is>
          <t>Support &amp; Maintenance;Custom development</t>
        </is>
      </c>
      <c r="O1258" t="inlineStr">
        <is>
          <t>Hrithik Srivastava</t>
        </is>
      </c>
      <c r="Y1258" s="96" t="n">
        <v>46290</v>
      </c>
      <c r="Z1258" t="inlineStr">
        <is>
          <t>https://app.hubspot.com/contacts/243046792/record/0-3/350220149471</t>
        </is>
      </c>
    </row>
    <row r="1259">
      <c r="A1259" t="n">
        <v>1258</v>
      </c>
      <c r="B1259" t="inlineStr">
        <is>
          <t>351935672018</t>
        </is>
      </c>
      <c r="D1259" t="inlineStr">
        <is>
          <t>Monitors Quote</t>
        </is>
      </c>
      <c r="E1259" t="inlineStr">
        <is>
          <t xml:space="preserve">New Mexico Finance Authority (“NMFA”) </t>
        </is>
      </c>
      <c r="F1259" t="inlineStr">
        <is>
          <t>New Mexico</t>
        </is>
      </c>
      <c r="G1259" t="inlineStr">
        <is>
          <t>Intent to Award</t>
        </is>
      </c>
      <c r="H1259" t="inlineStr">
        <is>
          <t>No</t>
        </is>
      </c>
      <c r="J1259" s="96" t="n">
        <v>46295</v>
      </c>
      <c r="K1259" s="96" t="n">
        <v>46295</v>
      </c>
      <c r="L1259" t="n">
        <v>5294.48</v>
      </c>
      <c r="M1259" t="inlineStr">
        <is>
          <t>Reseller</t>
        </is>
      </c>
      <c r="O1259" t="inlineStr">
        <is>
          <t>Ashutosh Chauhan</t>
        </is>
      </c>
      <c r="S1259" s="96" t="n">
        <v>46310</v>
      </c>
      <c r="Y1259" s="96" t="n">
        <v>46296</v>
      </c>
      <c r="Z1259" t="inlineStr">
        <is>
          <t>https://app.hubspot.com/contacts/243046792/record/0-3/351935672018</t>
        </is>
      </c>
    </row>
    <row r="1260">
      <c r="A1260" t="n">
        <v>1259</v>
      </c>
      <c r="B1260" t="inlineStr">
        <is>
          <t>351471752920</t>
        </is>
      </c>
      <c r="D1260" t="inlineStr">
        <is>
          <t>Island Licensing Quote</t>
        </is>
      </c>
      <c r="E1260" t="inlineStr">
        <is>
          <t xml:space="preserve">New Mexico Finance Authority (“NMFA”) </t>
        </is>
      </c>
      <c r="F1260" t="inlineStr">
        <is>
          <t>New Mexico</t>
        </is>
      </c>
      <c r="G1260" t="inlineStr">
        <is>
          <t>Submitted</t>
        </is>
      </c>
      <c r="H1260" t="inlineStr">
        <is>
          <t>No</t>
        </is>
      </c>
      <c r="J1260" s="96" t="n">
        <v>46295</v>
      </c>
      <c r="K1260" s="96" t="n">
        <v>46295</v>
      </c>
      <c r="L1260" t="n">
        <v>24396.71</v>
      </c>
      <c r="M1260" t="inlineStr">
        <is>
          <t>Reseller</t>
        </is>
      </c>
      <c r="O1260" t="inlineStr">
        <is>
          <t>Ashutosh Chauhan</t>
        </is>
      </c>
      <c r="Y1260" s="96" t="n">
        <v>46295</v>
      </c>
      <c r="Z1260" t="inlineStr">
        <is>
          <t>https://app.hubspot.com/contacts/243046792/record/0-3/351471752920</t>
        </is>
      </c>
    </row>
    <row r="1261">
      <c r="A1261" t="n">
        <v>1260</v>
      </c>
      <c r="B1261" t="inlineStr">
        <is>
          <t>351424015062</t>
        </is>
      </c>
      <c r="D1261" t="inlineStr">
        <is>
          <t>Zoom License Renewal Quote</t>
        </is>
      </c>
      <c r="E1261" t="inlineStr">
        <is>
          <t xml:space="preserve">New Mexico Finance Authority (“NMFA”) </t>
        </is>
      </c>
      <c r="F1261" t="inlineStr">
        <is>
          <t>New Mexico</t>
        </is>
      </c>
      <c r="G1261" t="inlineStr">
        <is>
          <t>Closed Lost</t>
        </is>
      </c>
      <c r="H1261" t="inlineStr">
        <is>
          <t>No</t>
        </is>
      </c>
      <c r="J1261" s="96" t="n">
        <v>46308</v>
      </c>
      <c r="K1261" s="96" t="n">
        <v>46295</v>
      </c>
      <c r="L1261" t="n">
        <v>32055.23</v>
      </c>
      <c r="M1261" t="inlineStr">
        <is>
          <t>Reseller</t>
        </is>
      </c>
      <c r="O1261" t="inlineStr">
        <is>
          <t>Ashutosh Chauhan</t>
        </is>
      </c>
      <c r="Y1261" s="96" t="n">
        <v>46295</v>
      </c>
      <c r="Z1261" t="inlineStr">
        <is>
          <t>https://app.hubspot.com/contacts/243046792/record/0-3/351424015062</t>
        </is>
      </c>
    </row>
    <row r="1262">
      <c r="A1262" t="n">
        <v>1261</v>
      </c>
      <c r="B1262" t="inlineStr">
        <is>
          <t>343126319830</t>
        </is>
      </c>
      <c r="D1262" t="inlineStr">
        <is>
          <t>MANAGED INFORMATION TECHNOLOGY SUPPORT SERVICES</t>
        </is>
      </c>
      <c r="E1262" t="inlineStr">
        <is>
          <t>City of Mora</t>
        </is>
      </c>
      <c r="G1262" t="inlineStr">
        <is>
          <t>Submitted</t>
        </is>
      </c>
      <c r="H1262" t="inlineStr">
        <is>
          <t>No</t>
        </is>
      </c>
      <c r="J1262" s="96" t="n">
        <v>46297</v>
      </c>
      <c r="K1262" s="96" t="n">
        <v>46295</v>
      </c>
      <c r="O1262" t="inlineStr">
        <is>
          <t>Ashutosh Chauhan</t>
        </is>
      </c>
      <c r="Y1262" s="96" t="n">
        <v>46255</v>
      </c>
      <c r="Z1262" t="inlineStr">
        <is>
          <t>https://app.hubspot.com/contacts/243046792/record/0-3/343126319830</t>
        </is>
      </c>
    </row>
    <row r="1263">
      <c r="A1263" t="n">
        <v>1262</v>
      </c>
      <c r="B1263" t="inlineStr">
        <is>
          <t>343941854944</t>
        </is>
      </c>
      <c r="C1263" t="inlineStr">
        <is>
          <t>OSUA&amp;M-RFP-001862-2027</t>
        </is>
      </c>
      <c r="D1263" t="inlineStr">
        <is>
          <t>Website Hosting, Maintenance, Accessibility, and Support Services for the A&amp;M Colleges</t>
        </is>
      </c>
      <c r="E1263" t="inlineStr">
        <is>
          <t>Oklahoma State University</t>
        </is>
      </c>
      <c r="G1263" t="inlineStr">
        <is>
          <t>Submitted</t>
        </is>
      </c>
      <c r="H1263" t="inlineStr">
        <is>
          <t>No</t>
        </is>
      </c>
      <c r="J1263" s="96" t="n">
        <v>46294</v>
      </c>
      <c r="K1263" s="96" t="n">
        <v>46295</v>
      </c>
      <c r="M1263" t="inlineStr">
        <is>
          <t>Support &amp; Maintenance</t>
        </is>
      </c>
      <c r="O1263" t="inlineStr">
        <is>
          <t>Yash More</t>
        </is>
      </c>
      <c r="Y1263" s="96" t="n">
        <v>46259</v>
      </c>
      <c r="Z1263" t="inlineStr">
        <is>
          <t>https://app.hubspot.com/contacts/243046792/record/0-3/343941854944</t>
        </is>
      </c>
    </row>
    <row r="1264">
      <c r="A1264" t="n">
        <v>1263</v>
      </c>
      <c r="B1264" t="inlineStr">
        <is>
          <t>349160283896</t>
        </is>
      </c>
      <c r="C1264" t="inlineStr">
        <is>
          <t>2026-02</t>
        </is>
      </c>
      <c r="D1264" t="inlineStr">
        <is>
          <t>OFF - Rfp Managed It Services</t>
        </is>
      </c>
      <c r="E1264" t="inlineStr">
        <is>
          <t>City of Coweta</t>
        </is>
      </c>
      <c r="G1264" t="inlineStr">
        <is>
          <t>Submitted</t>
        </is>
      </c>
      <c r="H1264" t="inlineStr">
        <is>
          <t>No</t>
        </is>
      </c>
      <c r="J1264" s="96" t="n">
        <v>46295</v>
      </c>
      <c r="K1264" s="96" t="n">
        <v>46295</v>
      </c>
      <c r="L1264" t="n">
        <v>168400</v>
      </c>
      <c r="M1264" t="inlineStr">
        <is>
          <t>Managed Services (MSP)</t>
        </is>
      </c>
      <c r="N1264" t="inlineStr">
        <is>
          <t>Offline</t>
        </is>
      </c>
      <c r="O1264" t="inlineStr">
        <is>
          <t>Ashutosh Chauhan</t>
        </is>
      </c>
      <c r="Y1264" s="96" t="n">
        <v>46283</v>
      </c>
      <c r="Z1264" t="inlineStr">
        <is>
          <t>https://app.hubspot.com/contacts/243046792/record/0-3/349160283896</t>
        </is>
      </c>
    </row>
    <row r="1265">
      <c r="A1265" t="n">
        <v>1264</v>
      </c>
      <c r="B1265" t="inlineStr">
        <is>
          <t>345469491954</t>
        </is>
      </c>
      <c r="D1265" t="inlineStr">
        <is>
          <t>OFFLINE IT and Security Support Services (Re-Bid)</t>
        </is>
      </c>
      <c r="E1265" t="inlineStr">
        <is>
          <t>The Housing Authority of the City of Orange</t>
        </is>
      </c>
      <c r="F1265" t="inlineStr">
        <is>
          <t>California</t>
        </is>
      </c>
      <c r="G1265" t="inlineStr">
        <is>
          <t>Submitted</t>
        </is>
      </c>
      <c r="H1265" t="inlineStr">
        <is>
          <t>No</t>
        </is>
      </c>
      <c r="J1265" s="96" t="n">
        <v>46295</v>
      </c>
      <c r="K1265" s="96" t="n">
        <v>46295</v>
      </c>
      <c r="M1265" t="inlineStr">
        <is>
          <t>Managed Services (MSP);Modernization / Migration</t>
        </is>
      </c>
      <c r="O1265" t="inlineStr">
        <is>
          <t>Yash More</t>
        </is>
      </c>
      <c r="Y1265" s="96" t="n">
        <v>46267</v>
      </c>
      <c r="Z1265" t="inlineStr">
        <is>
          <t>https://app.hubspot.com/contacts/243046792/record/0-3/345469491954</t>
        </is>
      </c>
    </row>
    <row r="1266">
      <c r="A1266" t="n">
        <v>1265</v>
      </c>
      <c r="B1266" t="inlineStr">
        <is>
          <t>345470311116</t>
        </is>
      </c>
      <c r="D1266" t="inlineStr">
        <is>
          <t>Artificial Intelligence (AI) Solutions - Products &amp; Services</t>
        </is>
      </c>
      <c r="E1266" t="inlineStr">
        <is>
          <t>Region 6 Education Service Center</t>
        </is>
      </c>
      <c r="F1266" t="inlineStr">
        <is>
          <t>Texas</t>
        </is>
      </c>
      <c r="G1266" t="inlineStr">
        <is>
          <t>RFx Cancelled</t>
        </is>
      </c>
      <c r="H1266" t="inlineStr">
        <is>
          <t>No</t>
        </is>
      </c>
      <c r="J1266" s="96" t="n">
        <v>46296</v>
      </c>
      <c r="K1266" s="96" t="n">
        <v>46295</v>
      </c>
      <c r="M1266" t="inlineStr">
        <is>
          <t>Custom development;Staff Augmentation;Consulting</t>
        </is>
      </c>
      <c r="O1266" t="inlineStr">
        <is>
          <t>Hrithik Srivastava</t>
        </is>
      </c>
      <c r="Y1266" s="96" t="n">
        <v>46268</v>
      </c>
      <c r="Z1266" t="inlineStr">
        <is>
          <t>https://app.hubspot.com/contacts/243046792/record/0-3/345470311116</t>
        </is>
      </c>
    </row>
    <row r="1267">
      <c r="A1267" t="n">
        <v>1266</v>
      </c>
      <c r="B1267" t="inlineStr">
        <is>
          <t>345390831323</t>
        </is>
      </c>
      <c r="C1267" t="inlineStr">
        <is>
          <t>DOC2368394436</t>
        </is>
      </c>
      <c r="D1267" t="inlineStr">
        <is>
          <t xml:space="preserve">Cybersecurity &amp; Managed Security Services </t>
        </is>
      </c>
      <c r="E1267" t="inlineStr">
        <is>
          <t>Pennsylvania’s State System of Higher Education</t>
        </is>
      </c>
      <c r="G1267" t="inlineStr">
        <is>
          <t>Submitted</t>
        </is>
      </c>
      <c r="H1267" t="inlineStr">
        <is>
          <t>No</t>
        </is>
      </c>
      <c r="J1267" s="96" t="n">
        <v>46296</v>
      </c>
      <c r="K1267" s="96" t="n">
        <v>46295</v>
      </c>
      <c r="O1267" t="inlineStr">
        <is>
          <t>Hrithik Srivastava</t>
        </is>
      </c>
      <c r="Y1267" s="96" t="n">
        <v>46267</v>
      </c>
      <c r="Z1267" t="inlineStr">
        <is>
          <t>https://app.hubspot.com/contacts/243046792/record/0-3/345390831323</t>
        </is>
      </c>
    </row>
    <row r="1268">
      <c r="A1268" t="n">
        <v>1267</v>
      </c>
      <c r="B1268" t="inlineStr">
        <is>
          <t>348946515662</t>
        </is>
      </c>
      <c r="C1268" t="inlineStr">
        <is>
          <t>RFP 09-14-2026</t>
        </is>
      </c>
      <c r="D1268" t="inlineStr">
        <is>
          <t>AI-Assisted Clinical Note Writing System</t>
        </is>
      </c>
      <c r="E1268" t="inlineStr">
        <is>
          <t>Weber Human Services</t>
        </is>
      </c>
      <c r="G1268" t="inlineStr">
        <is>
          <t>Submitted</t>
        </is>
      </c>
      <c r="H1268" t="inlineStr">
        <is>
          <t>No</t>
        </is>
      </c>
      <c r="J1268" s="96" t="n">
        <v>46297</v>
      </c>
      <c r="K1268" s="96" t="n">
        <v>46295</v>
      </c>
      <c r="L1268" t="n">
        <v>78100</v>
      </c>
      <c r="N1268" t="inlineStr">
        <is>
          <t>Email</t>
        </is>
      </c>
      <c r="O1268" t="inlineStr">
        <is>
          <t>Ashutosh Chauhan</t>
        </is>
      </c>
      <c r="Y1268" s="96" t="n">
        <v>46282</v>
      </c>
      <c r="Z1268" t="inlineStr">
        <is>
          <t>https://app.hubspot.com/contacts/243046792/record/0-3/348946515662</t>
        </is>
      </c>
    </row>
    <row r="1269">
      <c r="A1269" t="n">
        <v>1268</v>
      </c>
      <c r="B1269" t="inlineStr">
        <is>
          <t>343185456858</t>
        </is>
      </c>
      <c r="C1269" t="inlineStr">
        <is>
          <t>0000002189</t>
        </is>
      </c>
      <c r="D1269" t="inlineStr">
        <is>
          <t>As Needed Managed services for Oracle</t>
        </is>
      </c>
      <c r="E1269" t="inlineStr">
        <is>
          <t>County of Sonoma</t>
        </is>
      </c>
      <c r="G1269" t="inlineStr">
        <is>
          <t>Submitted</t>
        </is>
      </c>
      <c r="H1269" t="inlineStr">
        <is>
          <t>No</t>
        </is>
      </c>
      <c r="J1269" s="96" t="n">
        <v>46297</v>
      </c>
      <c r="K1269" s="96" t="n">
        <v>46295</v>
      </c>
      <c r="N1269" t="inlineStr">
        <is>
          <t>Portal</t>
        </is>
      </c>
      <c r="O1269" t="inlineStr">
        <is>
          <t>Ashutosh Chauhan</t>
        </is>
      </c>
      <c r="Y1269" s="96" t="n">
        <v>46255</v>
      </c>
      <c r="Z1269" t="inlineStr">
        <is>
          <t>https://app.hubspot.com/contacts/243046792/record/0-3/343185456858</t>
        </is>
      </c>
    </row>
    <row r="1270">
      <c r="A1270" t="n">
        <v>1269</v>
      </c>
      <c r="B1270" t="inlineStr">
        <is>
          <t>349600938739</t>
        </is>
      </c>
      <c r="C1270" t="inlineStr">
        <is>
          <t>4350</t>
        </is>
      </c>
      <c r="D1270" t="inlineStr">
        <is>
          <t>IT Helpdesk Remote Services Level 1 &amp; 2</t>
        </is>
      </c>
      <c r="E1270" t="inlineStr">
        <is>
          <t>Riverbay Corporation "Coop City"</t>
        </is>
      </c>
      <c r="G1270" t="inlineStr">
        <is>
          <t>Submitted</t>
        </is>
      </c>
      <c r="H1270" t="inlineStr">
        <is>
          <t>No</t>
        </is>
      </c>
      <c r="J1270" s="96" t="n">
        <v>46295</v>
      </c>
      <c r="K1270" s="96" t="n">
        <v>46295</v>
      </c>
      <c r="L1270" t="n">
        <v>88480</v>
      </c>
      <c r="M1270" t="inlineStr">
        <is>
          <t>Consulting;Managed Services (MSP)</t>
        </is>
      </c>
      <c r="N1270" t="inlineStr">
        <is>
          <t>Portal</t>
        </is>
      </c>
      <c r="O1270" t="inlineStr">
        <is>
          <t>Yash More</t>
        </is>
      </c>
      <c r="Y1270" s="96" t="n">
        <v>46286</v>
      </c>
      <c r="Z1270" t="inlineStr">
        <is>
          <t>https://app.hubspot.com/contacts/243046792/record/0-3/349600938739</t>
        </is>
      </c>
    </row>
    <row r="1271">
      <c r="A1271" t="n">
        <v>1270</v>
      </c>
      <c r="B1271" t="inlineStr">
        <is>
          <t>343708728039</t>
        </is>
      </c>
      <c r="D1271" t="inlineStr">
        <is>
          <t>IMP - Oracle Support</t>
        </is>
      </c>
      <c r="E1271" t="inlineStr">
        <is>
          <t>Milwaukee Metropolitan Sewerage District</t>
        </is>
      </c>
      <c r="G1271" t="inlineStr">
        <is>
          <t>Submitted</t>
        </is>
      </c>
      <c r="H1271" t="inlineStr">
        <is>
          <t>No</t>
        </is>
      </c>
      <c r="J1271" s="96" t="n">
        <v>46296</v>
      </c>
      <c r="K1271" s="96" t="n">
        <v>46295</v>
      </c>
      <c r="O1271" t="inlineStr">
        <is>
          <t>Hrithik Srivastava</t>
        </is>
      </c>
      <c r="Y1271" s="96" t="n">
        <v>46259</v>
      </c>
      <c r="Z1271" t="inlineStr">
        <is>
          <t>https://app.hubspot.com/contacts/243046792/record/0-3/343708728039</t>
        </is>
      </c>
    </row>
    <row r="1272">
      <c r="A1272" t="n">
        <v>1271</v>
      </c>
      <c r="B1272" t="inlineStr">
        <is>
          <t>348350315240</t>
        </is>
      </c>
      <c r="D1272" t="inlineStr">
        <is>
          <t>ERP Modernization- System Integrator</t>
        </is>
      </c>
      <c r="E1272" t="inlineStr">
        <is>
          <t>City of Raleigh</t>
        </is>
      </c>
      <c r="F1272" t="inlineStr">
        <is>
          <t>North Carolina</t>
        </is>
      </c>
      <c r="G1272" t="inlineStr">
        <is>
          <t>Submitted</t>
        </is>
      </c>
      <c r="H1272" t="inlineStr">
        <is>
          <t>No</t>
        </is>
      </c>
      <c r="J1272" s="96" t="n">
        <v>46297</v>
      </c>
      <c r="K1272" s="96" t="n">
        <v>46295</v>
      </c>
      <c r="O1272" t="inlineStr">
        <is>
          <t>Ashutosh Chauhan</t>
        </is>
      </c>
      <c r="Y1272" s="96" t="n">
        <v>46279</v>
      </c>
      <c r="Z1272" t="inlineStr">
        <is>
          <t>https://app.hubspot.com/contacts/243046792/record/0-3/348350315240</t>
        </is>
      </c>
    </row>
    <row r="1273">
      <c r="A1273" t="n">
        <v>1272</v>
      </c>
      <c r="B1273" t="inlineStr">
        <is>
          <t>350071113436</t>
        </is>
      </c>
      <c r="C1273" t="inlineStr">
        <is>
          <t>26-084-CCC</t>
        </is>
      </c>
      <c r="D1273" t="inlineStr">
        <is>
          <t>DuPage Circuit Clerk CMS and Web Software Development and Support With Government Cloud Hosted Storage</t>
        </is>
      </c>
      <c r="E1273" t="inlineStr">
        <is>
          <t>Dupage County</t>
        </is>
      </c>
      <c r="F1273" t="inlineStr">
        <is>
          <t>Illinois</t>
        </is>
      </c>
      <c r="G1273" t="inlineStr">
        <is>
          <t>Submitted</t>
        </is>
      </c>
      <c r="H1273" t="inlineStr">
        <is>
          <t>No</t>
        </is>
      </c>
      <c r="J1273" s="96" t="n">
        <v>46297</v>
      </c>
      <c r="K1273" s="96" t="n">
        <v>46295</v>
      </c>
      <c r="N1273" t="inlineStr">
        <is>
          <t>Email</t>
        </is>
      </c>
      <c r="O1273" t="inlineStr">
        <is>
          <t>Hrithik Srivastava</t>
        </is>
      </c>
      <c r="Y1273" s="96" t="n">
        <v>46287</v>
      </c>
      <c r="Z1273" t="inlineStr">
        <is>
          <t>https://app.hubspot.com/contacts/243046792/record/0-3/350071113436</t>
        </is>
      </c>
    </row>
    <row r="1274">
      <c r="A1274" t="n">
        <v>1273</v>
      </c>
      <c r="B1274" t="inlineStr">
        <is>
          <t>340489444026</t>
        </is>
      </c>
      <c r="C1274" t="inlineStr">
        <is>
          <t>10090518-27-S</t>
        </is>
      </c>
      <c r="D1274" t="inlineStr">
        <is>
          <t>SAP Staff Augmentation</t>
        </is>
      </c>
      <c r="E1274" t="inlineStr">
        <is>
          <t>City of San Diego</t>
        </is>
      </c>
      <c r="G1274" t="inlineStr">
        <is>
          <t>Submitted</t>
        </is>
      </c>
      <c r="H1274" t="inlineStr">
        <is>
          <t>No</t>
        </is>
      </c>
      <c r="J1274" s="96" t="n">
        <v>46296</v>
      </c>
      <c r="K1274" s="96" t="n">
        <v>46295</v>
      </c>
      <c r="L1274" t="n">
        <v>3698730</v>
      </c>
      <c r="M1274" t="inlineStr">
        <is>
          <t>Staff Augmentation</t>
        </is>
      </c>
      <c r="N1274" t="inlineStr">
        <is>
          <t>Portal</t>
        </is>
      </c>
      <c r="O1274" t="inlineStr">
        <is>
          <t>Ashutosh Chauhan</t>
        </is>
      </c>
      <c r="Y1274" s="96" t="n">
        <v>46241</v>
      </c>
      <c r="Z1274" t="inlineStr">
        <is>
          <t>https://app.hubspot.com/contacts/243046792/record/0-3/340489444026</t>
        </is>
      </c>
    </row>
    <row r="1275">
      <c r="A1275" t="n">
        <v>1274</v>
      </c>
      <c r="B1275" t="inlineStr">
        <is>
          <t>345156497114</t>
        </is>
      </c>
      <c r="D1275" t="inlineStr">
        <is>
          <t>IMP - Technology Infrastructure Modernization Services</t>
        </is>
      </c>
      <c r="E1275" t="inlineStr">
        <is>
          <t>Santa Clara Valley Open Space Authority</t>
        </is>
      </c>
      <c r="G1275" t="inlineStr">
        <is>
          <t>Closed Lost</t>
        </is>
      </c>
      <c r="H1275" t="inlineStr">
        <is>
          <t>Yes</t>
        </is>
      </c>
      <c r="J1275" s="96" t="n">
        <v>46314</v>
      </c>
      <c r="K1275" s="96" t="n">
        <v>46283</v>
      </c>
      <c r="L1275" t="n">
        <v>184990</v>
      </c>
      <c r="M1275" t="inlineStr">
        <is>
          <t>Modernization / Migration</t>
        </is>
      </c>
      <c r="O1275" t="inlineStr">
        <is>
          <t>Hrithik Srivastava</t>
        </is>
      </c>
      <c r="Q1275" s="96" t="n">
        <v>46294</v>
      </c>
      <c r="Y1275" s="96" t="n">
        <v>46265</v>
      </c>
      <c r="Z1275" t="inlineStr">
        <is>
          <t>https://app.hubspot.com/contacts/243046792/record/0-3/345156497114</t>
        </is>
      </c>
    </row>
    <row r="1276">
      <c r="A1276" t="n">
        <v>1275</v>
      </c>
      <c r="B1276" t="inlineStr">
        <is>
          <t>126901121764</t>
        </is>
      </c>
      <c r="C1276" t="inlineStr">
        <is>
          <t>1937</t>
        </is>
      </c>
      <c r="D1276" t="inlineStr">
        <is>
          <t>MANAGED SECURITY SERVICE PROVIDER</t>
        </is>
      </c>
      <c r="E1276" t="inlineStr">
        <is>
          <t>Teachers' Retirement System of the City of New York</t>
        </is>
      </c>
      <c r="F1276" t="inlineStr">
        <is>
          <t>New York</t>
        </is>
      </c>
      <c r="G1276" t="inlineStr">
        <is>
          <t>Closed Lost</t>
        </is>
      </c>
      <c r="H1276" t="inlineStr">
        <is>
          <t>No</t>
        </is>
      </c>
      <c r="J1276" s="96" t="n">
        <v>46295</v>
      </c>
      <c r="L1276" t="n">
        <v>351000</v>
      </c>
      <c r="M1276" t="inlineStr">
        <is>
          <t>Managed Services (MSP)</t>
        </is>
      </c>
      <c r="N1276" t="inlineStr">
        <is>
          <t>Portal</t>
        </is>
      </c>
      <c r="O1276" t="inlineStr">
        <is>
          <t>Jyothsna Nanda kishore</t>
        </is>
      </c>
      <c r="Y1276" s="96" t="n">
        <v>45860</v>
      </c>
      <c r="Z1276" t="inlineStr">
        <is>
          <t>https://app.hubspot.com/contacts/243046792/record/0-3/126901121764</t>
        </is>
      </c>
    </row>
    <row r="1277">
      <c r="A1277" t="n">
        <v>1276</v>
      </c>
      <c r="B1277" t="inlineStr">
        <is>
          <t>110969518787</t>
        </is>
      </c>
      <c r="D1277" t="inlineStr">
        <is>
          <t>SOFTWARE IMPLEMENTATION SERVICES FOR UKG PRO (HUMAN CAPITALMANAGEMENT &amp; WORKFORCE MANAGEMENT)</t>
        </is>
      </c>
      <c r="E1277" t="inlineStr">
        <is>
          <t>City of Syracuse</t>
        </is>
      </c>
      <c r="G1277" t="inlineStr">
        <is>
          <t>Closed Lost</t>
        </is>
      </c>
      <c r="H1277" t="inlineStr">
        <is>
          <t>No</t>
        </is>
      </c>
      <c r="J1277" s="96" t="n">
        <v>46295</v>
      </c>
      <c r="K1277" s="96" t="n">
        <v>45846</v>
      </c>
      <c r="L1277" t="n">
        <v>463240</v>
      </c>
      <c r="N1277" t="inlineStr">
        <is>
          <t>Portal</t>
        </is>
      </c>
      <c r="O1277" t="inlineStr">
        <is>
          <t>Jyothsna Nanda kishore</t>
        </is>
      </c>
      <c r="Y1277" s="96" t="n">
        <v>45840</v>
      </c>
      <c r="Z1277" t="inlineStr">
        <is>
          <t>https://app.hubspot.com/contacts/243046792/record/0-3/110969518787</t>
        </is>
      </c>
    </row>
    <row r="1278">
      <c r="A1278" t="n">
        <v>1277</v>
      </c>
      <c r="B1278" t="inlineStr">
        <is>
          <t>346982156014</t>
        </is>
      </c>
      <c r="C1278" t="inlineStr">
        <is>
          <t>OTX-26-ERP-1-RFP</t>
        </is>
      </c>
      <c r="D1278" t="inlineStr">
        <is>
          <t>Enterprise Resources Planning Replacement Project</t>
        </is>
      </c>
      <c r="E1278" t="inlineStr">
        <is>
          <t>E470 Public Highway Authority</t>
        </is>
      </c>
      <c r="G1278" t="inlineStr">
        <is>
          <t>Submitted</t>
        </is>
      </c>
      <c r="H1278" t="inlineStr">
        <is>
          <t>No</t>
        </is>
      </c>
      <c r="J1278" s="96" t="n">
        <v>46299</v>
      </c>
      <c r="K1278" s="96" t="n">
        <v>46299</v>
      </c>
      <c r="L1278" t="n">
        <v>1455627.24</v>
      </c>
      <c r="M1278" t="inlineStr">
        <is>
          <t>Platform Implementation (ERP, CRMs)</t>
        </is>
      </c>
      <c r="N1278" t="inlineStr">
        <is>
          <t>Portal</t>
        </is>
      </c>
      <c r="O1278" t="inlineStr">
        <is>
          <t>Ashutosh Chauhan</t>
        </is>
      </c>
      <c r="Y1278" s="96" t="n">
        <v>46274</v>
      </c>
      <c r="Z1278" t="inlineStr">
        <is>
          <t>https://app.hubspot.com/contacts/243046792/record/0-3/346982156014</t>
        </is>
      </c>
    </row>
    <row r="1279">
      <c r="A1279" t="n">
        <v>1278</v>
      </c>
      <c r="B1279" t="inlineStr">
        <is>
          <t>347095371476</t>
        </is>
      </c>
      <c r="C1279" t="inlineStr">
        <is>
          <t>RFQ-ITS #: 26-0044</t>
        </is>
      </c>
      <c r="D1279" t="inlineStr">
        <is>
          <t>HR Grievance Tracking System Refresh Project Services RFQ</t>
        </is>
      </c>
      <c r="E1279" t="inlineStr">
        <is>
          <t xml:space="preserve">Department of Forestry and Fire Protection (CAL FIRE) </t>
        </is>
      </c>
      <c r="F1279" t="inlineStr">
        <is>
          <t>California</t>
        </is>
      </c>
      <c r="G1279" t="inlineStr">
        <is>
          <t>Submitted</t>
        </is>
      </c>
      <c r="H1279" t="inlineStr">
        <is>
          <t>No</t>
        </is>
      </c>
      <c r="J1279" s="96" t="n">
        <v>46297</v>
      </c>
      <c r="K1279" s="96" t="n">
        <v>46297</v>
      </c>
      <c r="L1279" t="n">
        <v>318515</v>
      </c>
      <c r="O1279" t="inlineStr">
        <is>
          <t>Ashutosh Chauhan</t>
        </is>
      </c>
      <c r="Y1279" s="96" t="n">
        <v>46274</v>
      </c>
      <c r="Z1279" t="inlineStr">
        <is>
          <t>https://app.hubspot.com/contacts/243046792/record/0-3/347095371476</t>
        </is>
      </c>
    </row>
    <row r="1280">
      <c r="A1280" t="n">
        <v>1279</v>
      </c>
      <c r="B1280" t="inlineStr">
        <is>
          <t>350959369976</t>
        </is>
      </c>
      <c r="D1280" t="inlineStr">
        <is>
          <t>Maintenance and Support of Information Technology Services</t>
        </is>
      </c>
      <c r="E1280" t="inlineStr">
        <is>
          <t>Housing Authority of the City of Longview dba Housing Opportunities of Southwest Washington (HOSWWA)</t>
        </is>
      </c>
      <c r="G1280" t="inlineStr">
        <is>
          <t>Closed Lost</t>
        </is>
      </c>
      <c r="H1280" t="inlineStr">
        <is>
          <t>No</t>
        </is>
      </c>
      <c r="J1280" s="96" t="n">
        <v>46314</v>
      </c>
      <c r="K1280" s="96" t="n">
        <v>46301</v>
      </c>
      <c r="O1280" t="inlineStr">
        <is>
          <t>Ashutosh Chauhan</t>
        </is>
      </c>
      <c r="Y1280" s="96" t="n">
        <v>46293</v>
      </c>
      <c r="Z1280" t="inlineStr">
        <is>
          <t>https://app.hubspot.com/contacts/243046792/record/0-3/350959369976</t>
        </is>
      </c>
    </row>
    <row r="1281">
      <c r="A1281" t="n">
        <v>1280</v>
      </c>
      <c r="B1281" t="inlineStr">
        <is>
          <t>349203336906</t>
        </is>
      </c>
      <c r="C1281" t="inlineStr">
        <is>
          <t>RFP 27-14</t>
        </is>
      </c>
      <c r="D1281" t="inlineStr">
        <is>
          <t>OFF - Cisco Smartnet Maintenance</t>
        </is>
      </c>
      <c r="E1281" t="inlineStr">
        <is>
          <t>University of Southern Mississippi</t>
        </is>
      </c>
      <c r="G1281" t="inlineStr">
        <is>
          <t>Submitted</t>
        </is>
      </c>
      <c r="H1281" t="inlineStr">
        <is>
          <t>No</t>
        </is>
      </c>
      <c r="J1281" s="96" t="n">
        <v>46300</v>
      </c>
      <c r="K1281" s="96" t="n">
        <v>46301</v>
      </c>
      <c r="L1281" t="n">
        <v>748731.29</v>
      </c>
      <c r="M1281" t="inlineStr">
        <is>
          <t>Reseller</t>
        </is>
      </c>
      <c r="N1281" t="inlineStr">
        <is>
          <t>Offline</t>
        </is>
      </c>
      <c r="O1281" t="inlineStr">
        <is>
          <t>Ashutosh Chauhan</t>
        </is>
      </c>
      <c r="Y1281" s="96" t="n">
        <v>46282</v>
      </c>
      <c r="Z1281" t="inlineStr">
        <is>
          <t>https://app.hubspot.com/contacts/243046792/record/0-3/349203336906</t>
        </is>
      </c>
    </row>
    <row r="1282">
      <c r="A1282" t="n">
        <v>1281</v>
      </c>
      <c r="B1282" t="inlineStr">
        <is>
          <t>351474004671</t>
        </is>
      </c>
      <c r="D1282" t="inlineStr">
        <is>
          <t>Outdoor Tourism Mobile App Review, Updates &amp; Implementation</t>
        </is>
      </c>
      <c r="E1282" t="inlineStr">
        <is>
          <t>Wayne County Tourism</t>
        </is>
      </c>
      <c r="G1282" t="inlineStr">
        <is>
          <t>Submitted</t>
        </is>
      </c>
      <c r="H1282" t="inlineStr">
        <is>
          <t>No</t>
        </is>
      </c>
      <c r="J1282" s="96" t="n">
        <v>46303</v>
      </c>
      <c r="K1282" s="96" t="n">
        <v>46302</v>
      </c>
      <c r="O1282" t="inlineStr">
        <is>
          <t>Hrithik Srivastava</t>
        </is>
      </c>
      <c r="Y1282" s="96" t="n">
        <v>46296</v>
      </c>
      <c r="Z1282" t="inlineStr">
        <is>
          <t>https://app.hubspot.com/contacts/243046792/record/0-3/351474004671</t>
        </is>
      </c>
    </row>
    <row r="1283">
      <c r="A1283" t="n">
        <v>1282</v>
      </c>
      <c r="B1283" t="inlineStr">
        <is>
          <t>353404760785</t>
        </is>
      </c>
      <c r="D1283" t="inlineStr">
        <is>
          <t xml:space="preserve">Web Developer </t>
        </is>
      </c>
      <c r="E1283" t="inlineStr">
        <is>
          <t xml:space="preserve">History Colorado </t>
        </is>
      </c>
      <c r="G1283" t="inlineStr">
        <is>
          <t>Submitted</t>
        </is>
      </c>
      <c r="H1283" t="inlineStr">
        <is>
          <t>No</t>
        </is>
      </c>
      <c r="J1283" s="96" t="n">
        <v>46307</v>
      </c>
      <c r="K1283" s="96" t="n">
        <v>46303</v>
      </c>
      <c r="O1283" t="inlineStr">
        <is>
          <t>Ashutosh Chauhan</t>
        </is>
      </c>
      <c r="Y1283" s="96" t="n">
        <v>46303</v>
      </c>
      <c r="Z1283" t="inlineStr">
        <is>
          <t>https://app.hubspot.com/contacts/243046792/record/0-3/353404760785</t>
        </is>
      </c>
    </row>
    <row r="1284">
      <c r="A1284" t="n">
        <v>1283</v>
      </c>
      <c r="B1284" t="inlineStr">
        <is>
          <t>347394556634</t>
        </is>
      </c>
      <c r="C1284" t="inlineStr">
        <is>
          <t>RFP-RC-2026-024</t>
        </is>
      </c>
      <c r="D1284" t="inlineStr">
        <is>
          <t>Threat Assessment and Management Consulting Services</t>
        </is>
      </c>
      <c r="E1284" t="inlineStr">
        <is>
          <t>County of Rockland</t>
        </is>
      </c>
      <c r="F1284" t="inlineStr">
        <is>
          <t>New York</t>
        </is>
      </c>
      <c r="G1284" t="inlineStr">
        <is>
          <t>Submitted</t>
        </is>
      </c>
      <c r="H1284" t="inlineStr">
        <is>
          <t>No</t>
        </is>
      </c>
      <c r="J1284" s="96" t="n">
        <v>46303</v>
      </c>
      <c r="K1284" s="96" t="n">
        <v>46303</v>
      </c>
      <c r="L1284" t="n">
        <v>78765</v>
      </c>
      <c r="M1284" t="inlineStr">
        <is>
          <t>Consulting</t>
        </is>
      </c>
      <c r="N1284" t="inlineStr">
        <is>
          <t>Portal</t>
        </is>
      </c>
      <c r="O1284" t="inlineStr">
        <is>
          <t>Ashutosh Chauhan</t>
        </is>
      </c>
      <c r="Y1284" s="96" t="n">
        <v>46275</v>
      </c>
      <c r="Z1284" t="inlineStr">
        <is>
          <t>https://app.hubspot.com/contacts/243046792/record/0-3/347394556634</t>
        </is>
      </c>
    </row>
    <row r="1285">
      <c r="A1285" t="n">
        <v>1284</v>
      </c>
      <c r="B1285" t="inlineStr">
        <is>
          <t>343126203125</t>
        </is>
      </c>
      <c r="C1285" t="inlineStr">
        <is>
          <t>26-86873</t>
        </is>
      </c>
      <c r="D1285" t="inlineStr">
        <is>
          <t>CMHW Case Management System</t>
        </is>
      </c>
      <c r="E1285" t="inlineStr">
        <is>
          <t>Indiana Department of Administration</t>
        </is>
      </c>
      <c r="G1285" t="inlineStr">
        <is>
          <t>Submitted</t>
        </is>
      </c>
      <c r="H1285" t="inlineStr">
        <is>
          <t>No</t>
        </is>
      </c>
      <c r="J1285" s="96" t="n">
        <v>46303</v>
      </c>
      <c r="K1285" s="96" t="n">
        <v>46303</v>
      </c>
      <c r="L1285" t="n">
        <v>3393600</v>
      </c>
      <c r="M1285" t="inlineStr">
        <is>
          <t>Platform Implementation (ERP, CRMs)</t>
        </is>
      </c>
      <c r="N1285" t="inlineStr">
        <is>
          <t>Portal</t>
        </is>
      </c>
      <c r="O1285" t="inlineStr">
        <is>
          <t>Ashutosh Chauhan</t>
        </is>
      </c>
      <c r="Y1285" s="96" t="n">
        <v>46254</v>
      </c>
      <c r="Z1285" t="inlineStr">
        <is>
          <t>https://app.hubspot.com/contacts/243046792/record/0-3/343126203125</t>
        </is>
      </c>
    </row>
    <row r="1286">
      <c r="A1286" t="n">
        <v>1285</v>
      </c>
      <c r="B1286" t="inlineStr">
        <is>
          <t>349600938730</t>
        </is>
      </c>
      <c r="C1286" t="inlineStr">
        <is>
          <t>2026-002</t>
        </is>
      </c>
      <c r="D1286" t="inlineStr">
        <is>
          <t>Microsoft Dynamics 365 Business Central Consulting and Support</t>
        </is>
      </c>
      <c r="E1286" t="inlineStr">
        <is>
          <t>Tahoe Transportation District</t>
        </is>
      </c>
      <c r="F1286" t="inlineStr">
        <is>
          <t>Nevada</t>
        </is>
      </c>
      <c r="G1286" t="inlineStr">
        <is>
          <t>Closed Lost</t>
        </is>
      </c>
      <c r="H1286" t="inlineStr">
        <is>
          <t>No</t>
        </is>
      </c>
      <c r="J1286" s="96" t="n">
        <v>46315</v>
      </c>
      <c r="K1286" s="96" t="n">
        <v>46303</v>
      </c>
      <c r="L1286" t="n">
        <v>67000</v>
      </c>
      <c r="M1286" t="inlineStr">
        <is>
          <t>Support &amp; Maintenance</t>
        </is>
      </c>
      <c r="N1286" t="inlineStr">
        <is>
          <t>Portal</t>
        </is>
      </c>
      <c r="O1286" t="inlineStr">
        <is>
          <t>Ashutosh Chauhan</t>
        </is>
      </c>
      <c r="Y1286" s="96" t="n">
        <v>46286</v>
      </c>
      <c r="Z1286" t="inlineStr">
        <is>
          <t>https://app.hubspot.com/contacts/243046792/record/0-3/349600938730</t>
        </is>
      </c>
    </row>
    <row r="1287">
      <c r="A1287" t="n">
        <v>1286</v>
      </c>
      <c r="B1287" t="inlineStr">
        <is>
          <t>349600938745</t>
        </is>
      </c>
      <c r="C1287" t="inlineStr">
        <is>
          <t>RFP #7063</t>
        </is>
      </c>
      <c r="D1287" t="inlineStr">
        <is>
          <t>Data Warehouse and Business Intelligence Services</t>
        </is>
      </c>
      <c r="E1287" t="inlineStr">
        <is>
          <t>Cleveland Metroparks</t>
        </is>
      </c>
      <c r="G1287" t="inlineStr">
        <is>
          <t>Submitted</t>
        </is>
      </c>
      <c r="H1287" t="inlineStr">
        <is>
          <t>No</t>
        </is>
      </c>
      <c r="J1287" s="96" t="n">
        <v>46303</v>
      </c>
      <c r="K1287" s="96" t="n">
        <v>46303</v>
      </c>
      <c r="L1287" t="n">
        <v>665300</v>
      </c>
      <c r="O1287" t="inlineStr">
        <is>
          <t>Ashutosh Chauhan</t>
        </is>
      </c>
      <c r="Y1287" s="96" t="n">
        <v>46286</v>
      </c>
      <c r="Z1287" t="inlineStr">
        <is>
          <t>https://app.hubspot.com/contacts/243046792/record/0-3/349600938745</t>
        </is>
      </c>
    </row>
    <row r="1288">
      <c r="A1288" t="n">
        <v>1287</v>
      </c>
      <c r="B1288" t="inlineStr">
        <is>
          <t>353673181925</t>
        </is>
      </c>
      <c r="D1288" t="inlineStr">
        <is>
          <t>SOW - M365 Backup</t>
        </is>
      </c>
      <c r="E1288" t="inlineStr">
        <is>
          <t>First 5 Kids Santa Clara County</t>
        </is>
      </c>
      <c r="F1288" t="inlineStr">
        <is>
          <t>California</t>
        </is>
      </c>
      <c r="G1288" t="inlineStr">
        <is>
          <t>Submitted</t>
        </is>
      </c>
      <c r="H1288" t="inlineStr">
        <is>
          <t>No</t>
        </is>
      </c>
      <c r="K1288" s="96" t="n">
        <v>46303</v>
      </c>
      <c r="L1288" t="n">
        <v>2660</v>
      </c>
      <c r="O1288" t="inlineStr">
        <is>
          <t>Ashutosh Chauhan</t>
        </is>
      </c>
      <c r="Y1288" s="96" t="n">
        <v>46308</v>
      </c>
      <c r="Z1288" t="inlineStr">
        <is>
          <t>https://app.hubspot.com/contacts/243046792/record/0-3/353673181925</t>
        </is>
      </c>
    </row>
    <row r="1289">
      <c r="A1289" t="n">
        <v>1288</v>
      </c>
      <c r="B1289" t="inlineStr">
        <is>
          <t>356226763474</t>
        </is>
      </c>
      <c r="D1289" t="inlineStr">
        <is>
          <t>Inventory &amp; Asset Management Service Package</t>
        </is>
      </c>
      <c r="E1289" t="inlineStr">
        <is>
          <t>First 5 Kids Santa Clara County</t>
        </is>
      </c>
      <c r="F1289" t="inlineStr">
        <is>
          <t>California</t>
        </is>
      </c>
      <c r="G1289" t="inlineStr">
        <is>
          <t>Submitted</t>
        </is>
      </c>
      <c r="H1289" t="inlineStr">
        <is>
          <t>No</t>
        </is>
      </c>
      <c r="K1289" s="96" t="n">
        <v>46303</v>
      </c>
      <c r="L1289" t="n">
        <v>12600</v>
      </c>
      <c r="O1289" t="inlineStr">
        <is>
          <t>Ashutosh Chauhan</t>
        </is>
      </c>
      <c r="Y1289" s="96" t="n">
        <v>46316</v>
      </c>
      <c r="Z1289" t="inlineStr">
        <is>
          <t>https://app.hubspot.com/contacts/243046792/record/0-3/356226763474</t>
        </is>
      </c>
    </row>
    <row r="1290">
      <c r="A1290" t="n">
        <v>1289</v>
      </c>
      <c r="B1290" t="inlineStr">
        <is>
          <t>350845725414</t>
        </is>
      </c>
      <c r="D1290" t="inlineStr">
        <is>
          <t>AI-ENABLED WIN TIME PLANNING TOOL — DEVELOPMENT SERVICES</t>
        </is>
      </c>
      <c r="E1290" t="inlineStr">
        <is>
          <t>Impact Public Schools</t>
        </is>
      </c>
      <c r="G1290" t="inlineStr">
        <is>
          <t>Submitted</t>
        </is>
      </c>
      <c r="H1290" t="inlineStr">
        <is>
          <t>No</t>
        </is>
      </c>
      <c r="J1290" s="96" t="n">
        <v>46304</v>
      </c>
      <c r="K1290" s="96" t="n">
        <v>46304</v>
      </c>
      <c r="L1290" t="n">
        <v>17849</v>
      </c>
      <c r="M1290" t="inlineStr">
        <is>
          <t>Consulting</t>
        </is>
      </c>
      <c r="N1290" t="inlineStr">
        <is>
          <t>Portal</t>
        </is>
      </c>
      <c r="O1290" t="inlineStr">
        <is>
          <t>Hrithik Srivastava</t>
        </is>
      </c>
      <c r="Y1290" s="96" t="n">
        <v>46293</v>
      </c>
      <c r="Z1290" t="inlineStr">
        <is>
          <t>https://app.hubspot.com/contacts/243046792/record/0-3/350845725414</t>
        </is>
      </c>
    </row>
    <row r="1291">
      <c r="A1291" t="n">
        <v>1290</v>
      </c>
      <c r="B1291" t="inlineStr">
        <is>
          <t>350821238503</t>
        </is>
      </c>
      <c r="D1291" t="inlineStr">
        <is>
          <t>Security Testing Services – AI WIN Time Planning Tool</t>
        </is>
      </c>
      <c r="E1291" t="inlineStr">
        <is>
          <t>Impact Public Schools</t>
        </is>
      </c>
      <c r="G1291" t="inlineStr">
        <is>
          <t>Submitted</t>
        </is>
      </c>
      <c r="H1291" t="inlineStr">
        <is>
          <t>No</t>
        </is>
      </c>
      <c r="J1291" s="96" t="n">
        <v>46304</v>
      </c>
      <c r="K1291" s="96" t="n">
        <v>46304</v>
      </c>
      <c r="M1291" t="inlineStr">
        <is>
          <t>Platform Implementation (ERP, CRMs)</t>
        </is>
      </c>
      <c r="O1291" t="inlineStr">
        <is>
          <t>Hrithik Srivastava</t>
        </is>
      </c>
      <c r="Y1291" s="96" t="n">
        <v>46293</v>
      </c>
      <c r="Z1291" t="inlineStr">
        <is>
          <t>https://app.hubspot.com/contacts/243046792/record/0-3/350821238503</t>
        </is>
      </c>
    </row>
    <row r="1292">
      <c r="A1292" t="n">
        <v>1291</v>
      </c>
      <c r="B1292" t="inlineStr">
        <is>
          <t>347377353447</t>
        </is>
      </c>
      <c r="C1292" t="inlineStr">
        <is>
          <t>26/031IA</t>
        </is>
      </c>
      <c r="D1292" t="inlineStr">
        <is>
          <t>Software Services</t>
        </is>
      </c>
      <c r="E1292" t="inlineStr">
        <is>
          <t>Harris County Department of Education</t>
        </is>
      </c>
      <c r="G1292" t="inlineStr">
        <is>
          <t>Submitted</t>
        </is>
      </c>
      <c r="H1292" t="inlineStr">
        <is>
          <t>No</t>
        </is>
      </c>
      <c r="J1292" s="96" t="n">
        <v>46301</v>
      </c>
      <c r="K1292" s="96" t="n">
        <v>46304</v>
      </c>
      <c r="M1292" t="inlineStr">
        <is>
          <t>Platform Implementation (ERP, CRMs)</t>
        </is>
      </c>
      <c r="O1292" t="inlineStr">
        <is>
          <t>Yash More</t>
        </is>
      </c>
      <c r="Y1292" s="96" t="n">
        <v>46274</v>
      </c>
      <c r="Z1292" t="inlineStr">
        <is>
          <t>https://app.hubspot.com/contacts/243046792/record/0-3/347377353447</t>
        </is>
      </c>
    </row>
    <row r="1293">
      <c r="A1293" t="n">
        <v>1292</v>
      </c>
      <c r="B1293" t="inlineStr">
        <is>
          <t>340221974220</t>
        </is>
      </c>
      <c r="C1293" t="inlineStr">
        <is>
          <t>007-27</t>
        </is>
      </c>
      <c r="D1293" t="inlineStr">
        <is>
          <t xml:space="preserve">ASSET MANAGEMENT SYSTEM </t>
        </is>
      </c>
      <c r="E1293" t="inlineStr">
        <is>
          <t>City of El Cajon</t>
        </is>
      </c>
      <c r="G1293" t="inlineStr">
        <is>
          <t>Submitted</t>
        </is>
      </c>
      <c r="H1293" t="inlineStr">
        <is>
          <t>No</t>
        </is>
      </c>
      <c r="J1293" s="96" t="n">
        <v>46275</v>
      </c>
      <c r="K1293" s="96" t="n">
        <v>46305</v>
      </c>
      <c r="L1293" t="n">
        <v>14000</v>
      </c>
      <c r="M1293" t="inlineStr">
        <is>
          <t>Consulting;Platform Implementation (ERP, CRMs)</t>
        </is>
      </c>
      <c r="N1293" t="inlineStr">
        <is>
          <t>Portal</t>
        </is>
      </c>
      <c r="O1293" t="inlineStr">
        <is>
          <t>Yash More</t>
        </is>
      </c>
      <c r="Y1293" s="96" t="n">
        <v>46238</v>
      </c>
      <c r="Z1293" t="inlineStr">
        <is>
          <t>https://app.hubspot.com/contacts/243046792/record/0-3/340221974220</t>
        </is>
      </c>
    </row>
    <row r="1294">
      <c r="A1294" t="n">
        <v>1293</v>
      </c>
      <c r="B1294" t="inlineStr">
        <is>
          <t>348350554855</t>
        </is>
      </c>
      <c r="C1294" t="inlineStr">
        <is>
          <t>8-STREAM-1126</t>
        </is>
      </c>
      <c r="D1294" t="inlineStr">
        <is>
          <t>STREAM Support, Maintenance, and Infrastructure Services</t>
        </is>
      </c>
      <c r="E1294" t="inlineStr">
        <is>
          <t>IDEA Public Schools</t>
        </is>
      </c>
      <c r="G1294" t="inlineStr">
        <is>
          <t>Submitted</t>
        </is>
      </c>
      <c r="H1294" t="inlineStr">
        <is>
          <t>No</t>
        </is>
      </c>
      <c r="J1294" s="96" t="n">
        <v>46308</v>
      </c>
      <c r="K1294" s="96" t="n">
        <v>46308</v>
      </c>
      <c r="O1294" t="inlineStr">
        <is>
          <t>Ashutosh Chauhan</t>
        </is>
      </c>
      <c r="Y1294" s="96" t="n">
        <v>46281</v>
      </c>
      <c r="Z1294" t="inlineStr">
        <is>
          <t>https://app.hubspot.com/contacts/243046792/record/0-3/348350554855</t>
        </is>
      </c>
    </row>
    <row r="1295">
      <c r="A1295" t="n">
        <v>1294</v>
      </c>
      <c r="B1295" t="inlineStr">
        <is>
          <t>349600939706</t>
        </is>
      </c>
      <c r="C1295" t="inlineStr">
        <is>
          <t>RFP-2026-07</t>
        </is>
      </c>
      <c r="D1295" t="inlineStr">
        <is>
          <t>Offine - IT Support Services</t>
        </is>
      </c>
      <c r="E1295" t="inlineStr">
        <is>
          <t>Irvington Housing Authority</t>
        </is>
      </c>
      <c r="G1295" t="inlineStr">
        <is>
          <t>Submitted</t>
        </is>
      </c>
      <c r="H1295" t="inlineStr">
        <is>
          <t>No</t>
        </is>
      </c>
      <c r="J1295" s="96" t="n">
        <v>46308</v>
      </c>
      <c r="K1295" s="96" t="n">
        <v>46308</v>
      </c>
      <c r="O1295" t="inlineStr">
        <is>
          <t>Ashutosh Chauhan</t>
        </is>
      </c>
      <c r="Y1295" s="96" t="n">
        <v>46286</v>
      </c>
      <c r="Z1295" t="inlineStr">
        <is>
          <t>https://app.hubspot.com/contacts/243046792/record/0-3/349600939706</t>
        </is>
      </c>
    </row>
    <row r="1296">
      <c r="A1296" t="n">
        <v>1295</v>
      </c>
      <c r="B1296" t="inlineStr">
        <is>
          <t>351967358675</t>
        </is>
      </c>
      <c r="C1296" t="inlineStr">
        <is>
          <t>MS-IFB/DOF/2606-1270073/ATL</t>
        </is>
      </c>
      <c r="D1296" t="inlineStr">
        <is>
          <t>MS-IFB/DOF/2606-1270073/ATL Cloud Support Services (ERP)</t>
        </is>
      </c>
      <c r="E1296" t="inlineStr">
        <is>
          <t>City of Atlanta</t>
        </is>
      </c>
      <c r="G1296" t="inlineStr">
        <is>
          <t>Submitted</t>
        </is>
      </c>
      <c r="H1296" t="inlineStr">
        <is>
          <t>No</t>
        </is>
      </c>
      <c r="J1296" s="96" t="n">
        <v>46308</v>
      </c>
      <c r="K1296" s="96" t="n">
        <v>46308</v>
      </c>
      <c r="M1296" t="inlineStr">
        <is>
          <t>Support &amp; Maintenance</t>
        </is>
      </c>
      <c r="O1296" t="inlineStr">
        <is>
          <t>Hrithik Srivastava</t>
        </is>
      </c>
      <c r="Y1296" s="96" t="n">
        <v>46296</v>
      </c>
      <c r="Z1296" t="inlineStr">
        <is>
          <t>https://app.hubspot.com/contacts/243046792/record/0-3/351967358675</t>
        </is>
      </c>
    </row>
    <row r="1297">
      <c r="A1297" t="n">
        <v>1296</v>
      </c>
      <c r="B1297" t="inlineStr">
        <is>
          <t>344149462738</t>
        </is>
      </c>
      <c r="C1297" t="inlineStr">
        <is>
          <t>2027-RFP-00025</t>
        </is>
      </c>
      <c r="D1297" t="inlineStr">
        <is>
          <t>ACRE IT Contingency Staffing Services</t>
        </is>
      </c>
      <c r="E1297" t="inlineStr">
        <is>
          <t>County of San Mateo</t>
        </is>
      </c>
      <c r="F1297" t="inlineStr">
        <is>
          <t>California</t>
        </is>
      </c>
      <c r="G1297" t="inlineStr">
        <is>
          <t>Submitted</t>
        </is>
      </c>
      <c r="H1297" t="inlineStr">
        <is>
          <t>No</t>
        </is>
      </c>
      <c r="J1297" s="96" t="n">
        <v>46309</v>
      </c>
      <c r="K1297" s="96" t="n">
        <v>46308</v>
      </c>
      <c r="M1297" t="inlineStr">
        <is>
          <t>Consulting;Staff Augmentation</t>
        </is>
      </c>
      <c r="N1297" t="inlineStr">
        <is>
          <t>Portal</t>
        </is>
      </c>
      <c r="O1297" t="inlineStr">
        <is>
          <t>Ashutosh Chauhan</t>
        </is>
      </c>
      <c r="Y1297" s="96" t="n">
        <v>46260</v>
      </c>
      <c r="Z1297" t="inlineStr">
        <is>
          <t>https://app.hubspot.com/contacts/243046792/record/0-3/344149462738</t>
        </is>
      </c>
    </row>
    <row r="1298">
      <c r="A1298" t="n">
        <v>1297</v>
      </c>
      <c r="B1298" t="inlineStr">
        <is>
          <t>353404749558</t>
        </is>
      </c>
      <c r="D1298" t="inlineStr">
        <is>
          <t>INFORMATION TECHNOLOGY CONSULTANT</t>
        </is>
      </c>
      <c r="E1298" t="inlineStr">
        <is>
          <t xml:space="preserve">Township of Bloomfield </t>
        </is>
      </c>
      <c r="F1298" t="inlineStr">
        <is>
          <t>New Jersey</t>
        </is>
      </c>
      <c r="G1298" t="inlineStr">
        <is>
          <t>Submitted</t>
        </is>
      </c>
      <c r="H1298" t="inlineStr">
        <is>
          <t>No</t>
        </is>
      </c>
      <c r="J1298" s="96" t="n">
        <v>46310</v>
      </c>
      <c r="K1298" s="96" t="n">
        <v>46309</v>
      </c>
      <c r="N1298" t="inlineStr">
        <is>
          <t>Offline</t>
        </is>
      </c>
      <c r="O1298" t="inlineStr">
        <is>
          <t>Hrithik Srivastava</t>
        </is>
      </c>
      <c r="Y1298" s="96" t="n">
        <v>46303</v>
      </c>
      <c r="Z1298" t="inlineStr">
        <is>
          <t>https://app.hubspot.com/contacts/243046792/record/0-3/353404749558</t>
        </is>
      </c>
    </row>
    <row r="1299">
      <c r="A1299" t="n">
        <v>1298</v>
      </c>
      <c r="B1299" t="inlineStr">
        <is>
          <t>353404749523</t>
        </is>
      </c>
      <c r="D1299" t="inlineStr">
        <is>
          <t>OFF - NETWORK AND IT SECURITY CONSULTANT</t>
        </is>
      </c>
      <c r="E1299" t="inlineStr">
        <is>
          <t xml:space="preserve">Township of Bloomfield </t>
        </is>
      </c>
      <c r="F1299" t="inlineStr">
        <is>
          <t>New Jersey</t>
        </is>
      </c>
      <c r="G1299" t="inlineStr">
        <is>
          <t>Submitted</t>
        </is>
      </c>
      <c r="H1299" t="inlineStr">
        <is>
          <t>No</t>
        </is>
      </c>
      <c r="J1299" s="96" t="n">
        <v>46310</v>
      </c>
      <c r="K1299" s="96" t="n">
        <v>46309</v>
      </c>
      <c r="O1299" t="inlineStr">
        <is>
          <t>Hrithik Srivastava</t>
        </is>
      </c>
      <c r="Y1299" s="96" t="n">
        <v>46303</v>
      </c>
      <c r="Z1299" t="inlineStr">
        <is>
          <t>https://app.hubspot.com/contacts/243046792/record/0-3/353404749523</t>
        </is>
      </c>
    </row>
    <row r="1300">
      <c r="A1300" t="n">
        <v>1299</v>
      </c>
      <c r="B1300" t="inlineStr">
        <is>
          <t>350867376876</t>
        </is>
      </c>
      <c r="D1300" t="inlineStr">
        <is>
          <t>GIS Fiber Data Integration and Utility Network Services</t>
        </is>
      </c>
      <c r="E1300" t="inlineStr">
        <is>
          <t>City of West Plains</t>
        </is>
      </c>
      <c r="G1300" t="inlineStr">
        <is>
          <t>Submitted</t>
        </is>
      </c>
      <c r="H1300" t="inlineStr">
        <is>
          <t>No</t>
        </is>
      </c>
      <c r="J1300" s="96" t="n">
        <v>46309</v>
      </c>
      <c r="K1300" s="96" t="n">
        <v>46309</v>
      </c>
      <c r="N1300" t="inlineStr">
        <is>
          <t>Email</t>
        </is>
      </c>
      <c r="O1300" t="inlineStr">
        <is>
          <t>Ashutosh Chauhan</t>
        </is>
      </c>
      <c r="Y1300" s="96" t="n">
        <v>46293</v>
      </c>
      <c r="Z1300" t="inlineStr">
        <is>
          <t>https://app.hubspot.com/contacts/243046792/record/0-3/350867376876</t>
        </is>
      </c>
    </row>
    <row r="1301">
      <c r="A1301" t="n">
        <v>1300</v>
      </c>
      <c r="B1301" t="inlineStr">
        <is>
          <t>347994304240</t>
        </is>
      </c>
      <c r="D1301" t="inlineStr">
        <is>
          <t>Request for Proposal for Information Technology (IT) Consulting &amp; Management Services</t>
        </is>
      </c>
      <c r="E1301" t="inlineStr">
        <is>
          <t>Vineland Housing Authority</t>
        </is>
      </c>
      <c r="F1301" t="inlineStr">
        <is>
          <t>New Jersey</t>
        </is>
      </c>
      <c r="G1301" t="inlineStr">
        <is>
          <t>Submitted</t>
        </is>
      </c>
      <c r="H1301" t="inlineStr">
        <is>
          <t>No</t>
        </is>
      </c>
      <c r="J1301" s="96" t="n">
        <v>46309</v>
      </c>
      <c r="K1301" s="96" t="n">
        <v>46309</v>
      </c>
      <c r="L1301" t="n">
        <v>88800</v>
      </c>
      <c r="M1301" t="inlineStr">
        <is>
          <t>Consulting;Managed Services (MSP)</t>
        </is>
      </c>
      <c r="N1301" t="inlineStr">
        <is>
          <t>Portal</t>
        </is>
      </c>
      <c r="O1301" t="inlineStr">
        <is>
          <t>Ashutosh Chauhan</t>
        </is>
      </c>
      <c r="Y1301" s="96" t="n">
        <v>46279</v>
      </c>
      <c r="Z1301" t="inlineStr">
        <is>
          <t>https://app.hubspot.com/contacts/243046792/record/0-3/347994304240</t>
        </is>
      </c>
    </row>
    <row r="1302">
      <c r="A1302" t="n">
        <v>1301</v>
      </c>
      <c r="B1302" t="inlineStr">
        <is>
          <t>349500918510</t>
        </is>
      </c>
      <c r="C1302" t="inlineStr">
        <is>
          <t>26-106</t>
        </is>
      </c>
      <c r="D1302" t="inlineStr">
        <is>
          <t>Professional Implementation Services for Oracle Utilities Billing</t>
        </is>
      </c>
      <c r="E1302" t="inlineStr">
        <is>
          <t>City of Fort Myers</t>
        </is>
      </c>
      <c r="F1302" t="inlineStr">
        <is>
          <t>Florida</t>
        </is>
      </c>
      <c r="G1302" t="inlineStr">
        <is>
          <t>Submitted</t>
        </is>
      </c>
      <c r="H1302" t="inlineStr">
        <is>
          <t>No</t>
        </is>
      </c>
      <c r="J1302" s="96" t="n">
        <v>46309</v>
      </c>
      <c r="K1302" s="96" t="n">
        <v>46309</v>
      </c>
      <c r="L1302" t="n">
        <v>1335690</v>
      </c>
      <c r="N1302" t="inlineStr">
        <is>
          <t>Portal</t>
        </is>
      </c>
      <c r="O1302" t="inlineStr">
        <is>
          <t>Ashutosh Chauhan</t>
        </is>
      </c>
      <c r="Y1302" s="96" t="n">
        <v>46286</v>
      </c>
      <c r="Z1302" t="inlineStr">
        <is>
          <t>https://app.hubspot.com/contacts/243046792/record/0-3/349500918510</t>
        </is>
      </c>
    </row>
    <row r="1303">
      <c r="A1303" t="n">
        <v>1302</v>
      </c>
      <c r="B1303" t="inlineStr">
        <is>
          <t>342942703349</t>
        </is>
      </c>
      <c r="D1303" t="inlineStr">
        <is>
          <t xml:space="preserve">Testing-as-a-Service (TaaS) for Oracle Cloud Applications </t>
        </is>
      </c>
      <c r="E1303" t="inlineStr">
        <is>
          <t>Metropolitan St. Louis Sewer District</t>
        </is>
      </c>
      <c r="F1303" t="inlineStr">
        <is>
          <t>Missouri</t>
        </is>
      </c>
      <c r="G1303" t="inlineStr">
        <is>
          <t>Submitted</t>
        </is>
      </c>
      <c r="H1303" t="inlineStr">
        <is>
          <t>No</t>
        </is>
      </c>
      <c r="J1303" s="96" t="n">
        <v>46309</v>
      </c>
      <c r="K1303" s="96" t="n">
        <v>46309</v>
      </c>
      <c r="O1303" t="inlineStr">
        <is>
          <t>Hrithik Srivastava</t>
        </is>
      </c>
      <c r="Y1303" s="96" t="n">
        <v>46252</v>
      </c>
      <c r="Z1303" t="inlineStr">
        <is>
          <t>https://app.hubspot.com/contacts/243046792/record/0-3/342942703349</t>
        </is>
      </c>
    </row>
    <row r="1304">
      <c r="A1304" t="n">
        <v>1303</v>
      </c>
      <c r="B1304" t="inlineStr">
        <is>
          <t>348860124883</t>
        </is>
      </c>
      <c r="D1304" t="inlineStr">
        <is>
          <t>Managed IT Services</t>
        </is>
      </c>
      <c r="E1304" t="inlineStr">
        <is>
          <t>Legal Services of Eastern Missouri</t>
        </is>
      </c>
      <c r="G1304" t="inlineStr">
        <is>
          <t>Submitted</t>
        </is>
      </c>
      <c r="H1304" t="inlineStr">
        <is>
          <t>No</t>
        </is>
      </c>
      <c r="J1304" s="96" t="n">
        <v>46309</v>
      </c>
      <c r="K1304" s="96" t="n">
        <v>46309</v>
      </c>
      <c r="O1304" t="inlineStr">
        <is>
          <t>Ashutosh Chauhan</t>
        </is>
      </c>
      <c r="Y1304" s="96" t="n">
        <v>46282</v>
      </c>
      <c r="Z1304" t="inlineStr">
        <is>
          <t>https://app.hubspot.com/contacts/243046792/record/0-3/348860124883</t>
        </is>
      </c>
    </row>
    <row r="1305">
      <c r="A1305" t="n">
        <v>1304</v>
      </c>
      <c r="B1305" t="inlineStr">
        <is>
          <t>350300787445</t>
        </is>
      </c>
      <c r="C1305" t="inlineStr">
        <is>
          <t>00322934</t>
        </is>
      </c>
      <c r="D1305" t="inlineStr">
        <is>
          <t>PeopleSoft Technical Services IDIQ</t>
        </is>
      </c>
      <c r="E1305" t="inlineStr">
        <is>
          <t>Port of Seattle</t>
        </is>
      </c>
      <c r="F1305" t="inlineStr">
        <is>
          <t>Washington</t>
        </is>
      </c>
      <c r="G1305" t="inlineStr">
        <is>
          <t>Submitted</t>
        </is>
      </c>
      <c r="H1305" t="inlineStr">
        <is>
          <t>No</t>
        </is>
      </c>
      <c r="J1305" s="96" t="n">
        <v>46309</v>
      </c>
      <c r="K1305" s="96" t="n">
        <v>46309</v>
      </c>
      <c r="O1305" t="inlineStr">
        <is>
          <t>Ashutosh Chauhan</t>
        </is>
      </c>
      <c r="Y1305" s="96" t="n">
        <v>46288</v>
      </c>
      <c r="Z1305" t="inlineStr">
        <is>
          <t>https://app.hubspot.com/contacts/243046792/record/0-3/350300787445</t>
        </is>
      </c>
    </row>
    <row r="1306">
      <c r="A1306" t="n">
        <v>1305</v>
      </c>
      <c r="B1306" t="inlineStr">
        <is>
          <t>352758049522</t>
        </is>
      </c>
      <c r="D1306" t="inlineStr">
        <is>
          <t>OFF - ITSD Technical Services and Special Projects- Request for Qualifications</t>
        </is>
      </c>
      <c r="E1306" t="inlineStr">
        <is>
          <t>City-County of Butte-Silver Bow</t>
        </is>
      </c>
      <c r="G1306" t="inlineStr">
        <is>
          <t>Submitted</t>
        </is>
      </c>
      <c r="H1306" t="inlineStr">
        <is>
          <t>No</t>
        </is>
      </c>
      <c r="J1306" s="96" t="n">
        <v>46309</v>
      </c>
      <c r="K1306" s="96" t="n">
        <v>46309</v>
      </c>
      <c r="N1306" t="inlineStr">
        <is>
          <t>Offline</t>
        </is>
      </c>
      <c r="O1306" t="inlineStr">
        <is>
          <t>Ashutosh Chauhan</t>
        </is>
      </c>
      <c r="Y1306" s="96" t="n">
        <v>46300</v>
      </c>
      <c r="Z1306" t="inlineStr">
        <is>
          <t>https://app.hubspot.com/contacts/243046792/record/0-3/352758049522</t>
        </is>
      </c>
    </row>
    <row r="1307">
      <c r="A1307" t="n">
        <v>1306</v>
      </c>
      <c r="B1307" t="inlineStr">
        <is>
          <t>350821238506</t>
        </is>
      </c>
      <c r="C1307" t="inlineStr">
        <is>
          <t>1912-27</t>
        </is>
      </c>
      <c r="D1307" t="inlineStr">
        <is>
          <t xml:space="preserve">OFFLINE Data Warehousing and Analytics </t>
        </is>
      </c>
      <c r="E1307" t="inlineStr">
        <is>
          <t>East Hartford Public Schools</t>
        </is>
      </c>
      <c r="G1307" t="inlineStr">
        <is>
          <t>Submitted</t>
        </is>
      </c>
      <c r="H1307" t="inlineStr">
        <is>
          <t>No</t>
        </is>
      </c>
      <c r="J1307" s="96" t="n">
        <v>46310</v>
      </c>
      <c r="K1307" s="96" t="n">
        <v>46310</v>
      </c>
      <c r="O1307" t="inlineStr">
        <is>
          <t>Ashutosh Chauhan</t>
        </is>
      </c>
      <c r="Y1307" s="96" t="n">
        <v>46293</v>
      </c>
      <c r="Z1307" t="inlineStr">
        <is>
          <t>https://app.hubspot.com/contacts/243046792/record/0-3/350821238506</t>
        </is>
      </c>
    </row>
    <row r="1308">
      <c r="A1308" t="n">
        <v>1307</v>
      </c>
      <c r="B1308" t="inlineStr">
        <is>
          <t>353117916918</t>
        </is>
      </c>
      <c r="D1308" t="inlineStr">
        <is>
          <t>OFF - ON-SITE DESKTOP SUPPORT SERVICES</t>
        </is>
      </c>
      <c r="E1308" t="inlineStr">
        <is>
          <t>Broome County</t>
        </is>
      </c>
      <c r="G1308" t="inlineStr">
        <is>
          <t>Submitted</t>
        </is>
      </c>
      <c r="H1308" t="inlineStr">
        <is>
          <t>No</t>
        </is>
      </c>
      <c r="J1308" s="96" t="n">
        <v>46311</v>
      </c>
      <c r="K1308" s="96" t="n">
        <v>46310</v>
      </c>
      <c r="N1308" t="inlineStr">
        <is>
          <t>Offline</t>
        </is>
      </c>
      <c r="O1308" t="inlineStr">
        <is>
          <t>Hrithik Srivastava</t>
        </is>
      </c>
      <c r="Y1308" s="96" t="n">
        <v>46301</v>
      </c>
      <c r="Z1308" t="inlineStr">
        <is>
          <t>https://app.hubspot.com/contacts/243046792/record/0-3/353117916918</t>
        </is>
      </c>
    </row>
    <row r="1309">
      <c r="A1309" t="n">
        <v>1308</v>
      </c>
      <c r="B1309" t="inlineStr">
        <is>
          <t>350911268584</t>
        </is>
      </c>
      <c r="C1309" t="inlineStr">
        <is>
          <t>1255401-BD</t>
        </is>
      </c>
      <c r="D1309" t="inlineStr">
        <is>
          <t>RFP 1255401-BD Enterprise Transportation IT Strategy, Governance, and Program Management Services</t>
        </is>
      </c>
      <c r="E1309" t="inlineStr">
        <is>
          <t>University of Washington</t>
        </is>
      </c>
      <c r="G1309" t="inlineStr">
        <is>
          <t>Submitted</t>
        </is>
      </c>
      <c r="H1309" t="inlineStr">
        <is>
          <t>No</t>
        </is>
      </c>
      <c r="J1309" s="96" t="n">
        <v>46311</v>
      </c>
      <c r="K1309" s="96" t="n">
        <v>46310</v>
      </c>
      <c r="M1309" t="inlineStr">
        <is>
          <t>Staff Augmentation</t>
        </is>
      </c>
      <c r="N1309" t="inlineStr">
        <is>
          <t>Portal</t>
        </is>
      </c>
      <c r="O1309" t="inlineStr">
        <is>
          <t>Hrithik Srivastava</t>
        </is>
      </c>
      <c r="Y1309" s="96" t="n">
        <v>46293</v>
      </c>
      <c r="Z1309" t="inlineStr">
        <is>
          <t>https://app.hubspot.com/contacts/243046792/record/0-3/350911268584</t>
        </is>
      </c>
    </row>
    <row r="1310">
      <c r="A1310" t="n">
        <v>1309</v>
      </c>
      <c r="B1310" t="inlineStr">
        <is>
          <t>354408773329</t>
        </is>
      </c>
      <c r="D1310" t="inlineStr">
        <is>
          <t>Veeam Data Platform Advanced License v2</t>
        </is>
      </c>
      <c r="E1310" t="inlineStr">
        <is>
          <t>Ohio Attorney General's Office</t>
        </is>
      </c>
      <c r="G1310" t="inlineStr">
        <is>
          <t>Submitted</t>
        </is>
      </c>
      <c r="H1310" t="inlineStr">
        <is>
          <t>No</t>
        </is>
      </c>
      <c r="J1310" s="96" t="n">
        <v>46310</v>
      </c>
      <c r="K1310" s="96" t="n">
        <v>46310</v>
      </c>
      <c r="M1310" t="inlineStr">
        <is>
          <t>Reseller</t>
        </is>
      </c>
      <c r="O1310" t="inlineStr">
        <is>
          <t>Ashutosh Chauhan</t>
        </is>
      </c>
      <c r="Y1310" s="96" t="n">
        <v>46310</v>
      </c>
      <c r="Z1310" t="inlineStr">
        <is>
          <t>https://app.hubspot.com/contacts/243046792/record/0-3/354408773329</t>
        </is>
      </c>
    </row>
    <row r="1311">
      <c r="A1311" t="n">
        <v>1310</v>
      </c>
      <c r="B1311" t="inlineStr">
        <is>
          <t>352882022136</t>
        </is>
      </c>
      <c r="C1311" t="inlineStr">
        <is>
          <t>RFP-1001511</t>
        </is>
      </c>
      <c r="D1311" t="inlineStr">
        <is>
          <t>Consulting for Iowa State University's Center for Cybersecurity Innovation and Outreach</t>
        </is>
      </c>
      <c r="E1311" t="inlineStr">
        <is>
          <t>Iowa State University</t>
        </is>
      </c>
      <c r="F1311" t="inlineStr">
        <is>
          <t>Iowa</t>
        </is>
      </c>
      <c r="G1311" t="inlineStr">
        <is>
          <t>Submitted</t>
        </is>
      </c>
      <c r="H1311" t="inlineStr">
        <is>
          <t>No</t>
        </is>
      </c>
      <c r="J1311" s="96" t="n">
        <v>46310</v>
      </c>
      <c r="K1311" s="96" t="n">
        <v>46310</v>
      </c>
      <c r="N1311" t="inlineStr">
        <is>
          <t>Portal</t>
        </is>
      </c>
      <c r="O1311" t="inlineStr">
        <is>
          <t>Hrithik Srivastava</t>
        </is>
      </c>
      <c r="Y1311" s="96" t="n">
        <v>46300</v>
      </c>
      <c r="Z1311" t="inlineStr">
        <is>
          <t>https://app.hubspot.com/contacts/243046792/record/0-3/352882022136</t>
        </is>
      </c>
    </row>
    <row r="1312">
      <c r="A1312" t="n">
        <v>1311</v>
      </c>
      <c r="B1312" t="inlineStr">
        <is>
          <t>342019571433</t>
        </is>
      </c>
      <c r="C1312" t="inlineStr">
        <is>
          <t>EV00000871</t>
        </is>
      </c>
      <c r="D1312" t="inlineStr">
        <is>
          <t>Emerging Technologies Consulting and Services</t>
        </is>
      </c>
      <c r="E1312" t="inlineStr">
        <is>
          <t>Office of Management &amp; Enterprise Services</t>
        </is>
      </c>
      <c r="G1312" t="inlineStr">
        <is>
          <t>Submitted</t>
        </is>
      </c>
      <c r="H1312" t="inlineStr">
        <is>
          <t>No</t>
        </is>
      </c>
      <c r="J1312" s="96" t="n">
        <v>46310</v>
      </c>
      <c r="K1312" s="96" t="n">
        <v>46311</v>
      </c>
      <c r="M1312" t="inlineStr">
        <is>
          <t>Consulting</t>
        </is>
      </c>
      <c r="O1312" t="inlineStr">
        <is>
          <t>Hrithik Srivastava</t>
        </is>
      </c>
      <c r="Y1312" s="96" t="n">
        <v>46247</v>
      </c>
      <c r="Z1312" t="inlineStr">
        <is>
          <t>https://app.hubspot.com/contacts/243046792/record/0-3/342019571433</t>
        </is>
      </c>
    </row>
    <row r="1313">
      <c r="A1313" t="n">
        <v>1312</v>
      </c>
      <c r="B1313" t="inlineStr">
        <is>
          <t>348941382364</t>
        </is>
      </c>
      <c r="D1313" t="inlineStr">
        <is>
          <t>Airport Cybersecurity Operations Center (SOC) &amp; Disaster Recovery Network Infrastructure</t>
        </is>
      </c>
      <c r="E1313" t="inlineStr">
        <is>
          <t>Port of Port Angeles</t>
        </is>
      </c>
      <c r="G1313" t="inlineStr">
        <is>
          <t>Submitted</t>
        </is>
      </c>
      <c r="H1313" t="inlineStr">
        <is>
          <t>No</t>
        </is>
      </c>
      <c r="J1313" s="96" t="n">
        <v>46311</v>
      </c>
      <c r="K1313" s="96" t="n">
        <v>46311</v>
      </c>
      <c r="N1313" t="inlineStr">
        <is>
          <t>Email</t>
        </is>
      </c>
      <c r="O1313" t="inlineStr">
        <is>
          <t>Hrithik Srivastava</t>
        </is>
      </c>
      <c r="Y1313" s="96" t="n">
        <v>46281</v>
      </c>
      <c r="Z1313" t="inlineStr">
        <is>
          <t>https://app.hubspot.com/contacts/243046792/record/0-3/348941382364</t>
        </is>
      </c>
    </row>
    <row r="1314">
      <c r="A1314" t="n">
        <v>1313</v>
      </c>
      <c r="B1314" t="inlineStr">
        <is>
          <t>347392487150</t>
        </is>
      </c>
      <c r="D1314" t="inlineStr">
        <is>
          <t>Housing Repair Assistance Program</t>
        </is>
      </c>
      <c r="E1314" t="inlineStr">
        <is>
          <t>City of Renton</t>
        </is>
      </c>
      <c r="G1314" t="inlineStr">
        <is>
          <t>Submitted</t>
        </is>
      </c>
      <c r="H1314" t="inlineStr">
        <is>
          <t>No</t>
        </is>
      </c>
      <c r="J1314" s="96" t="n">
        <v>46304</v>
      </c>
      <c r="K1314" s="96" t="n">
        <v>46311</v>
      </c>
      <c r="L1314" t="n">
        <v>119200</v>
      </c>
      <c r="M1314" t="inlineStr">
        <is>
          <t>Consulting;Custom development</t>
        </is>
      </c>
      <c r="N1314" t="inlineStr">
        <is>
          <t>Email</t>
        </is>
      </c>
      <c r="O1314" t="inlineStr">
        <is>
          <t>Hrithik Srivastava</t>
        </is>
      </c>
      <c r="Y1314" s="96" t="n">
        <v>46275</v>
      </c>
      <c r="Z1314" t="inlineStr">
        <is>
          <t>https://app.hubspot.com/contacts/243046792/record/0-3/347392487150</t>
        </is>
      </c>
    </row>
    <row r="1315">
      <c r="A1315" t="n">
        <v>1314</v>
      </c>
      <c r="B1315" t="inlineStr">
        <is>
          <t>342947747561</t>
        </is>
      </c>
      <c r="C1315" t="inlineStr">
        <is>
          <t>WRESA-50-2026-2027-07</t>
        </is>
      </c>
      <c r="D1315" t="inlineStr">
        <is>
          <t>API SERVICES FOR WAYNE RESA DEVELOPED ENTERPRISE RESOURCE PLANNING (ERP) SYSTEM</t>
        </is>
      </c>
      <c r="E1315" t="inlineStr">
        <is>
          <t>Wayne RESA</t>
        </is>
      </c>
      <c r="G1315" t="inlineStr">
        <is>
          <t>Submitted</t>
        </is>
      </c>
      <c r="H1315" t="inlineStr">
        <is>
          <t>No</t>
        </is>
      </c>
      <c r="J1315" s="96" t="n">
        <v>46311</v>
      </c>
      <c r="K1315" s="96" t="n">
        <v>46311</v>
      </c>
      <c r="M1315" t="inlineStr">
        <is>
          <t>Platform Implementation (ERP, CRMs)</t>
        </is>
      </c>
      <c r="O1315" t="inlineStr">
        <is>
          <t>Hrithik Srivastava</t>
        </is>
      </c>
      <c r="Y1315" s="96" t="n">
        <v>46252</v>
      </c>
      <c r="Z1315" t="inlineStr">
        <is>
          <t>https://app.hubspot.com/contacts/243046792/record/0-3/342947747561</t>
        </is>
      </c>
    </row>
    <row r="1316">
      <c r="A1316" t="n">
        <v>1315</v>
      </c>
      <c r="B1316" t="inlineStr">
        <is>
          <t>351156551408</t>
        </is>
      </c>
      <c r="D1316" t="inlineStr">
        <is>
          <t>Website Modernization – Platform, Professional Services &amp; Ongoing Support</t>
        </is>
      </c>
      <c r="E1316" t="inlineStr">
        <is>
          <t>Suffolk County Water Authority</t>
        </is>
      </c>
      <c r="G1316" t="inlineStr">
        <is>
          <t>Submitted</t>
        </is>
      </c>
      <c r="H1316" t="inlineStr">
        <is>
          <t>No</t>
        </is>
      </c>
      <c r="J1316" s="96" t="n">
        <v>46311</v>
      </c>
      <c r="K1316" s="96" t="n">
        <v>46311</v>
      </c>
      <c r="M1316" t="inlineStr">
        <is>
          <t>Consulting</t>
        </is>
      </c>
      <c r="O1316" t="inlineStr">
        <is>
          <t>Hrithik Srivastava</t>
        </is>
      </c>
      <c r="Y1316" s="96" t="n">
        <v>46294</v>
      </c>
      <c r="Z1316" t="inlineStr">
        <is>
          <t>https://app.hubspot.com/contacts/243046792/record/0-3/351156551408</t>
        </is>
      </c>
    </row>
    <row r="1317">
      <c r="A1317" t="n">
        <v>1316</v>
      </c>
      <c r="B1317" t="inlineStr">
        <is>
          <t>349259295472</t>
        </is>
      </c>
      <c r="D1317" t="inlineStr">
        <is>
          <t>THIRD PARTY RISK MANAGEMENT (TPRM) PROGRAM	New Mexico Office of Cybersecurity</t>
        </is>
      </c>
      <c r="E1317" t="inlineStr">
        <is>
          <t>New Mexico Department of Information Technology</t>
        </is>
      </c>
      <c r="G1317" t="inlineStr">
        <is>
          <t>Submitted</t>
        </is>
      </c>
      <c r="H1317" t="inlineStr">
        <is>
          <t>No</t>
        </is>
      </c>
      <c r="J1317" s="96" t="n">
        <v>46311</v>
      </c>
      <c r="K1317" s="96" t="n">
        <v>46311</v>
      </c>
      <c r="L1317" t="n">
        <v>187000</v>
      </c>
      <c r="M1317" t="inlineStr">
        <is>
          <t>Consulting</t>
        </is>
      </c>
      <c r="N1317" t="inlineStr">
        <is>
          <t>Email</t>
        </is>
      </c>
      <c r="O1317" t="inlineStr">
        <is>
          <t>Ashutosh Chauhan</t>
        </is>
      </c>
      <c r="Y1317" s="96" t="n">
        <v>46282</v>
      </c>
      <c r="Z1317" t="inlineStr">
        <is>
          <t>https://app.hubspot.com/contacts/243046792/record/0-3/349259295472</t>
        </is>
      </c>
    </row>
    <row r="1318">
      <c r="A1318" t="n">
        <v>1317</v>
      </c>
      <c r="B1318" t="inlineStr">
        <is>
          <t>346979990248</t>
        </is>
      </c>
      <c r="D1318" t="inlineStr">
        <is>
          <t>IT Services</t>
        </is>
      </c>
      <c r="E1318" t="inlineStr">
        <is>
          <t>Town of Grand Isle</t>
        </is>
      </c>
      <c r="G1318" t="inlineStr">
        <is>
          <t>Submitted</t>
        </is>
      </c>
      <c r="H1318" t="inlineStr">
        <is>
          <t>No</t>
        </is>
      </c>
      <c r="J1318" s="96" t="n">
        <v>46311</v>
      </c>
      <c r="K1318" s="96" t="n">
        <v>46311</v>
      </c>
      <c r="O1318" t="inlineStr">
        <is>
          <t>Ashutosh Chauhan</t>
        </is>
      </c>
      <c r="Y1318" s="96" t="n">
        <v>46274</v>
      </c>
      <c r="Z1318" t="inlineStr">
        <is>
          <t>https://app.hubspot.com/contacts/243046792/record/0-3/346979990248</t>
        </is>
      </c>
    </row>
    <row r="1319">
      <c r="A1319" t="n">
        <v>1318</v>
      </c>
      <c r="B1319" t="inlineStr">
        <is>
          <t>350679133929</t>
        </is>
      </c>
      <c r="C1319" t="inlineStr">
        <is>
          <t>2026-302</t>
        </is>
      </c>
      <c r="D1319" t="inlineStr">
        <is>
          <t>2026-302 - Oracle Fusion Cloud Human Capital Management Module Implementation Services</t>
        </is>
      </c>
      <c r="E1319" t="inlineStr">
        <is>
          <t>City of Aspen</t>
        </is>
      </c>
      <c r="F1319" t="inlineStr">
        <is>
          <t>Colorado</t>
        </is>
      </c>
      <c r="G1319" t="inlineStr">
        <is>
          <t>Submitted</t>
        </is>
      </c>
      <c r="H1319" t="inlineStr">
        <is>
          <t>No</t>
        </is>
      </c>
      <c r="J1319" s="96" t="n">
        <v>46314</v>
      </c>
      <c r="K1319" s="96" t="n">
        <v>46314</v>
      </c>
      <c r="L1319" t="n">
        <v>541650</v>
      </c>
      <c r="M1319" t="inlineStr">
        <is>
          <t>Platform Implementation (ERP, CRMs)</t>
        </is>
      </c>
      <c r="N1319" t="inlineStr">
        <is>
          <t>Portal</t>
        </is>
      </c>
      <c r="O1319" t="inlineStr">
        <is>
          <t>Ashutosh Chauhan</t>
        </is>
      </c>
      <c r="Y1319" s="96" t="n">
        <v>46293</v>
      </c>
      <c r="Z1319" t="inlineStr">
        <is>
          <t>https://app.hubspot.com/contacts/243046792/record/0-3/350679133929</t>
        </is>
      </c>
    </row>
    <row r="1320">
      <c r="A1320" t="n">
        <v>1319</v>
      </c>
      <c r="B1320" t="inlineStr">
        <is>
          <t>350071113439</t>
        </is>
      </c>
      <c r="C1320" t="inlineStr">
        <is>
          <t>RFP 27-02</t>
        </is>
      </c>
      <c r="D1320" t="inlineStr">
        <is>
          <t>Oracle Fusion Enterprise Resource Planning (ERP) &amp; Human Capital Management (HCM) Implementation Partner</t>
        </is>
      </c>
      <c r="E1320" t="inlineStr">
        <is>
          <t>San Diego Community College District</t>
        </is>
      </c>
      <c r="G1320" t="inlineStr">
        <is>
          <t>Submitted</t>
        </is>
      </c>
      <c r="H1320" t="inlineStr">
        <is>
          <t>No</t>
        </is>
      </c>
      <c r="J1320" s="96" t="n">
        <v>46314</v>
      </c>
      <c r="K1320" s="96" t="n">
        <v>46314</v>
      </c>
      <c r="O1320" t="inlineStr">
        <is>
          <t>Hrithik Srivastava</t>
        </is>
      </c>
      <c r="Y1320" s="96" t="n">
        <v>46287</v>
      </c>
      <c r="Z1320" t="inlineStr">
        <is>
          <t>https://app.hubspot.com/contacts/243046792/record/0-3/350071113439</t>
        </is>
      </c>
    </row>
    <row r="1321">
      <c r="A1321" t="n">
        <v>1320</v>
      </c>
      <c r="B1321" t="inlineStr">
        <is>
          <t>351712137963</t>
        </is>
      </c>
      <c r="C1321" t="inlineStr">
        <is>
          <t>RFP 28-IT VOM</t>
        </is>
      </c>
      <c r="D1321" t="inlineStr">
        <is>
          <t>Managed IT Services and SOC</t>
        </is>
      </c>
      <c r="E1321" t="inlineStr">
        <is>
          <t>Village of Mundelein</t>
        </is>
      </c>
      <c r="G1321" t="inlineStr">
        <is>
          <t>Submitted</t>
        </is>
      </c>
      <c r="H1321" t="inlineStr">
        <is>
          <t>No</t>
        </is>
      </c>
      <c r="J1321" s="96" t="n">
        <v>46315</v>
      </c>
      <c r="K1321" s="96" t="n">
        <v>46314</v>
      </c>
      <c r="O1321" t="inlineStr">
        <is>
          <t>Hrithik Srivastava</t>
        </is>
      </c>
      <c r="Y1321" s="96" t="n">
        <v>46295</v>
      </c>
      <c r="Z1321" t="inlineStr">
        <is>
          <t>https://app.hubspot.com/contacts/243046792/record/0-3/351712137963</t>
        </is>
      </c>
    </row>
    <row r="1322">
      <c r="A1322" t="n">
        <v>1321</v>
      </c>
      <c r="B1322" t="inlineStr">
        <is>
          <t>350202777329</t>
        </is>
      </c>
      <c r="D1322" t="inlineStr">
        <is>
          <t>OFFLINE AI Citizen Engagement Platform</t>
        </is>
      </c>
      <c r="E1322" t="inlineStr">
        <is>
          <t>Tarrant Appraisal District</t>
        </is>
      </c>
      <c r="G1322" t="inlineStr">
        <is>
          <t>Submitted</t>
        </is>
      </c>
      <c r="H1322" t="inlineStr">
        <is>
          <t>No</t>
        </is>
      </c>
      <c r="J1322" s="96" t="n">
        <v>46314</v>
      </c>
      <c r="K1322" s="96" t="n">
        <v>46314</v>
      </c>
      <c r="L1322" t="n">
        <v>160800</v>
      </c>
      <c r="M1322" t="inlineStr">
        <is>
          <t>Consulting;Platform Implementation (ERP, CRMs)</t>
        </is>
      </c>
      <c r="N1322" t="inlineStr">
        <is>
          <t>Offline</t>
        </is>
      </c>
      <c r="O1322" t="inlineStr">
        <is>
          <t>Ashutosh Chauhan</t>
        </is>
      </c>
      <c r="Y1322" s="96" t="n">
        <v>46288</v>
      </c>
      <c r="Z1322" t="inlineStr">
        <is>
          <t>https://app.hubspot.com/contacts/243046792/record/0-3/350202777329</t>
        </is>
      </c>
    </row>
    <row r="1323">
      <c r="A1323" t="n">
        <v>1322</v>
      </c>
      <c r="B1323" t="inlineStr">
        <is>
          <t>352727934660</t>
        </is>
      </c>
      <c r="C1323" t="inlineStr">
        <is>
          <t>25144</t>
        </is>
      </c>
      <c r="D1323" t="inlineStr">
        <is>
          <t>Microsoft 365 Licenses</t>
        </is>
      </c>
      <c r="E1323" t="inlineStr">
        <is>
          <t>City of Alcoa</t>
        </is>
      </c>
      <c r="G1323" t="inlineStr">
        <is>
          <t>Submitted</t>
        </is>
      </c>
      <c r="H1323" t="inlineStr">
        <is>
          <t>No</t>
        </is>
      </c>
      <c r="J1323" s="96" t="n">
        <v>46315</v>
      </c>
      <c r="K1323" s="96" t="n">
        <v>46314</v>
      </c>
      <c r="O1323" t="inlineStr">
        <is>
          <t>Ashutosh Chauhan</t>
        </is>
      </c>
      <c r="Y1323" s="96" t="n">
        <v>46300</v>
      </c>
      <c r="Z1323" t="inlineStr">
        <is>
          <t>https://app.hubspot.com/contacts/243046792/record/0-3/352727934660</t>
        </is>
      </c>
    </row>
    <row r="1324">
      <c r="A1324" t="n">
        <v>1323</v>
      </c>
      <c r="B1324" t="inlineStr">
        <is>
          <t>349271622345</t>
        </is>
      </c>
      <c r="C1324" t="inlineStr">
        <is>
          <t>27-0057</t>
        </is>
      </c>
      <c r="D1324" t="inlineStr">
        <is>
          <t>Enterprise Operational Excellence &amp;Digital Transformation Assessment</t>
        </is>
      </c>
      <c r="E1324" t="inlineStr">
        <is>
          <t>ORLEANS PARISH SCHOOL BOARD</t>
        </is>
      </c>
      <c r="G1324" t="inlineStr">
        <is>
          <t>Submitted</t>
        </is>
      </c>
      <c r="H1324" t="inlineStr">
        <is>
          <t>No</t>
        </is>
      </c>
      <c r="J1324" s="96" t="n">
        <v>46315</v>
      </c>
      <c r="K1324" s="96" t="n">
        <v>46315</v>
      </c>
      <c r="O1324" t="inlineStr">
        <is>
          <t>Ashutosh Chauhan</t>
        </is>
      </c>
      <c r="Y1324" s="96" t="n">
        <v>46283</v>
      </c>
      <c r="Z1324" t="inlineStr">
        <is>
          <t>https://app.hubspot.com/contacts/243046792/record/0-3/349271622345</t>
        </is>
      </c>
    </row>
    <row r="1325">
      <c r="A1325" t="n">
        <v>1324</v>
      </c>
      <c r="B1325" t="inlineStr">
        <is>
          <t>351935650498</t>
        </is>
      </c>
      <c r="D1325" t="inlineStr">
        <is>
          <t>Accela Software Solution and Support</t>
        </is>
      </c>
      <c r="E1325" t="inlineStr">
        <is>
          <t xml:space="preserve">Executive Office of Technology Services and Security </t>
        </is>
      </c>
      <c r="G1325" t="inlineStr">
        <is>
          <t>Submitted</t>
        </is>
      </c>
      <c r="H1325" t="inlineStr">
        <is>
          <t>No</t>
        </is>
      </c>
      <c r="J1325" s="96" t="n">
        <v>46315</v>
      </c>
      <c r="K1325" s="96" t="n">
        <v>46315</v>
      </c>
      <c r="O1325" t="inlineStr">
        <is>
          <t>Hrithik Srivastava</t>
        </is>
      </c>
      <c r="Y1325" s="96" t="n">
        <v>46296</v>
      </c>
      <c r="Z1325" t="inlineStr">
        <is>
          <t>https://app.hubspot.com/contacts/243046792/record/0-3/351935650498</t>
        </is>
      </c>
    </row>
    <row r="1326">
      <c r="A1326" t="n">
        <v>1325</v>
      </c>
      <c r="B1326" t="inlineStr">
        <is>
          <t>351788458731</t>
        </is>
      </c>
      <c r="D1326" t="inlineStr">
        <is>
          <t>OFF - 2027 INFORMATION TECHNOLOGY (IT) SERVICES</t>
        </is>
      </c>
      <c r="E1326" t="inlineStr">
        <is>
          <t>Borough of Kenilworth</t>
        </is>
      </c>
      <c r="G1326" t="inlineStr">
        <is>
          <t>Submitted</t>
        </is>
      </c>
      <c r="H1326" t="inlineStr">
        <is>
          <t>No</t>
        </is>
      </c>
      <c r="J1326" s="96" t="n">
        <v>46315</v>
      </c>
      <c r="K1326" s="96" t="n">
        <v>46315</v>
      </c>
      <c r="O1326" t="inlineStr">
        <is>
          <t>Ashutosh Chauhan</t>
        </is>
      </c>
      <c r="Y1326" s="96" t="n">
        <v>46296</v>
      </c>
      <c r="Z1326" t="inlineStr">
        <is>
          <t>https://app.hubspot.com/contacts/243046792/record/0-3/351788458731</t>
        </is>
      </c>
    </row>
    <row r="1327">
      <c r="A1327" t="n">
        <v>1326</v>
      </c>
      <c r="B1327" t="inlineStr">
        <is>
          <t>350193789657</t>
        </is>
      </c>
      <c r="C1327" t="inlineStr">
        <is>
          <t>SFGOV-0000011913</t>
        </is>
      </c>
      <c r="D1327" t="inlineStr">
        <is>
          <t>TIS | RFP for Cybersecurity Staffing Firms</t>
        </is>
      </c>
      <c r="E1327" t="inlineStr">
        <is>
          <t>San Francisco Department of Technology</t>
        </is>
      </c>
      <c r="G1327" t="inlineStr">
        <is>
          <t>Submitted</t>
        </is>
      </c>
      <c r="H1327" t="inlineStr">
        <is>
          <t>No</t>
        </is>
      </c>
      <c r="J1327" s="96" t="n">
        <v>46315</v>
      </c>
      <c r="K1327" s="96" t="n">
        <v>46315</v>
      </c>
      <c r="O1327" t="inlineStr">
        <is>
          <t>Hrithik Srivastava</t>
        </is>
      </c>
      <c r="Y1327" s="96" t="n">
        <v>46288</v>
      </c>
      <c r="Z1327" t="inlineStr">
        <is>
          <t>https://app.hubspot.com/contacts/243046792/record/0-3/350193789657</t>
        </is>
      </c>
    </row>
    <row r="1328">
      <c r="A1328" t="n">
        <v>1327</v>
      </c>
      <c r="B1328" t="inlineStr">
        <is>
          <t>350193789653</t>
        </is>
      </c>
      <c r="D1328" t="inlineStr">
        <is>
          <t>OFFLINE Outsourced Information Technology and Managed Services</t>
        </is>
      </c>
      <c r="E1328" t="inlineStr">
        <is>
          <t>Lawrence-Douglas County Housing Authority</t>
        </is>
      </c>
      <c r="G1328" t="inlineStr">
        <is>
          <t>Submitted</t>
        </is>
      </c>
      <c r="H1328" t="inlineStr">
        <is>
          <t>No</t>
        </is>
      </c>
      <c r="J1328" s="96" t="n">
        <v>46317</v>
      </c>
      <c r="K1328" s="96" t="n">
        <v>46315</v>
      </c>
      <c r="O1328" t="inlineStr">
        <is>
          <t>Hrithik Srivastava</t>
        </is>
      </c>
      <c r="Y1328" s="96" t="n">
        <v>46288</v>
      </c>
      <c r="Z1328" t="inlineStr">
        <is>
          <t>https://app.hubspot.com/contacts/243046792/record/0-3/350193789653</t>
        </is>
      </c>
    </row>
    <row r="1329">
      <c r="A1329" t="n">
        <v>1328</v>
      </c>
      <c r="B1329" t="inlineStr">
        <is>
          <t>353614251768</t>
        </is>
      </c>
      <c r="C1329" t="inlineStr">
        <is>
          <t>26-27-09-Q</t>
        </is>
      </c>
      <c r="D1329" t="inlineStr">
        <is>
          <t>Comprehensive Security Risk Assessment</t>
        </is>
      </c>
      <c r="E1329" t="inlineStr">
        <is>
          <t>Seminole State College of Florida</t>
        </is>
      </c>
      <c r="G1329" t="inlineStr">
        <is>
          <t>Submitted</t>
        </is>
      </c>
      <c r="H1329" t="inlineStr">
        <is>
          <t>No</t>
        </is>
      </c>
      <c r="J1329" s="96" t="n">
        <v>46316</v>
      </c>
      <c r="K1329" s="96" t="n">
        <v>46316</v>
      </c>
      <c r="L1329" t="n">
        <v>125000</v>
      </c>
      <c r="M1329" t="inlineStr">
        <is>
          <t>Audits and Assessment</t>
        </is>
      </c>
      <c r="N1329" t="inlineStr">
        <is>
          <t>Email</t>
        </is>
      </c>
      <c r="O1329" t="inlineStr">
        <is>
          <t>Ashutosh Chauhan</t>
        </is>
      </c>
      <c r="Y1329" s="96" t="n">
        <v>46307</v>
      </c>
      <c r="Z1329" t="inlineStr">
        <is>
          <t>https://app.hubspot.com/contacts/243046792/record/0-3/353614251768</t>
        </is>
      </c>
    </row>
    <row r="1330">
      <c r="A1330" t="n">
        <v>1329</v>
      </c>
      <c r="B1330" t="inlineStr">
        <is>
          <t>352876623552</t>
        </is>
      </c>
      <c r="D1330" t="inlineStr">
        <is>
          <t>OFF - RFQ-Computer IT Services FY2027</t>
        </is>
      </c>
      <c r="E1330" t="inlineStr">
        <is>
          <t>Parking Authority of the City of Newark</t>
        </is>
      </c>
      <c r="G1330" t="inlineStr">
        <is>
          <t>Submitted</t>
        </is>
      </c>
      <c r="H1330" t="inlineStr">
        <is>
          <t>No</t>
        </is>
      </c>
      <c r="J1330" s="96" t="n">
        <v>46318</v>
      </c>
      <c r="K1330" s="96" t="n">
        <v>46316</v>
      </c>
      <c r="O1330" t="inlineStr">
        <is>
          <t>Hrithik Srivastava</t>
        </is>
      </c>
      <c r="Y1330" s="96" t="n">
        <v>46300</v>
      </c>
      <c r="Z1330" t="inlineStr">
        <is>
          <t>https://app.hubspot.com/contacts/243046792/record/0-3/352876623552</t>
        </is>
      </c>
    </row>
    <row r="1331">
      <c r="A1331" t="n">
        <v>1330</v>
      </c>
      <c r="B1331" t="inlineStr">
        <is>
          <t>353166257881</t>
        </is>
      </c>
      <c r="D1331" t="inlineStr">
        <is>
          <t>Consulting services for implementation and migration of new ERP system</t>
        </is>
      </c>
      <c r="E1331" t="inlineStr">
        <is>
          <t>City of Gallup</t>
        </is>
      </c>
      <c r="G1331" t="inlineStr">
        <is>
          <t>RFx Cancelled</t>
        </is>
      </c>
      <c r="H1331" t="inlineStr">
        <is>
          <t>No</t>
        </is>
      </c>
      <c r="J1331" s="96" t="n">
        <v>46322</v>
      </c>
      <c r="O1331" t="inlineStr">
        <is>
          <t>Ashutosh Chauhan</t>
        </is>
      </c>
      <c r="Y1331" s="96" t="n">
        <v>46301</v>
      </c>
      <c r="Z1331" t="inlineStr">
        <is>
          <t>https://app.hubspot.com/contacts/243046792/record/0-3/353166257881</t>
        </is>
      </c>
    </row>
    <row r="1332">
      <c r="A1332" t="n">
        <v>1331</v>
      </c>
      <c r="B1332" t="inlineStr">
        <is>
          <t>350887608006</t>
        </is>
      </c>
      <c r="C1332" t="inlineStr">
        <is>
          <t>RFP 2026-08</t>
        </is>
      </c>
      <c r="D1332" t="inlineStr">
        <is>
          <t>Co-Managed IT Services</t>
        </is>
      </c>
      <c r="E1332" t="inlineStr">
        <is>
          <t>City of Hinesville</t>
        </is>
      </c>
      <c r="G1332" t="inlineStr">
        <is>
          <t>RFx Cancelled</t>
        </is>
      </c>
      <c r="H1332" t="inlineStr">
        <is>
          <t>No</t>
        </is>
      </c>
      <c r="J1332" s="96" t="n">
        <v>46318</v>
      </c>
      <c r="O1332" t="inlineStr">
        <is>
          <t>Hrithik Srivastava</t>
        </is>
      </c>
      <c r="Y1332" s="96" t="n">
        <v>46293</v>
      </c>
      <c r="Z1332" t="inlineStr">
        <is>
          <t>https://app.hubspot.com/contacts/243046792/record/0-3/350887608006</t>
        </is>
      </c>
    </row>
    <row r="1333">
      <c r="A1333" t="n">
        <v>1332</v>
      </c>
      <c r="B1333" t="inlineStr">
        <is>
          <t>348946503368</t>
        </is>
      </c>
      <c r="D1333" t="inlineStr">
        <is>
          <t>Offline - COMPREHENSIVE GIS DASHBOARD</t>
        </is>
      </c>
      <c r="E1333" t="inlineStr">
        <is>
          <t>Cherokee Nation Business</t>
        </is>
      </c>
      <c r="F1333" t="inlineStr">
        <is>
          <t>Oklahoma</t>
        </is>
      </c>
      <c r="G1333" t="inlineStr">
        <is>
          <t>RFx Cancelled</t>
        </is>
      </c>
      <c r="H1333" t="inlineStr">
        <is>
          <t>No</t>
        </is>
      </c>
      <c r="J1333" s="96" t="n">
        <v>46304</v>
      </c>
      <c r="O1333" t="inlineStr">
        <is>
          <t>Hrithik Srivastava</t>
        </is>
      </c>
      <c r="Y1333" s="96" t="n">
        <v>46282</v>
      </c>
      <c r="Z1333" t="inlineStr">
        <is>
          <t>https://app.hubspot.com/contacts/243046792/record/0-3/348946503368</t>
        </is>
      </c>
    </row>
    <row r="1334">
      <c r="A1334" t="n">
        <v>1333</v>
      </c>
      <c r="B1334" t="inlineStr">
        <is>
          <t>120592687828</t>
        </is>
      </c>
      <c r="C1334" t="inlineStr">
        <is>
          <t>RFP S25070</t>
        </is>
      </c>
      <c r="D1334" t="inlineStr">
        <is>
          <t>Oracle Hosting and Managed Services</t>
        </is>
      </c>
      <c r="E1334" t="inlineStr">
        <is>
          <t>Riverside Transit Agency</t>
        </is>
      </c>
      <c r="G1334" t="inlineStr">
        <is>
          <t>Closed Lost</t>
        </is>
      </c>
      <c r="H1334" t="inlineStr">
        <is>
          <t>No</t>
        </is>
      </c>
      <c r="J1334" s="96" t="n">
        <v>46314</v>
      </c>
      <c r="K1334" s="96" t="n">
        <v>45849</v>
      </c>
      <c r="L1334" t="n">
        <v>918750</v>
      </c>
      <c r="N1334" t="inlineStr">
        <is>
          <t>Portal</t>
        </is>
      </c>
      <c r="O1334" t="inlineStr">
        <is>
          <t>Jyothsna Nanda kishore</t>
        </is>
      </c>
      <c r="Y1334" s="96" t="n">
        <v>45853</v>
      </c>
      <c r="Z1334" t="inlineStr">
        <is>
          <t>https://app.hubspot.com/contacts/243046792/record/0-3/120592687828</t>
        </is>
      </c>
    </row>
    <row r="1335">
      <c r="A1335" t="n">
        <v>1334</v>
      </c>
      <c r="B1335" t="inlineStr">
        <is>
          <t>347096811238</t>
        </is>
      </c>
      <c r="C1335" t="inlineStr">
        <is>
          <t>ACRP 03-88</t>
        </is>
      </c>
      <c r="D1335" t="inlineStr">
        <is>
          <t>Guide to Establishing Artificial Intelligence Adoption at Airports</t>
        </is>
      </c>
      <c r="E1335" t="inlineStr">
        <is>
          <t>National Academies of Sciences Engineering and Medicine (Transportation Research Board’s Cooperative Research Programs)</t>
        </is>
      </c>
      <c r="G1335" t="inlineStr">
        <is>
          <t>Submitted</t>
        </is>
      </c>
      <c r="H1335" t="inlineStr">
        <is>
          <t>No</t>
        </is>
      </c>
      <c r="J1335" s="96" t="n">
        <v>46316</v>
      </c>
      <c r="K1335" s="96" t="n">
        <v>46316</v>
      </c>
      <c r="L1335" t="n">
        <v>299670</v>
      </c>
      <c r="M1335" t="inlineStr">
        <is>
          <t>Consulting</t>
        </is>
      </c>
      <c r="N1335" t="inlineStr">
        <is>
          <t>Portal</t>
        </is>
      </c>
      <c r="O1335" t="inlineStr">
        <is>
          <t>Ashutosh Chauhan</t>
        </is>
      </c>
      <c r="Y1335" s="96" t="n">
        <v>46274</v>
      </c>
      <c r="Z1335" t="inlineStr">
        <is>
          <t>https://app.hubspot.com/contacts/243046792/record/0-3/347096811238</t>
        </is>
      </c>
    </row>
    <row r="1336">
      <c r="A1336" t="n">
        <v>1335</v>
      </c>
      <c r="B1336" t="inlineStr">
        <is>
          <t>348941408993</t>
        </is>
      </c>
      <c r="C1336" t="inlineStr">
        <is>
          <t>OSUTUL-RFP-001864-2027</t>
        </is>
      </c>
      <c r="D1336" t="inlineStr">
        <is>
          <t>AI Development for Graduate Medical Education</t>
        </is>
      </c>
      <c r="E1336" t="inlineStr">
        <is>
          <t>OKLAHOMA STATE UNIVERSITY CENTER FOR HEALTH SCIENCES</t>
        </is>
      </c>
      <c r="F1336" t="inlineStr">
        <is>
          <t>Oklahoma</t>
        </is>
      </c>
      <c r="G1336" t="inlineStr">
        <is>
          <t>Submitted</t>
        </is>
      </c>
      <c r="H1336" t="inlineStr">
        <is>
          <t>No</t>
        </is>
      </c>
      <c r="J1336" s="96" t="n">
        <v>46293</v>
      </c>
      <c r="K1336" s="96" t="n">
        <v>46323</v>
      </c>
      <c r="L1336" t="n">
        <v>485000</v>
      </c>
      <c r="M1336" t="inlineStr">
        <is>
          <t>Consulting;Custom development</t>
        </is>
      </c>
      <c r="N1336" t="inlineStr">
        <is>
          <t>Portal</t>
        </is>
      </c>
      <c r="O1336" t="inlineStr">
        <is>
          <t>Yash More</t>
        </is>
      </c>
      <c r="Y1336" s="96" t="n">
        <v>46281</v>
      </c>
      <c r="Z1336" t="inlineStr">
        <is>
          <t>https://app.hubspot.com/contacts/243046792/record/0-3/348941408993</t>
        </is>
      </c>
    </row>
    <row r="1337">
      <c r="A1337" t="n">
        <v>1336</v>
      </c>
      <c r="B1337" t="inlineStr">
        <is>
          <t>350300787437</t>
        </is>
      </c>
      <c r="C1337" t="inlineStr">
        <is>
          <t>27-002</t>
        </is>
      </c>
      <c r="D1337" t="inlineStr">
        <is>
          <t>Technology Products and Services</t>
        </is>
      </c>
      <c r="E1337" t="inlineStr">
        <is>
          <t>Fort Worth Independent School District</t>
        </is>
      </c>
      <c r="G1337" t="inlineStr">
        <is>
          <t>Submitted</t>
        </is>
      </c>
      <c r="H1337" t="inlineStr">
        <is>
          <t>No</t>
        </is>
      </c>
      <c r="J1337" s="96" t="n">
        <v>46317</v>
      </c>
      <c r="K1337" s="96" t="n">
        <v>46317</v>
      </c>
      <c r="M1337" t="inlineStr">
        <is>
          <t>Reseller</t>
        </is>
      </c>
      <c r="N1337" t="inlineStr">
        <is>
          <t>Portal</t>
        </is>
      </c>
      <c r="O1337" t="inlineStr">
        <is>
          <t>Ashutosh Chauhan</t>
        </is>
      </c>
      <c r="Y1337" s="96" t="n">
        <v>46288</v>
      </c>
      <c r="Z1337" t="inlineStr">
        <is>
          <t>https://app.hubspot.com/contacts/243046792/record/0-3/350300787437</t>
        </is>
      </c>
    </row>
    <row r="1338">
      <c r="A1338" t="n">
        <v>1337</v>
      </c>
      <c r="B1338" t="inlineStr">
        <is>
          <t>350865481404</t>
        </is>
      </c>
      <c r="C1338" t="inlineStr">
        <is>
          <t>PIN#102202709162026</t>
        </is>
      </c>
      <c r="D1338" t="inlineStr">
        <is>
          <t>Initiative Reporting Application for the Division of Finance</t>
        </is>
      </c>
      <c r="E1338" t="inlineStr">
        <is>
          <t>New York City Council</t>
        </is>
      </c>
      <c r="G1338" t="inlineStr">
        <is>
          <t>Submitted</t>
        </is>
      </c>
      <c r="H1338" t="inlineStr">
        <is>
          <t>No</t>
        </is>
      </c>
      <c r="J1338" s="96" t="n">
        <v>46317</v>
      </c>
      <c r="K1338" s="96" t="n">
        <v>46317</v>
      </c>
      <c r="L1338" t="n">
        <v>1225000</v>
      </c>
      <c r="M1338" t="inlineStr">
        <is>
          <t>Custom development</t>
        </is>
      </c>
      <c r="N1338" t="inlineStr">
        <is>
          <t>Email</t>
        </is>
      </c>
      <c r="O1338" t="inlineStr">
        <is>
          <t>Ashutosh Chauhan</t>
        </is>
      </c>
      <c r="Y1338" s="96" t="n">
        <v>46293</v>
      </c>
      <c r="Z1338" t="inlineStr">
        <is>
          <t>https://app.hubspot.com/contacts/243046792/record/0-3/350865481404</t>
        </is>
      </c>
    </row>
    <row r="1339">
      <c r="A1339" t="n">
        <v>1338</v>
      </c>
      <c r="B1339" t="inlineStr">
        <is>
          <t>352773336780</t>
        </is>
      </c>
      <c r="D1339" t="inlineStr">
        <is>
          <t>Managed Information Technology Services</t>
        </is>
      </c>
      <c r="E1339" t="inlineStr">
        <is>
          <t>Decide DeKalb Development Authority</t>
        </is>
      </c>
      <c r="G1339" t="inlineStr">
        <is>
          <t>Submitted</t>
        </is>
      </c>
      <c r="H1339" t="inlineStr">
        <is>
          <t>No</t>
        </is>
      </c>
      <c r="J1339" s="96" t="n">
        <v>46317</v>
      </c>
      <c r="K1339" s="96" t="n">
        <v>46317</v>
      </c>
      <c r="O1339" t="inlineStr">
        <is>
          <t>Ashutosh Chauhan</t>
        </is>
      </c>
      <c r="Y1339" s="96" t="n">
        <v>46300</v>
      </c>
      <c r="Z1339" t="inlineStr">
        <is>
          <t>https://app.hubspot.com/contacts/243046792/record/0-3/352773336780</t>
        </is>
      </c>
    </row>
    <row r="1340">
      <c r="A1340" t="n">
        <v>1339</v>
      </c>
      <c r="B1340" t="inlineStr">
        <is>
          <t>352922605260</t>
        </is>
      </c>
      <c r="C1340" t="inlineStr">
        <is>
          <t xml:space="preserve"> TJPDC-2026-02 </t>
        </is>
      </c>
      <c r="D1340" t="inlineStr">
        <is>
          <t xml:space="preserve">Website Management and Digital Communications Services </t>
        </is>
      </c>
      <c r="E1340" t="inlineStr">
        <is>
          <t>Thomas Jefferson Planning District Commission</t>
        </is>
      </c>
      <c r="G1340" t="inlineStr">
        <is>
          <t>Submitted</t>
        </is>
      </c>
      <c r="H1340" t="inlineStr">
        <is>
          <t>No</t>
        </is>
      </c>
      <c r="J1340" s="96" t="n">
        <v>46316</v>
      </c>
      <c r="K1340" s="96" t="n">
        <v>46316</v>
      </c>
      <c r="L1340" t="n">
        <v>54209.7</v>
      </c>
      <c r="M1340" t="inlineStr">
        <is>
          <t>Modernization / Migration</t>
        </is>
      </c>
      <c r="N1340" t="inlineStr">
        <is>
          <t>Email</t>
        </is>
      </c>
      <c r="O1340" t="inlineStr">
        <is>
          <t>Ashutosh Chauhan</t>
        </is>
      </c>
      <c r="Y1340" s="96" t="n">
        <v>46301</v>
      </c>
      <c r="Z1340" t="inlineStr">
        <is>
          <t>https://app.hubspot.com/contacts/243046792/record/0-3/352922605260</t>
        </is>
      </c>
    </row>
    <row r="1341">
      <c r="A1341" t="n">
        <v>1340</v>
      </c>
      <c r="B1341" t="inlineStr">
        <is>
          <t>352920512220</t>
        </is>
      </c>
      <c r="C1341" t="inlineStr">
        <is>
          <t>27-00FQ</t>
        </is>
      </c>
      <c r="D1341" t="inlineStr">
        <is>
          <t>Information Technology Department Comparative Analysis and Future-Ready Recommendations</t>
        </is>
      </c>
      <c r="E1341" t="inlineStr">
        <is>
          <t xml:space="preserve">Paradise Valley Unified School District </t>
        </is>
      </c>
      <c r="G1341" t="inlineStr">
        <is>
          <t>Submitted</t>
        </is>
      </c>
      <c r="H1341" t="inlineStr">
        <is>
          <t>No</t>
        </is>
      </c>
      <c r="J1341" s="96" t="n">
        <v>46318</v>
      </c>
      <c r="K1341" s="96" t="n">
        <v>46318</v>
      </c>
      <c r="L1341" t="n">
        <v>87500</v>
      </c>
      <c r="M1341" t="inlineStr">
        <is>
          <t>Managed Services (MSP)</t>
        </is>
      </c>
      <c r="N1341" t="inlineStr">
        <is>
          <t>Portal</t>
        </is>
      </c>
      <c r="O1341" t="inlineStr">
        <is>
          <t>Ashutosh Chauhan</t>
        </is>
      </c>
      <c r="Y1341" s="96" t="n">
        <v>46301</v>
      </c>
      <c r="Z1341" t="inlineStr">
        <is>
          <t>https://app.hubspot.com/contacts/243046792/record/0-3/352920512220</t>
        </is>
      </c>
    </row>
    <row r="1342">
      <c r="A1342" t="n">
        <v>1341</v>
      </c>
      <c r="B1342" t="inlineStr">
        <is>
          <t>353228750574</t>
        </is>
      </c>
      <c r="D1342" t="inlineStr">
        <is>
          <t>[Offline] Managed Information Technology (IT) Support Services</t>
        </is>
      </c>
      <c r="E1342" t="inlineStr">
        <is>
          <t>City of Cherry Hills Village</t>
        </is>
      </c>
      <c r="G1342" t="inlineStr">
        <is>
          <t>Submitted</t>
        </is>
      </c>
      <c r="H1342" t="inlineStr">
        <is>
          <t>No</t>
        </is>
      </c>
      <c r="J1342" s="96" t="n">
        <v>46316</v>
      </c>
      <c r="K1342" s="96" t="n">
        <v>46317</v>
      </c>
      <c r="L1342" t="n">
        <v>183216</v>
      </c>
      <c r="M1342" t="inlineStr">
        <is>
          <t>Consulting;Managed Services (MSP)</t>
        </is>
      </c>
      <c r="N1342" t="inlineStr">
        <is>
          <t>Offline</t>
        </is>
      </c>
      <c r="O1342" t="inlineStr">
        <is>
          <t>Ashutosh Chauhan</t>
        </is>
      </c>
      <c r="Y1342" s="96" t="n">
        <v>46303</v>
      </c>
      <c r="Z1342" t="inlineStr">
        <is>
          <t>https://app.hubspot.com/contacts/243046792/record/0-3/353228750574</t>
        </is>
      </c>
    </row>
    <row r="1343">
      <c r="A1343" t="n">
        <v>1342</v>
      </c>
      <c r="B1343" t="inlineStr">
        <is>
          <t>353736763114</t>
        </is>
      </c>
      <c r="D1343" t="inlineStr">
        <is>
          <t>Regional Wastewater Data Standardization/Normalization and Predictive Analytics Dashboard Development</t>
        </is>
      </c>
      <c r="E1343" t="inlineStr">
        <is>
          <t>Mid-America Regional Council (MARC)</t>
        </is>
      </c>
      <c r="G1343" t="inlineStr">
        <is>
          <t>Submitted</t>
        </is>
      </c>
      <c r="H1343" t="inlineStr">
        <is>
          <t>No</t>
        </is>
      </c>
      <c r="J1343" s="96" t="n">
        <v>46318</v>
      </c>
      <c r="K1343" s="96" t="n">
        <v>46318</v>
      </c>
      <c r="O1343" t="inlineStr">
        <is>
          <t>Ashutosh Chauhan</t>
        </is>
      </c>
      <c r="Y1343" s="96" t="n">
        <v>46306</v>
      </c>
      <c r="Z1343" t="inlineStr">
        <is>
          <t>https://app.hubspot.com/contacts/243046792/record/0-3/353736763114</t>
        </is>
      </c>
    </row>
    <row r="1344">
      <c r="A1344" t="n">
        <v>1343</v>
      </c>
      <c r="B1344" t="inlineStr">
        <is>
          <t>353673020099</t>
        </is>
      </c>
      <c r="D1344" t="inlineStr">
        <is>
          <t>Website and CMS Replacement Project</t>
        </is>
      </c>
      <c r="E1344" t="inlineStr">
        <is>
          <t>City of Auburn</t>
        </is>
      </c>
      <c r="G1344" t="inlineStr">
        <is>
          <t>Submitted</t>
        </is>
      </c>
      <c r="H1344" t="inlineStr">
        <is>
          <t>No</t>
        </is>
      </c>
      <c r="J1344" s="96" t="n">
        <v>46318</v>
      </c>
      <c r="K1344" s="96" t="n">
        <v>46318</v>
      </c>
      <c r="L1344" t="n">
        <v>518119.38</v>
      </c>
      <c r="M1344" t="inlineStr">
        <is>
          <t>Platform Implementation (ERP, CRMs);Modernization / Migration</t>
        </is>
      </c>
      <c r="N1344" t="inlineStr">
        <is>
          <t>Portal</t>
        </is>
      </c>
      <c r="O1344" t="inlineStr">
        <is>
          <t>Ashutosh Chauhan</t>
        </is>
      </c>
      <c r="Y1344" s="96" t="n">
        <v>46307</v>
      </c>
      <c r="Z1344" t="inlineStr">
        <is>
          <t>https://app.hubspot.com/contacts/243046792/record/0-3/353673020099</t>
        </is>
      </c>
    </row>
    <row r="1345">
      <c r="A1345" t="n">
        <v>1344</v>
      </c>
      <c r="B1345" t="inlineStr">
        <is>
          <t>353738250996</t>
        </is>
      </c>
      <c r="C1345" t="inlineStr">
        <is>
          <t>ITB 9137</t>
        </is>
      </c>
      <c r="D1345" t="inlineStr">
        <is>
          <t>NSHE – Cisco SmartNet Annual Maintenance Renewal 2026-2027</t>
        </is>
      </c>
      <c r="E1345" t="inlineStr">
        <is>
          <t>University of Nevada, Reno</t>
        </is>
      </c>
      <c r="G1345" t="inlineStr">
        <is>
          <t>Submitted</t>
        </is>
      </c>
      <c r="H1345" t="inlineStr">
        <is>
          <t>No</t>
        </is>
      </c>
      <c r="J1345" s="96" t="n">
        <v>46317</v>
      </c>
      <c r="K1345" s="96" t="n">
        <v>46317</v>
      </c>
      <c r="L1345" t="n">
        <v>331250.46</v>
      </c>
      <c r="M1345" t="inlineStr">
        <is>
          <t>Consulting;Reseller</t>
        </is>
      </c>
      <c r="N1345" t="inlineStr">
        <is>
          <t>Portal</t>
        </is>
      </c>
      <c r="O1345" t="inlineStr">
        <is>
          <t>Ashutosh Chauhan</t>
        </is>
      </c>
      <c r="Y1345" s="96" t="n">
        <v>46308</v>
      </c>
      <c r="Z1345" t="inlineStr">
        <is>
          <t>https://app.hubspot.com/contacts/243046792/record/0-3/353738250996</t>
        </is>
      </c>
    </row>
    <row r="1346">
      <c r="A1346" t="n">
        <v>1345</v>
      </c>
      <c r="B1346" t="inlineStr">
        <is>
          <t>354407265004</t>
        </is>
      </c>
      <c r="D1346" t="inlineStr">
        <is>
          <t>Commvault Cloud Renewal</t>
        </is>
      </c>
      <c r="E1346" t="inlineStr">
        <is>
          <t>New York State Teachers' Retirement System</t>
        </is>
      </c>
      <c r="G1346" t="inlineStr">
        <is>
          <t>Submitted</t>
        </is>
      </c>
      <c r="H1346" t="inlineStr">
        <is>
          <t>No</t>
        </is>
      </c>
      <c r="J1346" s="96" t="n">
        <v>46317</v>
      </c>
      <c r="K1346" s="96" t="n">
        <v>46317</v>
      </c>
      <c r="L1346" t="n">
        <v>123193.18</v>
      </c>
      <c r="M1346" t="inlineStr">
        <is>
          <t>Consulting;Reseller</t>
        </is>
      </c>
      <c r="N1346" t="inlineStr">
        <is>
          <t>Email</t>
        </is>
      </c>
      <c r="O1346" t="inlineStr">
        <is>
          <t>Ashutosh Chauhan</t>
        </is>
      </c>
      <c r="Y1346" s="96" t="n">
        <v>46309</v>
      </c>
      <c r="Z1346" t="inlineStr">
        <is>
          <t>https://app.hubspot.com/contacts/243046792/record/0-3/354407265004</t>
        </is>
      </c>
    </row>
    <row r="1347">
      <c r="A1347" t="n">
        <v>1346</v>
      </c>
      <c r="B1347" t="inlineStr">
        <is>
          <t>355043460806</t>
        </is>
      </c>
      <c r="C1347" t="inlineStr">
        <is>
          <t>26-IT-001</t>
        </is>
      </c>
      <c r="D1347" t="inlineStr">
        <is>
          <t>IMP - Managed IT Services, Cybersecurity Operations, and HIPAA Security Program Management</t>
        </is>
      </c>
      <c r="E1347" t="inlineStr">
        <is>
          <t>Williamson County Children’s Advocacy Center</t>
        </is>
      </c>
      <c r="G1347" t="inlineStr">
        <is>
          <t>Submitted</t>
        </is>
      </c>
      <c r="H1347" t="inlineStr">
        <is>
          <t>No</t>
        </is>
      </c>
      <c r="J1347" s="96" t="n">
        <v>46318</v>
      </c>
      <c r="K1347" s="96" t="n">
        <v>46318</v>
      </c>
      <c r="O1347" t="inlineStr">
        <is>
          <t>Ashutosh Chauhan</t>
        </is>
      </c>
      <c r="Y1347" s="96" t="n">
        <v>46311</v>
      </c>
      <c r="Z1347" t="inlineStr">
        <is>
          <t>https://app.hubspot.com/contacts/243046792/record/0-3/355043460806</t>
        </is>
      </c>
    </row>
    <row r="1348">
      <c r="A1348" t="n">
        <v>1347</v>
      </c>
      <c r="B1348" t="inlineStr">
        <is>
          <t>106496872159</t>
        </is>
      </c>
      <c r="D1348" t="inlineStr">
        <is>
          <t>DATA CLEANSING, MIGRATION</t>
        </is>
      </c>
      <c r="E1348" t="inlineStr">
        <is>
          <t>Erie County Medical Centre</t>
        </is>
      </c>
      <c r="G1348" t="inlineStr">
        <is>
          <t>Closed Lost</t>
        </is>
      </c>
      <c r="H1348" t="inlineStr">
        <is>
          <t>No</t>
        </is>
      </c>
      <c r="J1348" s="96" t="n">
        <v>45834</v>
      </c>
      <c r="K1348" s="96" t="n">
        <v>45834</v>
      </c>
      <c r="O1348" t="inlineStr">
        <is>
          <t>Madhav Mitruka</t>
        </is>
      </c>
      <c r="Y1348" s="96" t="n">
        <v>45833</v>
      </c>
      <c r="Z1348" t="inlineStr">
        <is>
          <t>https://app.hubspot.com/contacts/243046792/record/0-3/106496872159</t>
        </is>
      </c>
    </row>
    <row r="1349">
      <c r="A1349" t="n">
        <v>1348</v>
      </c>
      <c r="B1349" t="inlineStr">
        <is>
          <t>107997117128</t>
        </is>
      </c>
      <c r="D1349" t="inlineStr">
        <is>
          <t>GENERAL VENDOR LIST APPLICATION FISCAL YEAR 2024-2025</t>
        </is>
      </c>
      <c r="G1349" t="inlineStr">
        <is>
          <t>Submitted</t>
        </is>
      </c>
      <c r="H1349" t="inlineStr">
        <is>
          <t>No</t>
        </is>
      </c>
      <c r="J1349" s="96" t="n">
        <v>45839</v>
      </c>
      <c r="K1349" s="96" t="n">
        <v>45838</v>
      </c>
      <c r="M1349" t="inlineStr">
        <is>
          <t>Staff Augmentation</t>
        </is>
      </c>
      <c r="N1349" t="inlineStr">
        <is>
          <t>Portal</t>
        </is>
      </c>
      <c r="O1349" t="inlineStr">
        <is>
          <t>Jyothsna Nanda kishore</t>
        </is>
      </c>
      <c r="Y1349" s="96" t="n">
        <v>45833</v>
      </c>
      <c r="Z1349" t="inlineStr">
        <is>
          <t>https://app.hubspot.com/contacts/243046792/record/0-3/107997117128</t>
        </is>
      </c>
    </row>
    <row r="1350">
      <c r="A1350" t="n">
        <v>1349</v>
      </c>
      <c r="B1350" t="inlineStr">
        <is>
          <t>108062044916</t>
        </is>
      </c>
      <c r="D1350" t="inlineStr">
        <is>
          <t>Penetration Testing</t>
        </is>
      </c>
      <c r="G1350" t="inlineStr">
        <is>
          <t>Submitted</t>
        </is>
      </c>
      <c r="H1350" t="inlineStr">
        <is>
          <t>No</t>
        </is>
      </c>
      <c r="J1350" s="96" t="n">
        <v>45839</v>
      </c>
      <c r="K1350" s="96" t="n">
        <v>45835</v>
      </c>
      <c r="L1350" t="n">
        <v>68000</v>
      </c>
      <c r="M1350" t="inlineStr">
        <is>
          <t>Audits and Assessment</t>
        </is>
      </c>
      <c r="O1350" t="inlineStr">
        <is>
          <t>Madhav Mitruka</t>
        </is>
      </c>
      <c r="Y1350" s="96" t="n">
        <v>45833</v>
      </c>
      <c r="Z1350" t="inlineStr">
        <is>
          <t>https://app.hubspot.com/contacts/243046792/record/0-3/108062044916</t>
        </is>
      </c>
    </row>
    <row r="1351">
      <c r="A1351" t="n">
        <v>1350</v>
      </c>
      <c r="B1351" t="inlineStr">
        <is>
          <t>108062764769</t>
        </is>
      </c>
      <c r="D1351" t="inlineStr">
        <is>
          <t>IT Professional Services</t>
        </is>
      </c>
      <c r="G1351" t="inlineStr">
        <is>
          <t>Closed Lost</t>
        </is>
      </c>
      <c r="H1351" t="inlineStr">
        <is>
          <t>No</t>
        </is>
      </c>
      <c r="J1351" s="96" t="n">
        <v>45912</v>
      </c>
      <c r="K1351" s="96" t="n">
        <v>45834</v>
      </c>
      <c r="L1351" t="n">
        <v>16000</v>
      </c>
      <c r="O1351" t="inlineStr">
        <is>
          <t>Madhav Mitruka</t>
        </is>
      </c>
      <c r="Y1351" s="96" t="n">
        <v>45833</v>
      </c>
      <c r="Z1351" t="inlineStr">
        <is>
          <t>https://app.hubspot.com/contacts/243046792/record/0-3/108062764769</t>
        </is>
      </c>
    </row>
    <row r="1352">
      <c r="A1352" t="n">
        <v>1351</v>
      </c>
      <c r="B1352" t="inlineStr">
        <is>
          <t>108062045911</t>
        </is>
      </c>
      <c r="D1352" t="inlineStr">
        <is>
          <t>Information Techology Support Services</t>
        </is>
      </c>
      <c r="G1352" t="inlineStr">
        <is>
          <t>Closed Lost</t>
        </is>
      </c>
      <c r="H1352" t="inlineStr">
        <is>
          <t>No</t>
        </is>
      </c>
      <c r="J1352" s="96" t="n">
        <v>45912</v>
      </c>
      <c r="K1352" s="96" t="n">
        <v>45834</v>
      </c>
      <c r="L1352" t="n">
        <v>171000</v>
      </c>
      <c r="M1352" t="inlineStr">
        <is>
          <t>Support &amp; Maintenance</t>
        </is>
      </c>
      <c r="N1352" t="inlineStr">
        <is>
          <t>Offline</t>
        </is>
      </c>
      <c r="O1352" t="inlineStr">
        <is>
          <t>Madhav Mitruka</t>
        </is>
      </c>
      <c r="Y1352" s="96" t="n">
        <v>45833</v>
      </c>
      <c r="Z1352" t="inlineStr">
        <is>
          <t>https://app.hubspot.com/contacts/243046792/record/0-3/108062045911</t>
        </is>
      </c>
    </row>
    <row r="1353">
      <c r="A1353" t="n">
        <v>1352</v>
      </c>
      <c r="B1353" t="inlineStr">
        <is>
          <t>108020971250</t>
        </is>
      </c>
      <c r="D1353" t="inlineStr">
        <is>
          <t>On-Call Managed Services Provider for Database Support</t>
        </is>
      </c>
      <c r="G1353" t="inlineStr">
        <is>
          <t>Closed Lost</t>
        </is>
      </c>
      <c r="H1353" t="inlineStr">
        <is>
          <t>No</t>
        </is>
      </c>
      <c r="J1353" s="96" t="n">
        <v>45912</v>
      </c>
      <c r="K1353" s="96" t="n">
        <v>45839</v>
      </c>
      <c r="L1353" t="n">
        <v>900000</v>
      </c>
      <c r="M1353" t="inlineStr">
        <is>
          <t>Managed Services (MSP)</t>
        </is>
      </c>
      <c r="N1353" t="inlineStr">
        <is>
          <t>Portal</t>
        </is>
      </c>
      <c r="O1353" t="inlineStr">
        <is>
          <t>Madhav Mitruka</t>
        </is>
      </c>
      <c r="Y1353" s="96" t="n">
        <v>45833</v>
      </c>
      <c r="Z1353" t="inlineStr">
        <is>
          <t>https://app.hubspot.com/contacts/243046792/record/0-3/108020971250</t>
        </is>
      </c>
    </row>
    <row r="1354">
      <c r="A1354" t="n">
        <v>1353</v>
      </c>
      <c r="B1354" t="inlineStr">
        <is>
          <t>108072562369</t>
        </is>
      </c>
      <c r="D1354" t="inlineStr">
        <is>
          <t>Robotic Process Automation ( RPA ) Technology (Dept. of Information Technology)</t>
        </is>
      </c>
      <c r="G1354" t="inlineStr">
        <is>
          <t>Submitted</t>
        </is>
      </c>
      <c r="H1354" t="inlineStr">
        <is>
          <t>No</t>
        </is>
      </c>
      <c r="J1354" s="96" t="n">
        <v>45840</v>
      </c>
      <c r="K1354" s="96" t="n">
        <v>45835</v>
      </c>
      <c r="L1354" t="n">
        <v>206000</v>
      </c>
      <c r="N1354" t="inlineStr">
        <is>
          <t>Portal</t>
        </is>
      </c>
      <c r="O1354" t="inlineStr">
        <is>
          <t>Madhav Mitruka</t>
        </is>
      </c>
      <c r="Y1354" s="96" t="n">
        <v>45833</v>
      </c>
      <c r="Z1354" t="inlineStr">
        <is>
          <t>https://app.hubspot.com/contacts/243046792/record/0-3/108072562369</t>
        </is>
      </c>
    </row>
    <row r="1355">
      <c r="A1355" t="n">
        <v>1354</v>
      </c>
      <c r="B1355" t="inlineStr">
        <is>
          <t>108072562388</t>
        </is>
      </c>
      <c r="D1355" t="inlineStr">
        <is>
          <t>Madison Metropolitan Sewerage District - IT Augmentation Partner (SOW 1)</t>
        </is>
      </c>
      <c r="E1355" t="inlineStr">
        <is>
          <t>Madison Metropolitan Sewerage District</t>
        </is>
      </c>
      <c r="F1355" t="inlineStr">
        <is>
          <t>Wisconsin</t>
        </is>
      </c>
      <c r="G1355" t="inlineStr">
        <is>
          <t>Closed Won</t>
        </is>
      </c>
      <c r="H1355" t="inlineStr">
        <is>
          <t>No</t>
        </is>
      </c>
      <c r="J1355" s="96" t="n">
        <v>45903</v>
      </c>
      <c r="K1355" s="96" t="n">
        <v>45801</v>
      </c>
      <c r="L1355" t="n">
        <v>1081349.52</v>
      </c>
      <c r="M1355" t="inlineStr">
        <is>
          <t>Managed Services (MSP)</t>
        </is>
      </c>
      <c r="O1355" t="inlineStr">
        <is>
          <t>Madhav Mitruka</t>
        </is>
      </c>
      <c r="U1355" s="96" t="n">
        <v>45918</v>
      </c>
      <c r="Y1355" s="96" t="n">
        <v>45833</v>
      </c>
      <c r="Z1355" t="inlineStr">
        <is>
          <t>https://app.hubspot.com/contacts/243046792/record/0-3/108072562388</t>
        </is>
      </c>
    </row>
    <row r="1356">
      <c r="A1356" t="n">
        <v>1355</v>
      </c>
      <c r="B1356" t="inlineStr">
        <is>
          <t>108078682846</t>
        </is>
      </c>
      <c r="D1356" t="inlineStr">
        <is>
          <t>AIRPORT IT STAFF AUGMENTATION SERVICES</t>
        </is>
      </c>
      <c r="E1356" t="inlineStr">
        <is>
          <t>City of Colorado Springs</t>
        </is>
      </c>
      <c r="F1356" t="inlineStr">
        <is>
          <t>Colorado</t>
        </is>
      </c>
      <c r="G1356" t="inlineStr">
        <is>
          <t>Closed Lost</t>
        </is>
      </c>
      <c r="H1356" t="inlineStr">
        <is>
          <t>No</t>
        </is>
      </c>
      <c r="J1356" s="96" t="n">
        <v>45912</v>
      </c>
      <c r="K1356" s="96" t="n">
        <v>45868</v>
      </c>
      <c r="M1356" t="inlineStr">
        <is>
          <t>Staff Augmentation</t>
        </is>
      </c>
      <c r="N1356" t="inlineStr">
        <is>
          <t>Online</t>
        </is>
      </c>
      <c r="O1356" t="inlineStr">
        <is>
          <t>Madhav Mitruka</t>
        </is>
      </c>
      <c r="Y1356" s="96" t="n">
        <v>45833</v>
      </c>
      <c r="Z1356" t="inlineStr">
        <is>
          <t>https://app.hubspot.com/contacts/243046792/record/0-3/108078682846</t>
        </is>
      </c>
    </row>
    <row r="1357">
      <c r="A1357" t="n">
        <v>1356</v>
      </c>
      <c r="B1357" t="inlineStr">
        <is>
          <t>108771177188</t>
        </is>
      </c>
      <c r="C1357" t="inlineStr">
        <is>
          <t>#06052025</t>
        </is>
      </c>
      <c r="D1357" t="inlineStr">
        <is>
          <t>Town of West Tisbury Information Technology (IT)Consultant</t>
        </is>
      </c>
      <c r="G1357" t="inlineStr">
        <is>
          <t>Submitted</t>
        </is>
      </c>
      <c r="H1357" t="inlineStr">
        <is>
          <t>No</t>
        </is>
      </c>
      <c r="J1357" s="96" t="n">
        <v>45838</v>
      </c>
      <c r="K1357" s="96" t="n">
        <v>45838</v>
      </c>
      <c r="O1357" t="inlineStr">
        <is>
          <t>Madhav Mitruka</t>
        </is>
      </c>
      <c r="Y1357" s="96" t="n">
        <v>45835</v>
      </c>
      <c r="Z1357" t="inlineStr">
        <is>
          <t>https://app.hubspot.com/contacts/243046792/record/0-3/108771177188</t>
        </is>
      </c>
    </row>
    <row r="1358">
      <c r="A1358" t="n">
        <v>1357</v>
      </c>
      <c r="B1358" t="inlineStr">
        <is>
          <t>109371120326</t>
        </is>
      </c>
      <c r="D1358" t="inlineStr">
        <is>
          <t>Palo Alto License Renewal</t>
        </is>
      </c>
      <c r="G1358" t="inlineStr">
        <is>
          <t>Closed Lost</t>
        </is>
      </c>
      <c r="H1358" t="inlineStr">
        <is>
          <t>No</t>
        </is>
      </c>
      <c r="J1358" s="96" t="n">
        <v>45873</v>
      </c>
      <c r="L1358" t="n">
        <v>120020</v>
      </c>
      <c r="M1358" t="inlineStr">
        <is>
          <t>Reseller</t>
        </is>
      </c>
      <c r="O1358" t="inlineStr">
        <is>
          <t>Madhav Mitruka</t>
        </is>
      </c>
      <c r="Y1358" s="96" t="n">
        <v>45835</v>
      </c>
      <c r="Z1358" t="inlineStr">
        <is>
          <t>https://app.hubspot.com/contacts/243046792/record/0-3/109371120326</t>
        </is>
      </c>
    </row>
    <row r="1359">
      <c r="A1359" t="n">
        <v>1358</v>
      </c>
      <c r="B1359" t="inlineStr">
        <is>
          <t>108771180222</t>
        </is>
      </c>
      <c r="D1359" t="inlineStr">
        <is>
          <t>Accela Implementation&amp; Maintenance SupportServices</t>
        </is>
      </c>
      <c r="E1359" t="inlineStr">
        <is>
          <t>City of Menifee</t>
        </is>
      </c>
      <c r="F1359" t="inlineStr">
        <is>
          <t>California</t>
        </is>
      </c>
      <c r="G1359" t="inlineStr">
        <is>
          <t>Closed Lost</t>
        </is>
      </c>
      <c r="H1359" t="inlineStr">
        <is>
          <t>No</t>
        </is>
      </c>
      <c r="J1359" s="96" t="n">
        <v>45912</v>
      </c>
      <c r="K1359" s="96" t="n">
        <v>45866</v>
      </c>
      <c r="L1359" t="n">
        <v>119300</v>
      </c>
      <c r="N1359" t="inlineStr">
        <is>
          <t>Portal</t>
        </is>
      </c>
      <c r="O1359" t="inlineStr">
        <is>
          <t>Madhav Mitruka</t>
        </is>
      </c>
      <c r="Y1359" s="96" t="n">
        <v>45835</v>
      </c>
      <c r="Z1359" t="inlineStr">
        <is>
          <t>https://app.hubspot.com/contacts/243046792/record/0-3/108771180222</t>
        </is>
      </c>
    </row>
    <row r="1360">
      <c r="A1360" t="n">
        <v>1359</v>
      </c>
      <c r="B1360" t="inlineStr">
        <is>
          <t>110712028864</t>
        </is>
      </c>
      <c r="D1360" t="inlineStr">
        <is>
          <t>“IT” AND WEB SUPPORT SERVICES</t>
        </is>
      </c>
      <c r="G1360" t="inlineStr">
        <is>
          <t>Closed Lost</t>
        </is>
      </c>
      <c r="H1360" t="inlineStr">
        <is>
          <t>No</t>
        </is>
      </c>
      <c r="J1360" s="96" t="n">
        <v>45847</v>
      </c>
      <c r="L1360" t="n">
        <v>396552.48</v>
      </c>
      <c r="O1360" t="inlineStr">
        <is>
          <t>Madhav Mitruka</t>
        </is>
      </c>
      <c r="Y1360" s="96" t="n">
        <v>45839</v>
      </c>
      <c r="Z1360" t="inlineStr">
        <is>
          <t>https://app.hubspot.com/contacts/243046792/record/0-3/110712028864</t>
        </is>
      </c>
    </row>
    <row r="1361">
      <c r="A1361" t="n">
        <v>1360</v>
      </c>
      <c r="B1361" t="inlineStr">
        <is>
          <t>110689917678</t>
        </is>
      </c>
      <c r="D1361" t="inlineStr">
        <is>
          <t>Cloud Services and Management</t>
        </is>
      </c>
      <c r="E1361" t="inlineStr">
        <is>
          <t>New Jersey School Boards Association</t>
        </is>
      </c>
      <c r="G1361" t="inlineStr">
        <is>
          <t>Closed Lost</t>
        </is>
      </c>
      <c r="H1361" t="inlineStr">
        <is>
          <t>No</t>
        </is>
      </c>
      <c r="J1361" s="96" t="n">
        <v>45852</v>
      </c>
      <c r="O1361" t="inlineStr">
        <is>
          <t>Madhav Mitruka</t>
        </is>
      </c>
      <c r="Y1361" s="96" t="n">
        <v>45839</v>
      </c>
      <c r="Z1361" t="inlineStr">
        <is>
          <t>https://app.hubspot.com/contacts/243046792/record/0-3/110689917678</t>
        </is>
      </c>
    </row>
    <row r="1362">
      <c r="A1362" t="n">
        <v>1361</v>
      </c>
      <c r="B1362" t="inlineStr">
        <is>
          <t>110689917681</t>
        </is>
      </c>
      <c r="D1362" t="inlineStr">
        <is>
          <t>Cybersecurity: Network, Endpoint &amp; Cloud Solutions</t>
        </is>
      </c>
      <c r="E1362" t="inlineStr">
        <is>
          <t>New Jersey School Boards Association</t>
        </is>
      </c>
      <c r="G1362" t="inlineStr">
        <is>
          <t>Closed Lost</t>
        </is>
      </c>
      <c r="H1362" t="inlineStr">
        <is>
          <t>No</t>
        </is>
      </c>
      <c r="J1362" s="96" t="n">
        <v>45883</v>
      </c>
      <c r="M1362" t="inlineStr">
        <is>
          <t>Consulting;Reseller</t>
        </is>
      </c>
      <c r="O1362" t="inlineStr">
        <is>
          <t>Madhav Mitruka</t>
        </is>
      </c>
      <c r="Y1362" s="96" t="n">
        <v>45839</v>
      </c>
      <c r="Z1362" t="inlineStr">
        <is>
          <t>https://app.hubspot.com/contacts/243046792/record/0-3/110689917681</t>
        </is>
      </c>
    </row>
    <row r="1363">
      <c r="A1363" t="n">
        <v>1362</v>
      </c>
      <c r="B1363" t="inlineStr">
        <is>
          <t>108771375806</t>
        </is>
      </c>
      <c r="D1363" t="inlineStr">
        <is>
          <t>INFORMATION TECHNOLOGY CONSULTING SERVICES</t>
        </is>
      </c>
      <c r="G1363" t="inlineStr">
        <is>
          <t>Submitted</t>
        </is>
      </c>
      <c r="H1363" t="inlineStr">
        <is>
          <t>No</t>
        </is>
      </c>
      <c r="J1363" s="96" t="n">
        <v>45853</v>
      </c>
      <c r="K1363" s="96" t="n">
        <v>45854</v>
      </c>
      <c r="M1363" t="inlineStr">
        <is>
          <t>Consulting</t>
        </is>
      </c>
      <c r="O1363" t="inlineStr">
        <is>
          <t>Madhav Mitruka</t>
        </is>
      </c>
      <c r="Y1363" s="96" t="n">
        <v>45839</v>
      </c>
      <c r="Z1363" t="inlineStr">
        <is>
          <t>https://app.hubspot.com/contacts/243046792/record/0-3/108771375806</t>
        </is>
      </c>
    </row>
    <row r="1364">
      <c r="A1364" t="n">
        <v>1363</v>
      </c>
      <c r="B1364" t="inlineStr">
        <is>
          <t>110712873707</t>
        </is>
      </c>
      <c r="D1364" t="inlineStr">
        <is>
          <t>Managed Information Technology Services Provider</t>
        </is>
      </c>
      <c r="E1364" t="inlineStr">
        <is>
          <t>Wilmington Housing Authority</t>
        </is>
      </c>
      <c r="G1364" t="inlineStr">
        <is>
          <t>Submitted</t>
        </is>
      </c>
      <c r="H1364" t="inlineStr">
        <is>
          <t>No</t>
        </is>
      </c>
      <c r="J1364" s="96" t="n">
        <v>45853</v>
      </c>
      <c r="M1364" t="inlineStr">
        <is>
          <t>Managed Services (MSP)</t>
        </is>
      </c>
      <c r="O1364" t="inlineStr">
        <is>
          <t>Madhav Mitruka</t>
        </is>
      </c>
      <c r="Y1364" s="96" t="n">
        <v>45839</v>
      </c>
      <c r="Z1364" t="inlineStr">
        <is>
          <t>https://app.hubspot.com/contacts/243046792/record/0-3/110712873707</t>
        </is>
      </c>
    </row>
    <row r="1365">
      <c r="A1365" t="n">
        <v>1364</v>
      </c>
      <c r="B1365" t="inlineStr">
        <is>
          <t>108771375864</t>
        </is>
      </c>
      <c r="D1365" t="inlineStr">
        <is>
          <t>Managed IT Services</t>
        </is>
      </c>
      <c r="E1365" t="inlineStr">
        <is>
          <t>CityBus of Greater Lafayette</t>
        </is>
      </c>
      <c r="G1365" t="inlineStr">
        <is>
          <t>Submitted</t>
        </is>
      </c>
      <c r="H1365" t="inlineStr">
        <is>
          <t>No</t>
        </is>
      </c>
      <c r="J1365" s="96" t="n">
        <v>45869</v>
      </c>
      <c r="K1365" s="96" t="n">
        <v>45866</v>
      </c>
      <c r="L1365" t="n">
        <v>138000</v>
      </c>
      <c r="N1365" t="inlineStr">
        <is>
          <t>Email</t>
        </is>
      </c>
      <c r="O1365" t="inlineStr">
        <is>
          <t>Madhav Mitruka</t>
        </is>
      </c>
      <c r="Y1365" s="96" t="n">
        <v>45839</v>
      </c>
      <c r="Z1365" t="inlineStr">
        <is>
          <t>https://app.hubspot.com/contacts/243046792/record/0-3/108771375864</t>
        </is>
      </c>
    </row>
    <row r="1366">
      <c r="A1366" t="n">
        <v>1365</v>
      </c>
      <c r="B1366" t="inlineStr">
        <is>
          <t>110691507904</t>
        </is>
      </c>
      <c r="C1366" t="inlineStr">
        <is>
          <t>RFP-0011597</t>
        </is>
      </c>
      <c r="D1366" t="inlineStr">
        <is>
          <t>GRC Software and Policy Library for EICO Office</t>
        </is>
      </c>
      <c r="G1366" t="inlineStr">
        <is>
          <t>Submitted</t>
        </is>
      </c>
      <c r="H1366" t="inlineStr">
        <is>
          <t>No</t>
        </is>
      </c>
      <c r="J1366" s="96" t="n">
        <v>45896</v>
      </c>
      <c r="K1366" s="96" t="n">
        <v>45896</v>
      </c>
      <c r="M1366" t="inlineStr">
        <is>
          <t>Platform Implementation (ERP, CRMs)</t>
        </is>
      </c>
      <c r="N1366" t="inlineStr">
        <is>
          <t>Portal</t>
        </is>
      </c>
      <c r="O1366" t="inlineStr">
        <is>
          <t>Jyothsna Nanda kishore</t>
        </is>
      </c>
      <c r="Y1366" s="96" t="n">
        <v>45839</v>
      </c>
      <c r="Z1366" t="inlineStr">
        <is>
          <t>https://app.hubspot.com/contacts/243046792/record/0-3/110691507904</t>
        </is>
      </c>
    </row>
    <row r="1367">
      <c r="A1367" t="n">
        <v>1366</v>
      </c>
      <c r="B1367" t="inlineStr">
        <is>
          <t>108771377892</t>
        </is>
      </c>
      <c r="D1367" t="inlineStr">
        <is>
          <t>Microsoft 365 Implementation Professional Service</t>
        </is>
      </c>
      <c r="G1367" t="inlineStr">
        <is>
          <t>Submitted</t>
        </is>
      </c>
      <c r="H1367" t="inlineStr">
        <is>
          <t>No</t>
        </is>
      </c>
      <c r="J1367" s="96" t="n">
        <v>45866</v>
      </c>
      <c r="M1367" t="inlineStr">
        <is>
          <t>Modernization / Migration</t>
        </is>
      </c>
      <c r="O1367" t="inlineStr">
        <is>
          <t>Madhav Mitruka</t>
        </is>
      </c>
      <c r="Y1367" s="96" t="n">
        <v>45839</v>
      </c>
      <c r="Z1367" t="inlineStr">
        <is>
          <t>https://app.hubspot.com/contacts/243046792/record/0-3/108771377892</t>
        </is>
      </c>
    </row>
    <row r="1368">
      <c r="A1368" t="n">
        <v>1367</v>
      </c>
      <c r="B1368" t="inlineStr">
        <is>
          <t>108771377895</t>
        </is>
      </c>
      <c r="C1368" t="inlineStr">
        <is>
          <t>42000</t>
        </is>
      </c>
      <c r="D1368" t="inlineStr">
        <is>
          <t>Rfp25-023 Cybersecurity Assessment</t>
        </is>
      </c>
      <c r="E1368" t="inlineStr">
        <is>
          <t>KENAI PENINSULA BOROUGH</t>
        </is>
      </c>
      <c r="G1368" t="inlineStr">
        <is>
          <t>Closed Lost</t>
        </is>
      </c>
      <c r="H1368" t="inlineStr">
        <is>
          <t>No</t>
        </is>
      </c>
      <c r="J1368" s="96" t="n">
        <v>45911</v>
      </c>
      <c r="K1368" s="96" t="n">
        <v>45876</v>
      </c>
      <c r="L1368" t="n">
        <v>55600</v>
      </c>
      <c r="M1368" t="inlineStr">
        <is>
          <t>Managed Services (MSP)</t>
        </is>
      </c>
      <c r="N1368" t="inlineStr">
        <is>
          <t>Portal</t>
        </is>
      </c>
      <c r="O1368" t="inlineStr">
        <is>
          <t>Jyothsna Nanda kishore</t>
        </is>
      </c>
      <c r="Y1368" s="96" t="n">
        <v>45839</v>
      </c>
      <c r="Z1368" t="inlineStr">
        <is>
          <t>https://app.hubspot.com/contacts/243046792/record/0-3/108771377895</t>
        </is>
      </c>
    </row>
    <row r="1369">
      <c r="A1369" t="n">
        <v>1368</v>
      </c>
      <c r="B1369" t="inlineStr">
        <is>
          <t>108771377899</t>
        </is>
      </c>
      <c r="C1369" t="inlineStr">
        <is>
          <t>Hardcopy</t>
        </is>
      </c>
      <c r="D1369" t="inlineStr">
        <is>
          <t>Siembra-IT Services</t>
        </is>
      </c>
      <c r="E1369" t="inlineStr">
        <is>
          <t>SIEMBRA LEADERSHIP HIGH SCHOOL</t>
        </is>
      </c>
      <c r="G1369" t="inlineStr">
        <is>
          <t>Closed Lost</t>
        </is>
      </c>
      <c r="H1369" t="inlineStr">
        <is>
          <t>No</t>
        </is>
      </c>
      <c r="J1369" s="96" t="n">
        <v>45848</v>
      </c>
      <c r="K1369" s="96" t="n">
        <v>45848</v>
      </c>
      <c r="L1369" t="n">
        <v>66000</v>
      </c>
      <c r="M1369" t="inlineStr">
        <is>
          <t>Staff Augmentation</t>
        </is>
      </c>
      <c r="N1369" t="inlineStr">
        <is>
          <t>Offline</t>
        </is>
      </c>
      <c r="O1369" t="inlineStr">
        <is>
          <t>Madhav Mitruka</t>
        </is>
      </c>
      <c r="Y1369" s="96" t="n">
        <v>45839</v>
      </c>
      <c r="Z1369" t="inlineStr">
        <is>
          <t>https://app.hubspot.com/contacts/243046792/record/0-3/108771377899</t>
        </is>
      </c>
    </row>
    <row r="1370">
      <c r="A1370" t="n">
        <v>1369</v>
      </c>
      <c r="B1370" t="inlineStr">
        <is>
          <t>108771377903</t>
        </is>
      </c>
      <c r="D1370" t="inlineStr">
        <is>
          <t>IT Services</t>
        </is>
      </c>
      <c r="G1370" t="inlineStr">
        <is>
          <t>Closed Lost</t>
        </is>
      </c>
      <c r="H1370" t="inlineStr">
        <is>
          <t>No</t>
        </is>
      </c>
      <c r="J1370" s="96" t="n">
        <v>45877</v>
      </c>
      <c r="K1370" s="96" t="n">
        <v>45866</v>
      </c>
      <c r="N1370" t="inlineStr">
        <is>
          <t>Offline</t>
        </is>
      </c>
      <c r="O1370" t="inlineStr">
        <is>
          <t>Madhav Mitruka</t>
        </is>
      </c>
      <c r="Y1370" s="96" t="n">
        <v>45839</v>
      </c>
      <c r="Z1370" t="inlineStr">
        <is>
          <t>https://app.hubspot.com/contacts/243046792/record/0-3/108771377903</t>
        </is>
      </c>
    </row>
    <row r="1371">
      <c r="A1371" t="n">
        <v>1370</v>
      </c>
      <c r="B1371" t="inlineStr">
        <is>
          <t>110751774414</t>
        </is>
      </c>
      <c r="D1371" t="inlineStr">
        <is>
          <t>Website Hosting Services</t>
        </is>
      </c>
      <c r="G1371" t="inlineStr">
        <is>
          <t>Closed Lost</t>
        </is>
      </c>
      <c r="H1371" t="inlineStr">
        <is>
          <t>No</t>
        </is>
      </c>
      <c r="J1371" s="96" t="n">
        <v>45912</v>
      </c>
      <c r="K1371" s="96" t="n">
        <v>45839</v>
      </c>
      <c r="L1371" t="n">
        <v>20250</v>
      </c>
      <c r="N1371" t="inlineStr">
        <is>
          <t>Portal</t>
        </is>
      </c>
      <c r="O1371" t="inlineStr">
        <is>
          <t>Madhav Mitruka</t>
        </is>
      </c>
      <c r="Y1371" s="96" t="n">
        <v>45839</v>
      </c>
      <c r="Z1371" t="inlineStr">
        <is>
          <t>https://app.hubspot.com/contacts/243046792/record/0-3/110751774414</t>
        </is>
      </c>
    </row>
    <row r="1372">
      <c r="A1372" t="n">
        <v>1371</v>
      </c>
      <c r="B1372" t="inlineStr">
        <is>
          <t>110969517810</t>
        </is>
      </c>
      <c r="D1372" t="inlineStr">
        <is>
          <t>Microsoft 365 Purview Implementation</t>
        </is>
      </c>
      <c r="E1372" t="inlineStr">
        <is>
          <t>American Battle Monuments Commission</t>
        </is>
      </c>
      <c r="G1372" t="inlineStr">
        <is>
          <t>Submitted</t>
        </is>
      </c>
      <c r="H1372" t="inlineStr">
        <is>
          <t>No</t>
        </is>
      </c>
      <c r="J1372" s="96" t="n">
        <v>45849</v>
      </c>
      <c r="K1372" s="96" t="n">
        <v>45849</v>
      </c>
      <c r="N1372" t="inlineStr">
        <is>
          <t>Email</t>
        </is>
      </c>
      <c r="O1372" t="inlineStr">
        <is>
          <t>Jyothsna Nanda kishore</t>
        </is>
      </c>
      <c r="Y1372" s="96" t="n">
        <v>45840</v>
      </c>
      <c r="Z1372" t="inlineStr">
        <is>
          <t>https://app.hubspot.com/contacts/243046792/record/0-3/110969517810</t>
        </is>
      </c>
    </row>
    <row r="1373">
      <c r="A1373" t="n">
        <v>1372</v>
      </c>
      <c r="B1373" t="inlineStr">
        <is>
          <t>110968804044</t>
        </is>
      </c>
      <c r="C1373" t="inlineStr">
        <is>
          <t>RFP-IT-25-0002</t>
        </is>
      </c>
      <c r="D1373" t="inlineStr">
        <is>
          <t>Regulatory Tracking Software</t>
        </is>
      </c>
      <c r="E1373" t="inlineStr">
        <is>
          <t>Trinity River Authority of Texas</t>
        </is>
      </c>
      <c r="G1373" t="inlineStr">
        <is>
          <t>Interview</t>
        </is>
      </c>
      <c r="H1373" t="inlineStr">
        <is>
          <t>Yes</t>
        </is>
      </c>
      <c r="J1373" s="96" t="n">
        <v>45845</v>
      </c>
      <c r="K1373" s="96" t="n">
        <v>45845</v>
      </c>
      <c r="L1373" t="n">
        <v>160000</v>
      </c>
      <c r="N1373" t="inlineStr">
        <is>
          <t>Portal</t>
        </is>
      </c>
      <c r="O1373" t="inlineStr">
        <is>
          <t>Jyothsna Nanda kishore</t>
        </is>
      </c>
      <c r="Y1373" s="96" t="n">
        <v>45840</v>
      </c>
      <c r="Z1373" t="inlineStr">
        <is>
          <t>https://app.hubspot.com/contacts/243046792/record/0-3/110968804044</t>
        </is>
      </c>
    </row>
    <row r="1374">
      <c r="A1374" t="n">
        <v>1373</v>
      </c>
      <c r="B1374" t="inlineStr">
        <is>
          <t>110969523941</t>
        </is>
      </c>
      <c r="C1374" t="inlineStr">
        <is>
          <t>20607</t>
        </is>
      </c>
      <c r="D1374" t="inlineStr">
        <is>
          <t>NYS Family Planning Data Management</t>
        </is>
      </c>
      <c r="E1374" t="inlineStr">
        <is>
          <t>New York State Department of Health</t>
        </is>
      </c>
      <c r="F1374" t="inlineStr">
        <is>
          <t>New York</t>
        </is>
      </c>
      <c r="G1374" t="inlineStr">
        <is>
          <t>Submitted</t>
        </is>
      </c>
      <c r="H1374" t="inlineStr">
        <is>
          <t>No</t>
        </is>
      </c>
      <c r="J1374" s="96" t="n">
        <v>45848</v>
      </c>
      <c r="K1374" s="96" t="n">
        <v>45848</v>
      </c>
      <c r="L1374" t="n">
        <v>511000</v>
      </c>
      <c r="M1374" t="inlineStr">
        <is>
          <t>Platform Implementation (ERP, CRMs)</t>
        </is>
      </c>
      <c r="N1374" t="inlineStr">
        <is>
          <t>Email</t>
        </is>
      </c>
      <c r="O1374" t="inlineStr">
        <is>
          <t>Jyothsna Nanda kishore</t>
        </is>
      </c>
      <c r="Y1374" s="96" t="n">
        <v>45840</v>
      </c>
      <c r="Z1374" t="inlineStr">
        <is>
          <t>https://app.hubspot.com/contacts/243046792/record/0-3/110969523941</t>
        </is>
      </c>
    </row>
    <row r="1375">
      <c r="A1375" t="n">
        <v>1374</v>
      </c>
      <c r="B1375" t="inlineStr">
        <is>
          <t>110968805103</t>
        </is>
      </c>
      <c r="C1375" t="inlineStr">
        <is>
          <t>HCR-RFP-250620</t>
        </is>
      </c>
      <c r="D1375" t="inlineStr">
        <is>
          <t>Community Development Block Grant-Disaster Recovery Technology &amp; Operations Support</t>
        </is>
      </c>
      <c r="E1375" t="inlineStr">
        <is>
          <t>New York State Department of Homes and Community Renewal</t>
        </is>
      </c>
      <c r="G1375" t="inlineStr">
        <is>
          <t>Submitted</t>
        </is>
      </c>
      <c r="H1375" t="inlineStr">
        <is>
          <t>No</t>
        </is>
      </c>
      <c r="J1375" s="96" t="n">
        <v>45854</v>
      </c>
      <c r="N1375" t="inlineStr">
        <is>
          <t>Email</t>
        </is>
      </c>
      <c r="O1375" t="inlineStr">
        <is>
          <t>Jyothsna Nanda kishore</t>
        </is>
      </c>
      <c r="Y1375" s="96" t="n">
        <v>45840</v>
      </c>
      <c r="Z1375" t="inlineStr">
        <is>
          <t>https://app.hubspot.com/contacts/243046792/record/0-3/110968805103</t>
        </is>
      </c>
    </row>
    <row r="1376">
      <c r="A1376" t="n">
        <v>1375</v>
      </c>
      <c r="B1376" t="inlineStr">
        <is>
          <t>110968806095</t>
        </is>
      </c>
      <c r="D1376" t="inlineStr">
        <is>
          <t>INFORMATION TECHNOLOGY RESOURCE PROVISIONING FOR APPLICATON MODERNIZATION AND BUSINESS INTELLIGENCE DEPLOYMENT</t>
        </is>
      </c>
      <c r="E1376" t="inlineStr">
        <is>
          <t>Connecticut Housing Finance Authority (“CHFA”)</t>
        </is>
      </c>
      <c r="G1376" t="inlineStr">
        <is>
          <t>Submitted</t>
        </is>
      </c>
      <c r="H1376" t="inlineStr">
        <is>
          <t>No</t>
        </is>
      </c>
      <c r="J1376" s="96" t="n">
        <v>45868</v>
      </c>
      <c r="K1376" s="96" t="n">
        <v>45868</v>
      </c>
      <c r="N1376" t="inlineStr">
        <is>
          <t>Email</t>
        </is>
      </c>
      <c r="O1376" t="inlineStr">
        <is>
          <t>Madhav Mitruka</t>
        </is>
      </c>
      <c r="Y1376" s="96" t="n">
        <v>45840</v>
      </c>
      <c r="Z1376" t="inlineStr">
        <is>
          <t>https://app.hubspot.com/contacts/243046792/record/0-3/110968806095</t>
        </is>
      </c>
    </row>
    <row r="1377">
      <c r="A1377" t="n">
        <v>1376</v>
      </c>
      <c r="B1377" t="inlineStr">
        <is>
          <t>110969526000</t>
        </is>
      </c>
      <c r="C1377" t="inlineStr">
        <is>
          <t>RFQ1752645S</t>
        </is>
      </c>
      <c r="D1377" t="inlineStr">
        <is>
          <t>Website Modernization Project</t>
        </is>
      </c>
      <c r="E1377" t="inlineStr">
        <is>
          <t>New York City Department of Education (NYCDOE)</t>
        </is>
      </c>
      <c r="F1377" t="inlineStr">
        <is>
          <t>New York</t>
        </is>
      </c>
      <c r="G1377" t="inlineStr">
        <is>
          <t>Closed Lost</t>
        </is>
      </c>
      <c r="H1377" t="inlineStr">
        <is>
          <t>No</t>
        </is>
      </c>
      <c r="J1377" s="96" t="n">
        <v>46246</v>
      </c>
      <c r="L1377" t="n">
        <v>8188100</v>
      </c>
      <c r="O1377" t="inlineStr">
        <is>
          <t>Madhav Mitruka</t>
        </is>
      </c>
      <c r="Y1377" s="96" t="n">
        <v>45840</v>
      </c>
      <c r="Z1377" t="inlineStr">
        <is>
          <t>https://app.hubspot.com/contacts/243046792/record/0-3/110969526000</t>
        </is>
      </c>
    </row>
    <row r="1378">
      <c r="A1378" t="n">
        <v>1377</v>
      </c>
      <c r="B1378" t="inlineStr">
        <is>
          <t>110968806118</t>
        </is>
      </c>
      <c r="C1378" t="inlineStr">
        <is>
          <t>RFQ1754284S</t>
        </is>
      </c>
      <c r="D1378" t="inlineStr">
        <is>
          <t>Enterprise Service Bus (ESB) Integration Modernization Project</t>
        </is>
      </c>
      <c r="G1378" t="inlineStr">
        <is>
          <t>Closed Lost</t>
        </is>
      </c>
      <c r="H1378" t="inlineStr">
        <is>
          <t>No</t>
        </is>
      </c>
      <c r="J1378" s="96" t="n">
        <v>45891</v>
      </c>
      <c r="K1378" s="96" t="n">
        <v>45887</v>
      </c>
      <c r="N1378" t="inlineStr">
        <is>
          <t>Email</t>
        </is>
      </c>
      <c r="O1378" t="inlineStr">
        <is>
          <t>Madhav Mitruka</t>
        </is>
      </c>
      <c r="Y1378" s="96" t="n">
        <v>45840</v>
      </c>
      <c r="Z1378" t="inlineStr">
        <is>
          <t>https://app.hubspot.com/contacts/243046792/record/0-3/110968806118</t>
        </is>
      </c>
    </row>
    <row r="1379">
      <c r="A1379" t="n">
        <v>1378</v>
      </c>
      <c r="B1379" t="inlineStr">
        <is>
          <t>110969528012</t>
        </is>
      </c>
      <c r="C1379" t="inlineStr">
        <is>
          <t>RFP-000018-2025</t>
        </is>
      </c>
      <c r="D1379" t="inlineStr">
        <is>
          <t>Professional Services, Enterprise Resource Planning (ERP) System</t>
        </is>
      </c>
      <c r="E1379" t="inlineStr">
        <is>
          <t>Hill Country Community MHMR Centers</t>
        </is>
      </c>
      <c r="G1379" t="inlineStr">
        <is>
          <t>Interview</t>
        </is>
      </c>
      <c r="H1379" t="inlineStr">
        <is>
          <t>Yes</t>
        </is>
      </c>
      <c r="J1379" s="96" t="n">
        <v>45856</v>
      </c>
      <c r="K1379" s="96" t="n">
        <v>45856</v>
      </c>
      <c r="L1379" t="n">
        <v>625310</v>
      </c>
      <c r="N1379" t="inlineStr">
        <is>
          <t>Email</t>
        </is>
      </c>
      <c r="O1379" t="inlineStr">
        <is>
          <t>Jyothsna Nanda kishore</t>
        </is>
      </c>
      <c r="Y1379" s="96" t="n">
        <v>45840</v>
      </c>
      <c r="Z1379" t="inlineStr">
        <is>
          <t>https://app.hubspot.com/contacts/243046792/record/0-3/110969528012</t>
        </is>
      </c>
    </row>
    <row r="1380">
      <c r="A1380" t="n">
        <v>1379</v>
      </c>
      <c r="B1380" t="inlineStr">
        <is>
          <t>114864463584</t>
        </is>
      </c>
      <c r="D1380" t="inlineStr">
        <is>
          <t>Server &amp; Microsoft Office 365 Maintenance and Support PROPOSAL</t>
        </is>
      </c>
      <c r="G1380" t="inlineStr">
        <is>
          <t>Submitted</t>
        </is>
      </c>
      <c r="H1380" t="inlineStr">
        <is>
          <t>No</t>
        </is>
      </c>
      <c r="J1380" s="96" t="n">
        <v>45854</v>
      </c>
      <c r="K1380" s="96" t="n">
        <v>45854</v>
      </c>
      <c r="N1380" t="inlineStr">
        <is>
          <t>Offline</t>
        </is>
      </c>
      <c r="O1380" t="inlineStr">
        <is>
          <t>Madhav Mitruka</t>
        </is>
      </c>
      <c r="Y1380" s="96" t="n">
        <v>45845</v>
      </c>
      <c r="Z1380" t="inlineStr">
        <is>
          <t>https://app.hubspot.com/contacts/243046792/record/0-3/114864463584</t>
        </is>
      </c>
    </row>
    <row r="1381">
      <c r="A1381" t="n">
        <v>1380</v>
      </c>
      <c r="B1381" t="inlineStr">
        <is>
          <t>114864463603</t>
        </is>
      </c>
      <c r="D1381" t="inlineStr">
        <is>
          <t>ORACLE ERP IMPLEMENTATION PARTNER</t>
        </is>
      </c>
      <c r="G1381" t="inlineStr">
        <is>
          <t>Submitted</t>
        </is>
      </c>
      <c r="H1381" t="inlineStr">
        <is>
          <t>No</t>
        </is>
      </c>
      <c r="J1381" s="96" t="n">
        <v>45862</v>
      </c>
      <c r="N1381" t="inlineStr">
        <is>
          <t>Offline</t>
        </is>
      </c>
      <c r="O1381" t="inlineStr">
        <is>
          <t>Madhav Mitruka</t>
        </is>
      </c>
      <c r="Y1381" s="96" t="n">
        <v>45845</v>
      </c>
      <c r="Z1381" t="inlineStr">
        <is>
          <t>https://app.hubspot.com/contacts/243046792/record/0-3/114864463603</t>
        </is>
      </c>
    </row>
    <row r="1382">
      <c r="A1382" t="n">
        <v>1381</v>
      </c>
      <c r="B1382" t="inlineStr">
        <is>
          <t>114864467694</t>
        </is>
      </c>
      <c r="C1382" t="inlineStr">
        <is>
          <t>25RFP-DSU-25003</t>
        </is>
      </c>
      <c r="D1382" t="inlineStr">
        <is>
          <t>SecureSD Secure Email Solution</t>
        </is>
      </c>
      <c r="E1382" t="inlineStr">
        <is>
          <t>Dakota State University</t>
        </is>
      </c>
      <c r="G1382" t="inlineStr">
        <is>
          <t>Submitted</t>
        </is>
      </c>
      <c r="H1382" t="inlineStr">
        <is>
          <t>No</t>
        </is>
      </c>
      <c r="J1382" s="96" t="n">
        <v>45849</v>
      </c>
      <c r="K1382" s="96" t="n">
        <v>45849</v>
      </c>
      <c r="L1382" t="n">
        <v>46300</v>
      </c>
      <c r="N1382" t="inlineStr">
        <is>
          <t>Offline</t>
        </is>
      </c>
      <c r="O1382" t="inlineStr">
        <is>
          <t>Jyothsna Nanda kishore</t>
        </is>
      </c>
      <c r="Y1382" s="96" t="n">
        <v>45845</v>
      </c>
      <c r="Z1382" t="inlineStr">
        <is>
          <t>https://app.hubspot.com/contacts/243046792/record/0-3/114864467694</t>
        </is>
      </c>
    </row>
    <row r="1383">
      <c r="A1383" t="n">
        <v>1382</v>
      </c>
      <c r="B1383" t="inlineStr">
        <is>
          <t>114864563939</t>
        </is>
      </c>
      <c r="D1383" t="inlineStr">
        <is>
          <t>Managed IT Services</t>
        </is>
      </c>
      <c r="E1383" t="inlineStr">
        <is>
          <t>Tallahassee Housing Authority</t>
        </is>
      </c>
      <c r="G1383" t="inlineStr">
        <is>
          <t>Submitted</t>
        </is>
      </c>
      <c r="H1383" t="inlineStr">
        <is>
          <t>No</t>
        </is>
      </c>
      <c r="J1383" s="96" t="n">
        <v>45896</v>
      </c>
      <c r="K1383" s="96" t="n">
        <v>45896</v>
      </c>
      <c r="O1383" t="inlineStr">
        <is>
          <t>Madhav Mitruka</t>
        </is>
      </c>
      <c r="Y1383" s="96" t="n">
        <v>45846</v>
      </c>
      <c r="Z1383" t="inlineStr">
        <is>
          <t>https://app.hubspot.com/contacts/243046792/record/0-3/114864563939</t>
        </is>
      </c>
    </row>
    <row r="1384">
      <c r="A1384" t="n">
        <v>1383</v>
      </c>
      <c r="B1384" t="inlineStr">
        <is>
          <t>116521161421</t>
        </is>
      </c>
      <c r="D1384" t="inlineStr">
        <is>
          <t>NACCHO - CUSTOM JAVASCRIPT PROGRAMMING</t>
        </is>
      </c>
      <c r="E1384" t="inlineStr">
        <is>
          <t>NACCHO</t>
        </is>
      </c>
      <c r="G1384" t="inlineStr">
        <is>
          <t>Closed Won</t>
        </is>
      </c>
      <c r="H1384" t="inlineStr">
        <is>
          <t>No</t>
        </is>
      </c>
      <c r="J1384" s="96" t="n">
        <v>45614</v>
      </c>
      <c r="K1384" s="96" t="n">
        <v>45614</v>
      </c>
      <c r="L1384" t="n">
        <v>9225</v>
      </c>
      <c r="M1384" t="inlineStr">
        <is>
          <t>Consulting</t>
        </is>
      </c>
      <c r="N1384" t="inlineStr">
        <is>
          <t>Email</t>
        </is>
      </c>
      <c r="O1384" t="inlineStr">
        <is>
          <t>Jyothsna Nanda kishore</t>
        </is>
      </c>
      <c r="U1384" s="96" t="n">
        <v>45346</v>
      </c>
      <c r="Y1384" s="96" t="n">
        <v>45847</v>
      </c>
      <c r="Z1384" t="inlineStr">
        <is>
          <t>https://app.hubspot.com/contacts/243046792/record/0-3/116521161421</t>
        </is>
      </c>
    </row>
    <row r="1385">
      <c r="A1385" t="n">
        <v>1384</v>
      </c>
      <c r="B1385" t="inlineStr">
        <is>
          <t>114864632551</t>
        </is>
      </c>
      <c r="C1385" t="inlineStr">
        <is>
          <t>F25-077</t>
        </is>
      </c>
      <c r="D1385" t="inlineStr">
        <is>
          <t>City of Sunnyvale - Group 4, Software/Application/Database Development, Business Requirements Analysis, and Integration Services</t>
        </is>
      </c>
      <c r="E1385" t="inlineStr">
        <is>
          <t>City of Sunnyvale</t>
        </is>
      </c>
      <c r="F1385" t="inlineStr">
        <is>
          <t>California</t>
        </is>
      </c>
      <c r="G1385" t="inlineStr">
        <is>
          <t>Closed Won</t>
        </is>
      </c>
      <c r="H1385" t="inlineStr">
        <is>
          <t>No</t>
        </is>
      </c>
      <c r="J1385" s="96" t="n">
        <v>45610</v>
      </c>
      <c r="M1385" t="inlineStr">
        <is>
          <t>Staff Augmentation</t>
        </is>
      </c>
      <c r="N1385" t="inlineStr">
        <is>
          <t>Email</t>
        </is>
      </c>
      <c r="O1385" t="inlineStr">
        <is>
          <t>Jyothsna Nanda kishore</t>
        </is>
      </c>
      <c r="U1385" s="96" t="n">
        <v>45706</v>
      </c>
      <c r="Y1385" s="96" t="n">
        <v>45847</v>
      </c>
      <c r="Z1385" t="inlineStr">
        <is>
          <t>https://app.hubspot.com/contacts/243046792/record/0-3/114864632551</t>
        </is>
      </c>
    </row>
    <row r="1386">
      <c r="A1386" t="n">
        <v>1385</v>
      </c>
      <c r="B1386" t="inlineStr">
        <is>
          <t>114864632563</t>
        </is>
      </c>
      <c r="C1386" t="inlineStr">
        <is>
          <t>IT1638-25</t>
        </is>
      </c>
      <c r="D1386" t="inlineStr">
        <is>
          <t>Marion County - Oracle Support Services</t>
        </is>
      </c>
      <c r="E1386" t="inlineStr">
        <is>
          <t>Marion County</t>
        </is>
      </c>
      <c r="F1386" t="inlineStr">
        <is>
          <t>Oregon</t>
        </is>
      </c>
      <c r="G1386" t="inlineStr">
        <is>
          <t>Closed Won</t>
        </is>
      </c>
      <c r="H1386" t="inlineStr">
        <is>
          <t>No</t>
        </is>
      </c>
      <c r="J1386" s="96" t="n">
        <v>45750</v>
      </c>
      <c r="K1386" s="96" t="n">
        <v>45750</v>
      </c>
      <c r="L1386" t="n">
        <v>100000</v>
      </c>
      <c r="M1386" t="inlineStr">
        <is>
          <t>Support &amp; Maintenance</t>
        </is>
      </c>
      <c r="N1386" t="inlineStr">
        <is>
          <t>Portal</t>
        </is>
      </c>
      <c r="O1386" t="inlineStr">
        <is>
          <t>Jyothsna Nanda kishore</t>
        </is>
      </c>
      <c r="U1386" s="96" t="n">
        <v>45819</v>
      </c>
      <c r="Y1386" s="96" t="n">
        <v>45847</v>
      </c>
      <c r="Z1386" t="inlineStr">
        <is>
          <t>https://app.hubspot.com/contacts/243046792/record/0-3/114864632563</t>
        </is>
      </c>
    </row>
    <row r="1387">
      <c r="A1387" t="n">
        <v>1386</v>
      </c>
      <c r="B1387" t="inlineStr">
        <is>
          <t>114864638682</t>
        </is>
      </c>
      <c r="D1387" t="inlineStr">
        <is>
          <t>Managed IT Support Services - Town of Alta</t>
        </is>
      </c>
      <c r="G1387" t="inlineStr">
        <is>
          <t>Closed Lost</t>
        </is>
      </c>
      <c r="H1387" t="inlineStr">
        <is>
          <t>No</t>
        </is>
      </c>
      <c r="J1387" s="96" t="n">
        <v>45915</v>
      </c>
      <c r="K1387" s="96" t="n">
        <v>45873</v>
      </c>
      <c r="O1387" t="inlineStr">
        <is>
          <t>Madhav Mitruka</t>
        </is>
      </c>
      <c r="Y1387" s="96" t="n">
        <v>45847</v>
      </c>
      <c r="Z1387" t="inlineStr">
        <is>
          <t>https://app.hubspot.com/contacts/243046792/record/0-3/114864638682</t>
        </is>
      </c>
    </row>
    <row r="1388">
      <c r="A1388" t="n">
        <v>1387</v>
      </c>
      <c r="B1388" t="inlineStr">
        <is>
          <t>114864644834</t>
        </is>
      </c>
      <c r="C1388" t="inlineStr">
        <is>
          <t>Request for Proposals (RFP) No. AS-4183</t>
        </is>
      </c>
      <c r="D1388" t="inlineStr">
        <is>
          <t>Managed IT Support Services</t>
        </is>
      </c>
      <c r="G1388" t="inlineStr">
        <is>
          <t>Submitted</t>
        </is>
      </c>
      <c r="H1388" t="inlineStr">
        <is>
          <t>No</t>
        </is>
      </c>
      <c r="J1388" s="96" t="n">
        <v>45873</v>
      </c>
      <c r="K1388" s="96" t="n">
        <v>45873</v>
      </c>
      <c r="M1388" t="inlineStr">
        <is>
          <t>Managed Services (MSP)</t>
        </is>
      </c>
      <c r="O1388" t="inlineStr">
        <is>
          <t>Madhav Mitruka</t>
        </is>
      </c>
      <c r="Y1388" s="96" t="n">
        <v>45847</v>
      </c>
      <c r="Z1388" t="inlineStr">
        <is>
          <t>https://app.hubspot.com/contacts/243046792/record/0-3/114864644834</t>
        </is>
      </c>
    </row>
    <row r="1389">
      <c r="A1389" t="n">
        <v>1388</v>
      </c>
      <c r="B1389" t="inlineStr">
        <is>
          <t>116977705693</t>
        </is>
      </c>
      <c r="C1389" t="inlineStr">
        <is>
          <t>RFP #12-037</t>
        </is>
      </c>
      <c r="D1389" t="inlineStr">
        <is>
          <t>Enterprise Asset Management Support</t>
        </is>
      </c>
      <c r="E1389" t="inlineStr">
        <is>
          <t>City of Roseville</t>
        </is>
      </c>
      <c r="F1389" t="inlineStr">
        <is>
          <t>Michigan</t>
        </is>
      </c>
      <c r="G1389" t="inlineStr">
        <is>
          <t>Closed Lost</t>
        </is>
      </c>
      <c r="H1389" t="inlineStr">
        <is>
          <t>No</t>
        </is>
      </c>
      <c r="J1389" s="96" t="n">
        <v>45916</v>
      </c>
      <c r="K1389" s="96" t="n">
        <v>45869</v>
      </c>
      <c r="O1389" t="inlineStr">
        <is>
          <t>Madhav Mitruka</t>
        </is>
      </c>
      <c r="Y1389" s="96" t="n">
        <v>45848</v>
      </c>
      <c r="Z1389" t="inlineStr">
        <is>
          <t>https://app.hubspot.com/contacts/243046792/record/0-3/116977705693</t>
        </is>
      </c>
    </row>
    <row r="1390">
      <c r="A1390" t="n">
        <v>1389</v>
      </c>
      <c r="B1390" t="inlineStr">
        <is>
          <t>116977706711</t>
        </is>
      </c>
      <c r="C1390" t="inlineStr">
        <is>
          <t>NA</t>
        </is>
      </c>
      <c r="D1390" t="inlineStr">
        <is>
          <t>Managed IT Services</t>
        </is>
      </c>
      <c r="E1390" t="inlineStr">
        <is>
          <t>The City of Atchison</t>
        </is>
      </c>
      <c r="G1390" t="inlineStr">
        <is>
          <t>Submitted</t>
        </is>
      </c>
      <c r="H1390" t="inlineStr">
        <is>
          <t>No</t>
        </is>
      </c>
      <c r="J1390" s="96" t="n">
        <v>45852</v>
      </c>
      <c r="K1390" s="96" t="n">
        <v>45852</v>
      </c>
      <c r="L1390" t="n">
        <v>110250</v>
      </c>
      <c r="M1390" t="inlineStr">
        <is>
          <t>Managed Services (MSP)</t>
        </is>
      </c>
      <c r="N1390" t="inlineStr">
        <is>
          <t>Email</t>
        </is>
      </c>
      <c r="O1390" t="inlineStr">
        <is>
          <t>Jyothsna Nanda kishore</t>
        </is>
      </c>
      <c r="Y1390" s="96" t="n">
        <v>45848</v>
      </c>
      <c r="Z1390" t="inlineStr">
        <is>
          <t>https://app.hubspot.com/contacts/243046792/record/0-3/116977706711</t>
        </is>
      </c>
    </row>
    <row r="1391">
      <c r="A1391" t="n">
        <v>1390</v>
      </c>
      <c r="B1391" t="inlineStr">
        <is>
          <t>117117188800</t>
        </is>
      </c>
      <c r="C1391" t="inlineStr">
        <is>
          <t>NA</t>
        </is>
      </c>
      <c r="D1391" t="inlineStr">
        <is>
          <t>Cloud Migration and Endpoint Transition Services</t>
        </is>
      </c>
      <c r="E1391" t="inlineStr">
        <is>
          <t>The City of Atchison</t>
        </is>
      </c>
      <c r="G1391" t="inlineStr">
        <is>
          <t>Submitted</t>
        </is>
      </c>
      <c r="H1391" t="inlineStr">
        <is>
          <t>No</t>
        </is>
      </c>
      <c r="J1391" s="96" t="n">
        <v>45852</v>
      </c>
      <c r="K1391" s="96" t="n">
        <v>45852</v>
      </c>
      <c r="L1391" t="n">
        <v>31250</v>
      </c>
      <c r="M1391" t="inlineStr">
        <is>
          <t>Modernization / Migration</t>
        </is>
      </c>
      <c r="N1391" t="inlineStr">
        <is>
          <t>Email</t>
        </is>
      </c>
      <c r="O1391" t="inlineStr">
        <is>
          <t>Jyothsna Nanda kishore</t>
        </is>
      </c>
      <c r="Y1391" s="96" t="n">
        <v>45848</v>
      </c>
      <c r="Z1391" t="inlineStr">
        <is>
          <t>https://app.hubspot.com/contacts/243046792/record/0-3/117117188800</t>
        </is>
      </c>
    </row>
    <row r="1392">
      <c r="A1392" t="n">
        <v>1391</v>
      </c>
      <c r="B1392" t="inlineStr">
        <is>
          <t>116977707722</t>
        </is>
      </c>
      <c r="C1392" t="inlineStr">
        <is>
          <t>25RFP-25-0901005-012</t>
        </is>
      </c>
      <c r="D1392" t="inlineStr">
        <is>
          <t>Cybersecurity Assessment</t>
        </is>
      </c>
      <c r="E1392" t="inlineStr">
        <is>
          <t>South Dakota Department of Health</t>
        </is>
      </c>
      <c r="F1392" t="inlineStr">
        <is>
          <t>South Dakota</t>
        </is>
      </c>
      <c r="G1392" t="inlineStr">
        <is>
          <t>Submitted</t>
        </is>
      </c>
      <c r="H1392" t="inlineStr">
        <is>
          <t>No</t>
        </is>
      </c>
      <c r="J1392" s="96" t="n">
        <v>45849</v>
      </c>
      <c r="N1392" t="inlineStr">
        <is>
          <t>Offline</t>
        </is>
      </c>
      <c r="O1392" t="inlineStr">
        <is>
          <t>Jyothsna Nanda kishore</t>
        </is>
      </c>
      <c r="Y1392" s="96" t="n">
        <v>45848</v>
      </c>
      <c r="Z1392" t="inlineStr">
        <is>
          <t>https://app.hubspot.com/contacts/243046792/record/0-3/116977707722</t>
        </is>
      </c>
    </row>
    <row r="1393">
      <c r="A1393" t="n">
        <v>1392</v>
      </c>
      <c r="B1393" t="inlineStr">
        <is>
          <t>116977709756</t>
        </is>
      </c>
      <c r="D1393" t="inlineStr">
        <is>
          <t>Hazelwood School District - Hazelwood Information Technology Audit Services</t>
        </is>
      </c>
      <c r="E1393" t="inlineStr">
        <is>
          <t>Hazelwood School District</t>
        </is>
      </c>
      <c r="G1393" t="inlineStr">
        <is>
          <t>Closed Won</t>
        </is>
      </c>
      <c r="H1393" t="inlineStr">
        <is>
          <t>No</t>
        </is>
      </c>
      <c r="J1393" s="96" t="n">
        <v>45713</v>
      </c>
      <c r="K1393" s="96" t="n">
        <v>45713</v>
      </c>
      <c r="L1393" t="n">
        <v>48500</v>
      </c>
      <c r="M1393" t="inlineStr">
        <is>
          <t>Audits and Assessment</t>
        </is>
      </c>
      <c r="N1393" t="inlineStr">
        <is>
          <t>Offline</t>
        </is>
      </c>
      <c r="O1393" t="inlineStr">
        <is>
          <t>Yashaswini Gautam</t>
        </is>
      </c>
      <c r="U1393" s="96" t="n">
        <v>45783</v>
      </c>
      <c r="Y1393" s="96" t="n">
        <v>45848</v>
      </c>
      <c r="Z1393" t="inlineStr">
        <is>
          <t>https://app.hubspot.com/contacts/243046792/record/0-3/116977709756</t>
        </is>
      </c>
    </row>
    <row r="1394">
      <c r="A1394" t="n">
        <v>1393</v>
      </c>
      <c r="B1394" t="inlineStr">
        <is>
          <t>116977709757</t>
        </is>
      </c>
      <c r="C1394" t="inlineStr">
        <is>
          <t>RCA-017-25010066</t>
        </is>
      </c>
      <c r="D1394" t="inlineStr">
        <is>
          <t>Orange County - ON-LINE MARKETPLACE FOR CLOUD SERVICES AND SOFTWARE</t>
        </is>
      </c>
      <c r="E1394" t="inlineStr">
        <is>
          <t>Orange County</t>
        </is>
      </c>
      <c r="F1394" t="inlineStr">
        <is>
          <t>California</t>
        </is>
      </c>
      <c r="G1394" t="inlineStr">
        <is>
          <t>Closed Won</t>
        </is>
      </c>
      <c r="H1394" t="inlineStr">
        <is>
          <t>No</t>
        </is>
      </c>
      <c r="J1394" s="96" t="n">
        <v>45575</v>
      </c>
      <c r="K1394" s="96" t="n">
        <v>45575</v>
      </c>
      <c r="L1394" t="n">
        <v>0</v>
      </c>
      <c r="M1394" t="inlineStr">
        <is>
          <t>Consulting;Reseller</t>
        </is>
      </c>
      <c r="N1394" t="inlineStr">
        <is>
          <t>Portal</t>
        </is>
      </c>
      <c r="O1394" t="inlineStr">
        <is>
          <t>Ashutosh Chauhan</t>
        </is>
      </c>
      <c r="U1394" s="96" t="n">
        <v>45688</v>
      </c>
      <c r="Y1394" s="96" t="n">
        <v>45848</v>
      </c>
      <c r="Z1394" t="inlineStr">
        <is>
          <t>https://app.hubspot.com/contacts/243046792/record/0-3/116977709757</t>
        </is>
      </c>
    </row>
    <row r="1395">
      <c r="A1395" t="n">
        <v>1394</v>
      </c>
      <c r="B1395" t="inlineStr">
        <is>
          <t>117117193948</t>
        </is>
      </c>
      <c r="C1395" t="inlineStr">
        <is>
          <t>PCMC26001</t>
        </is>
      </c>
      <c r="D1395" t="inlineStr">
        <is>
          <t>IT Project Management, Change Management, and Staffing Assessment</t>
        </is>
      </c>
      <c r="E1395" t="inlineStr">
        <is>
          <t>Park City Municipal Corporation</t>
        </is>
      </c>
      <c r="G1395" t="inlineStr">
        <is>
          <t>Submitted</t>
        </is>
      </c>
      <c r="H1395" t="inlineStr">
        <is>
          <t>No</t>
        </is>
      </c>
      <c r="J1395" s="96" t="n">
        <v>45859</v>
      </c>
      <c r="K1395" s="96" t="n">
        <v>45856</v>
      </c>
      <c r="L1395" t="n">
        <v>38000</v>
      </c>
      <c r="M1395" t="inlineStr">
        <is>
          <t>Audits and Assessment</t>
        </is>
      </c>
      <c r="N1395" t="inlineStr">
        <is>
          <t>Portal</t>
        </is>
      </c>
      <c r="O1395" t="inlineStr">
        <is>
          <t>Madhav Mitruka</t>
        </is>
      </c>
      <c r="Y1395" s="96" t="n">
        <v>45848</v>
      </c>
      <c r="Z1395" t="inlineStr">
        <is>
          <t>https://app.hubspot.com/contacts/243046792/record/0-3/117117193948</t>
        </is>
      </c>
    </row>
    <row r="1396">
      <c r="A1396" t="n">
        <v>1395</v>
      </c>
      <c r="B1396" t="inlineStr">
        <is>
          <t>119005259461</t>
        </is>
      </c>
      <c r="D1396" t="inlineStr">
        <is>
          <t>Digital Asset Management (DAM) System – Support and Maintenance Services</t>
        </is>
      </c>
      <c r="G1396" t="inlineStr">
        <is>
          <t>Closed Lost</t>
        </is>
      </c>
      <c r="H1396" t="inlineStr">
        <is>
          <t>No</t>
        </is>
      </c>
      <c r="J1396" s="96" t="n">
        <v>45908</v>
      </c>
      <c r="K1396" s="96" t="n">
        <v>45852</v>
      </c>
      <c r="L1396" t="n">
        <v>410000</v>
      </c>
      <c r="M1396" t="inlineStr">
        <is>
          <t>Support &amp; Maintenance</t>
        </is>
      </c>
      <c r="O1396" t="inlineStr">
        <is>
          <t>Madhav Mitruka</t>
        </is>
      </c>
      <c r="Y1396" s="96" t="n">
        <v>45849</v>
      </c>
      <c r="Z1396" t="inlineStr">
        <is>
          <t>https://app.hubspot.com/contacts/243046792/record/0-3/119005259461</t>
        </is>
      </c>
    </row>
    <row r="1397">
      <c r="A1397" t="n">
        <v>1396</v>
      </c>
      <c r="B1397" t="inlineStr">
        <is>
          <t>119020379844</t>
        </is>
      </c>
      <c r="C1397" t="inlineStr">
        <is>
          <t>RFP NUMBER 25-05</t>
        </is>
      </c>
      <c r="D1397" t="inlineStr">
        <is>
          <t>Salesforce CRM Employer Communication and Training</t>
        </is>
      </c>
      <c r="E1397" t="inlineStr">
        <is>
          <t>indiana public retirement system (IPRS)</t>
        </is>
      </c>
      <c r="G1397" t="inlineStr">
        <is>
          <t>Submitted</t>
        </is>
      </c>
      <c r="H1397" t="inlineStr">
        <is>
          <t>No</t>
        </is>
      </c>
      <c r="J1397" s="96" t="n">
        <v>45873</v>
      </c>
      <c r="K1397" s="96" t="n">
        <v>45873</v>
      </c>
      <c r="N1397" t="inlineStr">
        <is>
          <t>Email</t>
        </is>
      </c>
      <c r="O1397" t="inlineStr">
        <is>
          <t>Yashaswini Gautam</t>
        </is>
      </c>
      <c r="Y1397" s="96" t="n">
        <v>45849</v>
      </c>
      <c r="Z1397" t="inlineStr">
        <is>
          <t>https://app.hubspot.com/contacts/243046792/record/0-3/119020379844</t>
        </is>
      </c>
    </row>
    <row r="1398">
      <c r="A1398" t="n">
        <v>1397</v>
      </c>
      <c r="B1398" t="inlineStr">
        <is>
          <t>119047739090</t>
        </is>
      </c>
      <c r="D1398" t="inlineStr">
        <is>
          <t>IT Services</t>
        </is>
      </c>
      <c r="G1398" t="inlineStr">
        <is>
          <t>Submitted</t>
        </is>
      </c>
      <c r="H1398" t="inlineStr">
        <is>
          <t>No</t>
        </is>
      </c>
      <c r="J1398" s="96" t="n">
        <v>45848</v>
      </c>
      <c r="K1398" s="96" t="n">
        <v>45848</v>
      </c>
      <c r="O1398" t="inlineStr">
        <is>
          <t>Jyothsna Nanda kishore</t>
        </is>
      </c>
      <c r="Y1398" s="96" t="n">
        <v>45849</v>
      </c>
      <c r="Z1398" t="inlineStr">
        <is>
          <t>https://app.hubspot.com/contacts/243046792/record/0-3/119047739090</t>
        </is>
      </c>
    </row>
    <row r="1399">
      <c r="A1399" t="n">
        <v>1398</v>
      </c>
      <c r="B1399" t="inlineStr">
        <is>
          <t>120893936360</t>
        </is>
      </c>
      <c r="C1399" t="inlineStr">
        <is>
          <t>26-004</t>
        </is>
      </c>
      <c r="D1399" t="inlineStr">
        <is>
          <t>Comprehensive Cybersecurity Solution</t>
        </is>
      </c>
      <c r="E1399" t="inlineStr">
        <is>
          <t>Brownsville ISD</t>
        </is>
      </c>
      <c r="G1399" t="inlineStr">
        <is>
          <t>Closed Lost</t>
        </is>
      </c>
      <c r="H1399" t="inlineStr">
        <is>
          <t>No</t>
        </is>
      </c>
      <c r="J1399" s="96" t="n">
        <v>45882</v>
      </c>
      <c r="K1399" s="96" t="n">
        <v>45880</v>
      </c>
      <c r="N1399" t="inlineStr">
        <is>
          <t>Email</t>
        </is>
      </c>
      <c r="O1399" t="inlineStr">
        <is>
          <t>Madhav Mitruka</t>
        </is>
      </c>
      <c r="Y1399" s="96" t="n">
        <v>45852</v>
      </c>
      <c r="Z1399" t="inlineStr">
        <is>
          <t>https://app.hubspot.com/contacts/243046792/record/0-3/120893936360</t>
        </is>
      </c>
    </row>
    <row r="1400">
      <c r="A1400" t="n">
        <v>1399</v>
      </c>
      <c r="B1400" t="inlineStr">
        <is>
          <t>121001237212</t>
        </is>
      </c>
      <c r="C1400" t="inlineStr">
        <is>
          <t>25-06-03</t>
        </is>
      </c>
      <c r="D1400" t="inlineStr">
        <is>
          <t>Managed Detection and Response Services for Cybersecurity</t>
        </is>
      </c>
      <c r="E1400" t="inlineStr">
        <is>
          <t>Lone Star College</t>
        </is>
      </c>
      <c r="G1400" t="inlineStr">
        <is>
          <t>Submitted</t>
        </is>
      </c>
      <c r="H1400" t="inlineStr">
        <is>
          <t>No</t>
        </is>
      </c>
      <c r="J1400" s="96" t="n">
        <v>45859</v>
      </c>
      <c r="K1400" s="96" t="n">
        <v>45859</v>
      </c>
      <c r="L1400" t="n">
        <v>799000</v>
      </c>
      <c r="N1400" t="inlineStr">
        <is>
          <t>Portal</t>
        </is>
      </c>
      <c r="O1400" t="inlineStr">
        <is>
          <t>Jyothsna Nanda kishore</t>
        </is>
      </c>
      <c r="Y1400" s="96" t="n">
        <v>45852</v>
      </c>
      <c r="Z1400" t="inlineStr">
        <is>
          <t>https://app.hubspot.com/contacts/243046792/record/0-3/121001237212</t>
        </is>
      </c>
    </row>
    <row r="1401">
      <c r="A1401" t="n">
        <v>1400</v>
      </c>
      <c r="B1401" t="inlineStr">
        <is>
          <t>121105455839</t>
        </is>
      </c>
      <c r="D1401" t="inlineStr">
        <is>
          <t>RFP 25-007 Enterprise Resource Planning</t>
        </is>
      </c>
      <c r="G1401" t="inlineStr">
        <is>
          <t>Closed Lost</t>
        </is>
      </c>
      <c r="H1401" t="inlineStr">
        <is>
          <t>No</t>
        </is>
      </c>
      <c r="J1401" s="96" t="n">
        <v>45856</v>
      </c>
      <c r="O1401" t="inlineStr">
        <is>
          <t>Madhav Mitruka</t>
        </is>
      </c>
      <c r="Y1401" s="96" t="n">
        <v>45853</v>
      </c>
      <c r="Z1401" t="inlineStr">
        <is>
          <t>https://app.hubspot.com/contacts/243046792/record/0-3/121105455839</t>
        </is>
      </c>
    </row>
    <row r="1402">
      <c r="A1402" t="n">
        <v>1401</v>
      </c>
      <c r="B1402" t="inlineStr">
        <is>
          <t>121105457901</t>
        </is>
      </c>
      <c r="C1402" t="inlineStr">
        <is>
          <t>25-001QP</t>
        </is>
      </c>
      <c r="D1402" t="inlineStr">
        <is>
          <t>Accela Development &amp; Quality Assurance Testing</t>
        </is>
      </c>
      <c r="E1402" t="inlineStr">
        <is>
          <t>City of Seattle</t>
        </is>
      </c>
      <c r="F1402" t="inlineStr">
        <is>
          <t>Washington</t>
        </is>
      </c>
      <c r="G1402" t="inlineStr">
        <is>
          <t>Submitted</t>
        </is>
      </c>
      <c r="H1402" t="inlineStr">
        <is>
          <t>No</t>
        </is>
      </c>
      <c r="J1402" s="96" t="n">
        <v>45854</v>
      </c>
      <c r="K1402" s="96" t="n">
        <v>45854</v>
      </c>
      <c r="M1402" t="inlineStr">
        <is>
          <t>Consulting</t>
        </is>
      </c>
      <c r="O1402" t="inlineStr">
        <is>
          <t>Jyothsna Nanda kishore</t>
        </is>
      </c>
      <c r="Y1402" s="96" t="n">
        <v>45853</v>
      </c>
      <c r="Z1402" t="inlineStr">
        <is>
          <t>https://app.hubspot.com/contacts/243046792/record/0-3/121105457901</t>
        </is>
      </c>
    </row>
    <row r="1403">
      <c r="A1403" t="n">
        <v>1402</v>
      </c>
      <c r="B1403" t="inlineStr">
        <is>
          <t>121105460922</t>
        </is>
      </c>
      <c r="C1403" t="inlineStr">
        <is>
          <t>2026-08-07-0001</t>
        </is>
      </c>
      <c r="D1403" t="inlineStr">
        <is>
          <t>CRM Project Management Services</t>
        </is>
      </c>
      <c r="E1403" t="inlineStr">
        <is>
          <t>City of Sunnyvale</t>
        </is>
      </c>
      <c r="F1403" t="inlineStr">
        <is>
          <t>California</t>
        </is>
      </c>
      <c r="G1403" t="inlineStr">
        <is>
          <t>Submitted</t>
        </is>
      </c>
      <c r="H1403" t="inlineStr">
        <is>
          <t>No</t>
        </is>
      </c>
      <c r="J1403" s="96" t="n">
        <v>45863</v>
      </c>
      <c r="K1403" s="96" t="n">
        <v>45860</v>
      </c>
      <c r="N1403" t="inlineStr">
        <is>
          <t>Email</t>
        </is>
      </c>
      <c r="O1403" t="inlineStr">
        <is>
          <t>Jyothsna Nanda kishore</t>
        </is>
      </c>
      <c r="Y1403" s="96" t="n">
        <v>45853</v>
      </c>
      <c r="Z1403" t="inlineStr">
        <is>
          <t>https://app.hubspot.com/contacts/243046792/record/0-3/121105460922</t>
        </is>
      </c>
    </row>
    <row r="1404">
      <c r="A1404" t="n">
        <v>1403</v>
      </c>
      <c r="B1404" t="inlineStr">
        <is>
          <t>120592687818</t>
        </is>
      </c>
      <c r="C1404" t="inlineStr">
        <is>
          <t>99-MP24042</t>
        </is>
      </c>
      <c r="D1404" t="inlineStr">
        <is>
          <t>Comprehensive IT Service Management System</t>
        </is>
      </c>
      <c r="E1404" t="inlineStr">
        <is>
          <t>Guilford Technical Community College</t>
        </is>
      </c>
      <c r="G1404" t="inlineStr">
        <is>
          <t>Submitted</t>
        </is>
      </c>
      <c r="H1404" t="inlineStr">
        <is>
          <t>No</t>
        </is>
      </c>
      <c r="J1404" s="96" t="n">
        <v>45846</v>
      </c>
      <c r="K1404" s="96" t="n">
        <v>45846</v>
      </c>
      <c r="L1404" t="n">
        <v>206800</v>
      </c>
      <c r="M1404" t="inlineStr">
        <is>
          <t>Managed Services (MSP)</t>
        </is>
      </c>
      <c r="N1404" t="inlineStr">
        <is>
          <t>Portal</t>
        </is>
      </c>
      <c r="O1404" t="inlineStr">
        <is>
          <t>Jyothsna Nanda kishore</t>
        </is>
      </c>
      <c r="Y1404" s="96" t="n">
        <v>45853</v>
      </c>
      <c r="Z1404" t="inlineStr">
        <is>
          <t>https://app.hubspot.com/contacts/243046792/record/0-3/120592687818</t>
        </is>
      </c>
    </row>
    <row r="1405">
      <c r="A1405" t="n">
        <v>1404</v>
      </c>
      <c r="B1405" t="inlineStr">
        <is>
          <t>121105465051</t>
        </is>
      </c>
      <c r="C1405" t="inlineStr">
        <is>
          <t>The City of Fort Collins</t>
        </is>
      </c>
      <c r="D1405" t="inlineStr">
        <is>
          <t>ORGANIZATIONAL DESIGN AND IMPLEMENTATION SERVICES FOR CITY UTILITIES AND IT INTEGRATION</t>
        </is>
      </c>
      <c r="G1405" t="inlineStr">
        <is>
          <t>Submitted</t>
        </is>
      </c>
      <c r="H1405" t="inlineStr">
        <is>
          <t>No</t>
        </is>
      </c>
      <c r="J1405" s="96" t="n">
        <v>45875</v>
      </c>
      <c r="K1405" s="96" t="n">
        <v>45875</v>
      </c>
      <c r="M1405" t="inlineStr">
        <is>
          <t>Platform Implementation (ERP, CRMs)</t>
        </is>
      </c>
      <c r="O1405" t="inlineStr">
        <is>
          <t>Madhav Mitruka</t>
        </is>
      </c>
      <c r="Y1405" s="96" t="n">
        <v>45853</v>
      </c>
      <c r="Z1405" t="inlineStr">
        <is>
          <t>https://app.hubspot.com/contacts/243046792/record/0-3/121105465051</t>
        </is>
      </c>
    </row>
    <row r="1406">
      <c r="A1406" t="n">
        <v>1405</v>
      </c>
      <c r="B1406" t="inlineStr">
        <is>
          <t>120592699100</t>
        </is>
      </c>
      <c r="D1406" t="inlineStr">
        <is>
          <t>EdgeMarket Direct Hire IT Staff Augmentation</t>
        </is>
      </c>
      <c r="E1406" t="inlineStr">
        <is>
          <t>EdgeMarket NJ</t>
        </is>
      </c>
      <c r="F1406" t="inlineStr">
        <is>
          <t>New Jersey</t>
        </is>
      </c>
      <c r="G1406" t="inlineStr">
        <is>
          <t>Closed Lost</t>
        </is>
      </c>
      <c r="H1406" t="inlineStr">
        <is>
          <t>No</t>
        </is>
      </c>
      <c r="J1406" s="96" t="n">
        <v>45916</v>
      </c>
      <c r="O1406" t="inlineStr">
        <is>
          <t>Madhav Mitruka</t>
        </is>
      </c>
      <c r="Y1406" s="96" t="n">
        <v>45853</v>
      </c>
      <c r="Z1406" t="inlineStr">
        <is>
          <t>https://app.hubspot.com/contacts/243046792/record/0-3/120592699100</t>
        </is>
      </c>
    </row>
    <row r="1407">
      <c r="A1407" t="n">
        <v>1406</v>
      </c>
      <c r="B1407" t="inlineStr">
        <is>
          <t>120592782017</t>
        </is>
      </c>
      <c r="D1407" t="inlineStr">
        <is>
          <t>IT Service Management (ITSM) platform</t>
        </is>
      </c>
      <c r="E1407" t="inlineStr">
        <is>
          <t>Kentucky Community &amp; Technical College System</t>
        </is>
      </c>
      <c r="G1407" t="inlineStr">
        <is>
          <t>Submitted</t>
        </is>
      </c>
      <c r="H1407" t="inlineStr">
        <is>
          <t>No</t>
        </is>
      </c>
      <c r="J1407" s="96" t="n">
        <v>45874</v>
      </c>
      <c r="M1407" t="inlineStr">
        <is>
          <t>Platform Implementation (ERP, CRMs)</t>
        </is>
      </c>
      <c r="O1407" t="inlineStr">
        <is>
          <t>Jyothsna Nanda kishore</t>
        </is>
      </c>
      <c r="Y1407" s="96" t="n">
        <v>45854</v>
      </c>
      <c r="Z1407" t="inlineStr">
        <is>
          <t>https://app.hubspot.com/contacts/243046792/record/0-3/120592782017</t>
        </is>
      </c>
    </row>
    <row r="1408">
      <c r="A1408" t="n">
        <v>1407</v>
      </c>
      <c r="B1408" t="inlineStr">
        <is>
          <t>120592782027</t>
        </is>
      </c>
      <c r="C1408" t="inlineStr">
        <is>
          <t>RFP # 26-08-08</t>
        </is>
      </c>
      <c r="D1408" t="inlineStr">
        <is>
          <t>Cybersecurity Pilot - Network Detection Response</t>
        </is>
      </c>
      <c r="E1408" t="inlineStr">
        <is>
          <t>Weslaco ISD</t>
        </is>
      </c>
      <c r="F1408" t="inlineStr">
        <is>
          <t>Texas</t>
        </is>
      </c>
      <c r="G1408" t="inlineStr">
        <is>
          <t>Submitted</t>
        </is>
      </c>
      <c r="H1408" t="inlineStr">
        <is>
          <t>No</t>
        </is>
      </c>
      <c r="J1408" s="96" t="n">
        <v>45874</v>
      </c>
      <c r="K1408" s="96" t="n">
        <v>45876</v>
      </c>
      <c r="N1408" t="inlineStr">
        <is>
          <t>Portal</t>
        </is>
      </c>
      <c r="O1408" t="inlineStr">
        <is>
          <t>Jyothsna Nanda kishore</t>
        </is>
      </c>
      <c r="Y1408" s="96" t="n">
        <v>45854</v>
      </c>
      <c r="Z1408" t="inlineStr">
        <is>
          <t>https://app.hubspot.com/contacts/243046792/record/0-3/120592782027</t>
        </is>
      </c>
    </row>
    <row r="1409">
      <c r="A1409" t="n">
        <v>1408</v>
      </c>
      <c r="B1409" t="inlineStr">
        <is>
          <t>120592782040</t>
        </is>
      </c>
      <c r="D1409" t="inlineStr">
        <is>
          <t>Temporary Staffing Services</t>
        </is>
      </c>
      <c r="E1409" t="inlineStr">
        <is>
          <t>City of Downey</t>
        </is>
      </c>
      <c r="G1409" t="inlineStr">
        <is>
          <t>Submitted</t>
        </is>
      </c>
      <c r="H1409" t="inlineStr">
        <is>
          <t>No</t>
        </is>
      </c>
      <c r="J1409" s="96" t="n">
        <v>45884</v>
      </c>
      <c r="K1409" s="96" t="n">
        <v>45884</v>
      </c>
      <c r="M1409" t="inlineStr">
        <is>
          <t>Staff Augmentation</t>
        </is>
      </c>
      <c r="O1409" t="inlineStr">
        <is>
          <t>Jyothsna Nanda kishore</t>
        </is>
      </c>
      <c r="Y1409" s="96" t="n">
        <v>45854</v>
      </c>
      <c r="Z1409" t="inlineStr">
        <is>
          <t>https://app.hubspot.com/contacts/243046792/record/0-3/120592782040</t>
        </is>
      </c>
    </row>
    <row r="1410">
      <c r="A1410" t="n">
        <v>1409</v>
      </c>
      <c r="B1410" t="inlineStr">
        <is>
          <t>120592871142</t>
        </is>
      </c>
      <c r="D1410" t="inlineStr">
        <is>
          <t>PeopleSoft Managed Services</t>
        </is>
      </c>
      <c r="E1410" t="inlineStr">
        <is>
          <t>Ohio Department of Taxation</t>
        </is>
      </c>
      <c r="F1410" t="inlineStr">
        <is>
          <t>Ohio</t>
        </is>
      </c>
      <c r="G1410" t="inlineStr">
        <is>
          <t>Submitted</t>
        </is>
      </c>
      <c r="H1410" t="inlineStr">
        <is>
          <t>No</t>
        </is>
      </c>
      <c r="J1410" s="96" t="n">
        <v>45854</v>
      </c>
      <c r="K1410" s="96" t="n">
        <v>45854</v>
      </c>
      <c r="M1410" t="inlineStr">
        <is>
          <t>Managed Services (MSP)</t>
        </is>
      </c>
      <c r="O1410" t="inlineStr">
        <is>
          <t>Jyothsna Nanda kishore</t>
        </is>
      </c>
      <c r="Y1410" s="96" t="n">
        <v>45855</v>
      </c>
      <c r="Z1410" t="inlineStr">
        <is>
          <t>https://app.hubspot.com/contacts/243046792/record/0-3/120592871142</t>
        </is>
      </c>
    </row>
    <row r="1411">
      <c r="A1411" t="n">
        <v>1410</v>
      </c>
      <c r="B1411" t="inlineStr">
        <is>
          <t>120592880342</t>
        </is>
      </c>
      <c r="C1411" t="inlineStr">
        <is>
          <t>RFP-25-02</t>
        </is>
      </c>
      <c r="D1411" t="inlineStr">
        <is>
          <t>RFP-25-02 INFORMATION TECHNOLOGY SERVICES</t>
        </is>
      </c>
      <c r="G1411" t="inlineStr">
        <is>
          <t>Closed Lost</t>
        </is>
      </c>
      <c r="H1411" t="inlineStr">
        <is>
          <t>No</t>
        </is>
      </c>
      <c r="J1411" s="96" t="n">
        <v>45912</v>
      </c>
      <c r="K1411" s="96" t="n">
        <v>45875</v>
      </c>
      <c r="O1411" t="inlineStr">
        <is>
          <t>Madhav Mitruka</t>
        </is>
      </c>
      <c r="Y1411" s="96" t="n">
        <v>45855</v>
      </c>
      <c r="Z1411" t="inlineStr">
        <is>
          <t>https://app.hubspot.com/contacts/243046792/record/0-3/120592880342</t>
        </is>
      </c>
    </row>
    <row r="1412">
      <c r="A1412" t="n">
        <v>1411</v>
      </c>
      <c r="B1412" t="inlineStr">
        <is>
          <t>123259077322</t>
        </is>
      </c>
      <c r="D1412" t="inlineStr">
        <is>
          <t>IT Consulting Competitive Contract</t>
        </is>
      </c>
      <c r="E1412" t="inlineStr">
        <is>
          <t>BOROUGH OF MILLTOWN,</t>
        </is>
      </c>
      <c r="G1412" t="inlineStr">
        <is>
          <t>Submitted</t>
        </is>
      </c>
      <c r="H1412" t="inlineStr">
        <is>
          <t>No</t>
        </is>
      </c>
      <c r="J1412" s="96" t="n">
        <v>45855</v>
      </c>
      <c r="K1412" s="96" t="n">
        <v>45855</v>
      </c>
      <c r="O1412" t="inlineStr">
        <is>
          <t>Jyothsna Nanda kishore</t>
        </is>
      </c>
      <c r="Y1412" s="96" t="n">
        <v>45856</v>
      </c>
      <c r="Z1412" t="inlineStr">
        <is>
          <t>https://app.hubspot.com/contacts/243046792/record/0-3/123259077322</t>
        </is>
      </c>
    </row>
    <row r="1413">
      <c r="A1413" t="n">
        <v>1412</v>
      </c>
      <c r="B1413" t="inlineStr">
        <is>
          <t>123259077353</t>
        </is>
      </c>
      <c r="C1413" t="inlineStr">
        <is>
          <t>2026.0038</t>
        </is>
      </c>
      <c r="D1413" t="inlineStr">
        <is>
          <t>Consulting Services for Oracle ERP</t>
        </is>
      </c>
      <c r="E1413" t="inlineStr">
        <is>
          <t>City of Stamford</t>
        </is>
      </c>
      <c r="F1413" t="inlineStr">
        <is>
          <t>Connecticut</t>
        </is>
      </c>
      <c r="G1413" t="inlineStr">
        <is>
          <t>Submitted</t>
        </is>
      </c>
      <c r="H1413" t="inlineStr">
        <is>
          <t>No</t>
        </is>
      </c>
      <c r="J1413" s="96" t="n">
        <v>45911</v>
      </c>
      <c r="K1413" s="96" t="n">
        <v>45911</v>
      </c>
      <c r="L1413" t="n">
        <v>66600</v>
      </c>
      <c r="M1413" t="inlineStr">
        <is>
          <t>Consulting</t>
        </is>
      </c>
      <c r="N1413" t="inlineStr">
        <is>
          <t>Portal</t>
        </is>
      </c>
      <c r="O1413" t="inlineStr">
        <is>
          <t>Jyothsna Nanda kishore</t>
        </is>
      </c>
      <c r="Y1413" s="96" t="n">
        <v>45856</v>
      </c>
      <c r="Z1413" t="inlineStr">
        <is>
          <t>https://app.hubspot.com/contacts/243046792/record/0-3/123259077353</t>
        </is>
      </c>
    </row>
    <row r="1414">
      <c r="A1414" t="n">
        <v>1413</v>
      </c>
      <c r="B1414" t="inlineStr">
        <is>
          <t>123259080387</t>
        </is>
      </c>
      <c r="C1414" t="inlineStr">
        <is>
          <t>B026-06</t>
        </is>
      </c>
      <c r="D1414" t="inlineStr">
        <is>
          <t>FCC Cybersecurity Pilot Program Form 470# CBR420250644 (MERI Cyber 2025)</t>
        </is>
      </c>
      <c r="E1414" t="inlineStr">
        <is>
          <t>City of Meriden</t>
        </is>
      </c>
      <c r="F1414" t="inlineStr">
        <is>
          <t>Connecticut</t>
        </is>
      </c>
      <c r="G1414" t="inlineStr">
        <is>
          <t>Submitted</t>
        </is>
      </c>
      <c r="H1414" t="inlineStr">
        <is>
          <t>No</t>
        </is>
      </c>
      <c r="J1414" s="96" t="n">
        <v>45889</v>
      </c>
      <c r="K1414" s="96" t="n">
        <v>45889</v>
      </c>
      <c r="L1414" t="n">
        <v>319898</v>
      </c>
      <c r="N1414" t="inlineStr">
        <is>
          <t>Portal</t>
        </is>
      </c>
      <c r="O1414" t="inlineStr">
        <is>
          <t>Jyothsna Nanda kishore</t>
        </is>
      </c>
      <c r="Y1414" s="96" t="n">
        <v>45856</v>
      </c>
      <c r="Z1414" t="inlineStr">
        <is>
          <t>https://app.hubspot.com/contacts/243046792/record/0-3/123259080387</t>
        </is>
      </c>
    </row>
    <row r="1415">
      <c r="A1415" t="n">
        <v>1414</v>
      </c>
      <c r="B1415" t="inlineStr">
        <is>
          <t>123259080393</t>
        </is>
      </c>
      <c r="C1415" t="inlineStr">
        <is>
          <t>2000004198</t>
        </is>
      </c>
      <c r="D1415" t="inlineStr">
        <is>
          <t>IT Staff Augmentation - Application Development</t>
        </is>
      </c>
      <c r="E1415" t="inlineStr">
        <is>
          <t>Fairfax County</t>
        </is>
      </c>
      <c r="F1415" t="inlineStr">
        <is>
          <t>Virginia</t>
        </is>
      </c>
      <c r="G1415" t="inlineStr">
        <is>
          <t>Submitted</t>
        </is>
      </c>
      <c r="H1415" t="inlineStr">
        <is>
          <t>No</t>
        </is>
      </c>
      <c r="J1415" s="96" t="n">
        <v>45891</v>
      </c>
      <c r="K1415" s="96" t="n">
        <v>45891</v>
      </c>
      <c r="M1415" t="inlineStr">
        <is>
          <t>Consulting;Staff Augmentation;Training</t>
        </is>
      </c>
      <c r="N1415" t="inlineStr">
        <is>
          <t>Portal</t>
        </is>
      </c>
      <c r="O1415" t="inlineStr">
        <is>
          <t>Jyothsna Nanda kishore</t>
        </is>
      </c>
      <c r="Y1415" s="96" t="n">
        <v>45856</v>
      </c>
      <c r="Z1415" t="inlineStr">
        <is>
          <t>https://app.hubspot.com/contacts/243046792/record/0-3/123259080393</t>
        </is>
      </c>
    </row>
    <row r="1416">
      <c r="A1416" t="n">
        <v>1415</v>
      </c>
      <c r="B1416" t="inlineStr">
        <is>
          <t>123259080408</t>
        </is>
      </c>
      <c r="D1416" t="inlineStr">
        <is>
          <t>Consultant Services for SACOG 511 Traveler Information System Modernization</t>
        </is>
      </c>
      <c r="E1416" t="inlineStr">
        <is>
          <t>Sacramento Area Council of Governments (SACOG)</t>
        </is>
      </c>
      <c r="G1416" t="inlineStr">
        <is>
          <t>Submitted</t>
        </is>
      </c>
      <c r="H1416" t="inlineStr">
        <is>
          <t>No</t>
        </is>
      </c>
      <c r="J1416" s="96" t="n">
        <v>45903</v>
      </c>
      <c r="K1416" s="96" t="n">
        <v>45900</v>
      </c>
      <c r="O1416" t="inlineStr">
        <is>
          <t>Jyothsna Nanda kishore</t>
        </is>
      </c>
      <c r="Y1416" s="96" t="n">
        <v>45856</v>
      </c>
      <c r="Z1416" t="inlineStr">
        <is>
          <t>https://app.hubspot.com/contacts/243046792/record/0-3/123259080408</t>
        </is>
      </c>
    </row>
    <row r="1417">
      <c r="A1417" t="n">
        <v>1416</v>
      </c>
      <c r="B1417" t="inlineStr">
        <is>
          <t>122926380733</t>
        </is>
      </c>
      <c r="C1417" t="inlineStr">
        <is>
          <t>26-08-10</t>
        </is>
      </c>
      <c r="D1417" t="inlineStr">
        <is>
          <t>Cybersecurity Pilot - Network Access Control Solution For Campuses</t>
        </is>
      </c>
      <c r="E1417" t="inlineStr">
        <is>
          <t>Weslaco ISD</t>
        </is>
      </c>
      <c r="F1417" t="inlineStr">
        <is>
          <t>Texas</t>
        </is>
      </c>
      <c r="G1417" t="inlineStr">
        <is>
          <t>Submitted</t>
        </is>
      </c>
      <c r="H1417" t="inlineStr">
        <is>
          <t>No</t>
        </is>
      </c>
      <c r="J1417" s="96" t="n">
        <v>45874</v>
      </c>
      <c r="K1417" s="96" t="n">
        <v>45876</v>
      </c>
      <c r="M1417" t="inlineStr">
        <is>
          <t>Managed Services (MSP)</t>
        </is>
      </c>
      <c r="N1417" t="inlineStr">
        <is>
          <t>Portal</t>
        </is>
      </c>
      <c r="O1417" t="inlineStr">
        <is>
          <t>Jyothsna Nanda kishore</t>
        </is>
      </c>
      <c r="Y1417" s="96" t="n">
        <v>45856</v>
      </c>
      <c r="Z1417" t="inlineStr">
        <is>
          <t>https://app.hubspot.com/contacts/243046792/record/0-3/122926380733</t>
        </is>
      </c>
    </row>
    <row r="1418">
      <c r="A1418" t="n">
        <v>1417</v>
      </c>
      <c r="B1418" t="inlineStr">
        <is>
          <t>123584740047</t>
        </is>
      </c>
      <c r="D1418" t="inlineStr">
        <is>
          <t>RFP# 2512- TASK ORDER CONTRACT FOR IT SERVICES</t>
        </is>
      </c>
      <c r="E1418" t="inlineStr">
        <is>
          <t>Laketran</t>
        </is>
      </c>
      <c r="G1418" t="inlineStr">
        <is>
          <t>Submitted</t>
        </is>
      </c>
      <c r="H1418" t="inlineStr">
        <is>
          <t>No</t>
        </is>
      </c>
      <c r="J1418" s="96" t="n">
        <v>45896</v>
      </c>
      <c r="K1418" s="96" t="n">
        <v>45896</v>
      </c>
      <c r="N1418" t="inlineStr">
        <is>
          <t>Email</t>
        </is>
      </c>
      <c r="O1418" t="inlineStr">
        <is>
          <t>Madhav Mitruka</t>
        </is>
      </c>
      <c r="Y1418" s="96" t="n">
        <v>45856</v>
      </c>
      <c r="Z1418" t="inlineStr">
        <is>
          <t>https://app.hubspot.com/contacts/243046792/record/0-3/123584740047</t>
        </is>
      </c>
    </row>
    <row r="1419">
      <c r="A1419" t="n">
        <v>1418</v>
      </c>
      <c r="B1419" t="inlineStr">
        <is>
          <t>123670192881</t>
        </is>
      </c>
      <c r="C1419" t="inlineStr">
        <is>
          <t>24-31</t>
        </is>
      </c>
      <c r="D1419" t="inlineStr">
        <is>
          <t>Arapahoe County - IT RECRUITMENT AND STAFFING</t>
        </is>
      </c>
      <c r="E1419" t="inlineStr">
        <is>
          <t>Arapahoe County</t>
        </is>
      </c>
      <c r="F1419" t="inlineStr">
        <is>
          <t>Colorado</t>
        </is>
      </c>
      <c r="G1419" t="inlineStr">
        <is>
          <t>Closed Won</t>
        </is>
      </c>
      <c r="H1419" t="inlineStr">
        <is>
          <t>No</t>
        </is>
      </c>
      <c r="J1419" s="96" t="n">
        <v>45609</v>
      </c>
      <c r="M1419" t="inlineStr">
        <is>
          <t>Staff Augmentation</t>
        </is>
      </c>
      <c r="O1419" t="inlineStr">
        <is>
          <t>Jyothsna Nanda kishore</t>
        </is>
      </c>
      <c r="U1419" s="96" t="n">
        <v>45775</v>
      </c>
      <c r="Y1419" s="96" t="n">
        <v>45856</v>
      </c>
      <c r="Z1419" t="inlineStr">
        <is>
          <t>https://app.hubspot.com/contacts/243046792/record/0-3/123670192881</t>
        </is>
      </c>
    </row>
    <row r="1420">
      <c r="A1420" t="n">
        <v>1419</v>
      </c>
      <c r="B1420" t="inlineStr">
        <is>
          <t>126527003333</t>
        </is>
      </c>
      <c r="C1420" t="inlineStr">
        <is>
          <t>700-FIN-2025-14</t>
        </is>
      </c>
      <c r="D1420" t="inlineStr">
        <is>
          <t>Consulting Services for ERP System RFP Development and Implementation Support</t>
        </is>
      </c>
      <c r="E1420" t="inlineStr">
        <is>
          <t>Town of Clayton</t>
        </is>
      </c>
      <c r="G1420" t="inlineStr">
        <is>
          <t>Submitted</t>
        </is>
      </c>
      <c r="H1420" t="inlineStr">
        <is>
          <t>No</t>
        </is>
      </c>
      <c r="J1420" s="96" t="n">
        <v>45856</v>
      </c>
      <c r="K1420" s="96" t="n">
        <v>45856</v>
      </c>
      <c r="L1420" t="n">
        <v>41376</v>
      </c>
      <c r="N1420" t="inlineStr">
        <is>
          <t>Portal</t>
        </is>
      </c>
      <c r="O1420" t="inlineStr">
        <is>
          <t>Jyothsna Nanda kishore</t>
        </is>
      </c>
      <c r="Y1420" s="96" t="n">
        <v>45859</v>
      </c>
      <c r="Z1420" t="inlineStr">
        <is>
          <t>https://app.hubspot.com/contacts/243046792/record/0-3/126527003333</t>
        </is>
      </c>
    </row>
    <row r="1421">
      <c r="A1421" t="n">
        <v>1420</v>
      </c>
      <c r="B1421" t="inlineStr">
        <is>
          <t>126498542302</t>
        </is>
      </c>
      <c r="C1421" t="inlineStr">
        <is>
          <t>66000-2425-207</t>
        </is>
      </c>
      <c r="D1421" t="inlineStr">
        <is>
          <t>Power BI Developer/Consulting</t>
        </is>
      </c>
      <c r="E1421" t="inlineStr">
        <is>
          <t>County of San Mateo</t>
        </is>
      </c>
      <c r="F1421" t="inlineStr">
        <is>
          <t>California</t>
        </is>
      </c>
      <c r="G1421" t="inlineStr">
        <is>
          <t>Submitted</t>
        </is>
      </c>
      <c r="H1421" t="inlineStr">
        <is>
          <t>No</t>
        </is>
      </c>
      <c r="J1421" s="96" t="n">
        <v>45855</v>
      </c>
      <c r="K1421" s="96" t="n">
        <v>45855</v>
      </c>
      <c r="M1421" t="inlineStr">
        <is>
          <t>Consulting</t>
        </is>
      </c>
      <c r="N1421" t="inlineStr">
        <is>
          <t>Portal</t>
        </is>
      </c>
      <c r="O1421" t="inlineStr">
        <is>
          <t>Jyothsna Nanda kishore</t>
        </is>
      </c>
      <c r="Y1421" s="96" t="n">
        <v>45859</v>
      </c>
      <c r="Z1421" t="inlineStr">
        <is>
          <t>https://app.hubspot.com/contacts/243046792/record/0-3/126498542302</t>
        </is>
      </c>
    </row>
    <row r="1422">
      <c r="A1422" t="n">
        <v>1421</v>
      </c>
      <c r="B1422" t="inlineStr">
        <is>
          <t>126498542306</t>
        </is>
      </c>
      <c r="C1422" t="inlineStr">
        <is>
          <t>2026-100</t>
        </is>
      </c>
      <c r="D1422" t="inlineStr">
        <is>
          <t>Asset Management System for Public Works Vehicles and Equipment</t>
        </is>
      </c>
      <c r="E1422" t="inlineStr">
        <is>
          <t>Coconino County</t>
        </is>
      </c>
      <c r="G1422" t="inlineStr">
        <is>
          <t>Submitted</t>
        </is>
      </c>
      <c r="H1422" t="inlineStr">
        <is>
          <t>No</t>
        </is>
      </c>
      <c r="J1422" s="96" t="n">
        <v>45875</v>
      </c>
      <c r="K1422" s="96" t="n">
        <v>45876</v>
      </c>
      <c r="M1422" t="inlineStr">
        <is>
          <t>Platform Implementation (ERP, CRMs)</t>
        </is>
      </c>
      <c r="O1422" t="inlineStr">
        <is>
          <t>Madhav Mitruka</t>
        </is>
      </c>
      <c r="Y1422" s="96" t="n">
        <v>45859</v>
      </c>
      <c r="Z1422" t="inlineStr">
        <is>
          <t>https://app.hubspot.com/contacts/243046792/record/0-3/126498542306</t>
        </is>
      </c>
    </row>
    <row r="1423">
      <c r="A1423" t="n">
        <v>1422</v>
      </c>
      <c r="B1423" t="inlineStr">
        <is>
          <t>126527003346</t>
        </is>
      </c>
      <c r="C1423" t="inlineStr">
        <is>
          <t>RFP-25-0704</t>
        </is>
      </c>
      <c r="D1423" t="inlineStr">
        <is>
          <t>Trapeze Update &amp; Server Migration</t>
        </is>
      </c>
      <c r="G1423" t="inlineStr">
        <is>
          <t>Submitted</t>
        </is>
      </c>
      <c r="H1423" t="inlineStr">
        <is>
          <t>No</t>
        </is>
      </c>
      <c r="J1423" s="96" t="n">
        <v>45880</v>
      </c>
      <c r="K1423" s="96" t="n">
        <v>45880</v>
      </c>
      <c r="M1423" t="inlineStr">
        <is>
          <t>Modernization / Migration</t>
        </is>
      </c>
      <c r="O1423" t="inlineStr">
        <is>
          <t>Madhav Mitruka</t>
        </is>
      </c>
      <c r="Y1423" s="96" t="n">
        <v>45859</v>
      </c>
      <c r="Z1423" t="inlineStr">
        <is>
          <t>https://app.hubspot.com/contacts/243046792/record/0-3/126527003346</t>
        </is>
      </c>
    </row>
    <row r="1424">
      <c r="A1424" t="n">
        <v>1423</v>
      </c>
      <c r="B1424" t="inlineStr">
        <is>
          <t>126498542317</t>
        </is>
      </c>
      <c r="C1424" t="inlineStr">
        <is>
          <t>26962</t>
        </is>
      </c>
      <c r="D1424" t="inlineStr">
        <is>
          <t>Storage Area Network (SAN) Solution RFP</t>
        </is>
      </c>
      <c r="G1424" t="inlineStr">
        <is>
          <t>Closed Lost</t>
        </is>
      </c>
      <c r="H1424" t="inlineStr">
        <is>
          <t>No</t>
        </is>
      </c>
      <c r="J1424" s="96" t="n">
        <v>45883</v>
      </c>
      <c r="O1424" t="inlineStr">
        <is>
          <t>Madhav Mitruka</t>
        </is>
      </c>
      <c r="Y1424" s="96" t="n">
        <v>45859</v>
      </c>
      <c r="Z1424" t="inlineStr">
        <is>
          <t>https://app.hubspot.com/contacts/243046792/record/0-3/126498542317</t>
        </is>
      </c>
    </row>
    <row r="1425">
      <c r="A1425" t="n">
        <v>1424</v>
      </c>
      <c r="B1425" t="inlineStr">
        <is>
          <t>126498542320</t>
        </is>
      </c>
      <c r="D1425" t="inlineStr">
        <is>
          <t>E-Rate Cybersecurity Pilot Program EDR XDR Identity Patch Mgmt</t>
        </is>
      </c>
      <c r="E1425" t="inlineStr">
        <is>
          <t>Alachua County Library District</t>
        </is>
      </c>
      <c r="G1425" t="inlineStr">
        <is>
          <t>Closed Lost</t>
        </is>
      </c>
      <c r="H1425" t="inlineStr">
        <is>
          <t>No</t>
        </is>
      </c>
      <c r="J1425" s="96" t="n">
        <v>45903</v>
      </c>
      <c r="K1425" s="96" t="n">
        <v>45889</v>
      </c>
      <c r="O1425" t="inlineStr">
        <is>
          <t>Madhav Mitruka</t>
        </is>
      </c>
      <c r="Y1425" s="96" t="n">
        <v>45859</v>
      </c>
      <c r="Z1425" t="inlineStr">
        <is>
          <t>https://app.hubspot.com/contacts/243046792/record/0-3/126498542320</t>
        </is>
      </c>
    </row>
    <row r="1426">
      <c r="A1426" t="n">
        <v>1425</v>
      </c>
      <c r="B1426" t="inlineStr">
        <is>
          <t>126587718330</t>
        </is>
      </c>
      <c r="D1426" t="inlineStr">
        <is>
          <t>Alachua County Library District - E-Rate Cybersecurity Pilot Program - Next Generation Firewall</t>
        </is>
      </c>
      <c r="E1426" t="inlineStr">
        <is>
          <t>Alachua County Library District</t>
        </is>
      </c>
      <c r="G1426" t="inlineStr">
        <is>
          <t>Closed Won</t>
        </is>
      </c>
      <c r="H1426" t="inlineStr">
        <is>
          <t>No</t>
        </is>
      </c>
      <c r="J1426" s="96" t="n">
        <v>45905</v>
      </c>
      <c r="K1426" s="96" t="n">
        <v>45890</v>
      </c>
      <c r="L1426" t="n">
        <v>73000</v>
      </c>
      <c r="M1426" t="inlineStr">
        <is>
          <t>Consulting</t>
        </is>
      </c>
      <c r="N1426" t="inlineStr">
        <is>
          <t>Portal</t>
        </is>
      </c>
      <c r="O1426" t="inlineStr">
        <is>
          <t>Yashaswini Gautam</t>
        </is>
      </c>
      <c r="U1426" s="96" t="n">
        <v>46132</v>
      </c>
      <c r="Y1426" s="96" t="n">
        <v>45859</v>
      </c>
      <c r="Z1426" t="inlineStr">
        <is>
          <t>https://app.hubspot.com/contacts/243046792/record/0-3/126587718330</t>
        </is>
      </c>
    </row>
    <row r="1427">
      <c r="A1427" t="n">
        <v>1426</v>
      </c>
      <c r="B1427" t="inlineStr">
        <is>
          <t>126590238401</t>
        </is>
      </c>
      <c r="C1427" t="inlineStr">
        <is>
          <t>RFQ #01-25</t>
        </is>
      </c>
      <c r="D1427" t="inlineStr">
        <is>
          <t>Macomb County - Microsoft 365 Migration</t>
        </is>
      </c>
      <c r="E1427" t="inlineStr">
        <is>
          <t>Macomb County</t>
        </is>
      </c>
      <c r="G1427" t="inlineStr">
        <is>
          <t>Closed Won</t>
        </is>
      </c>
      <c r="H1427" t="inlineStr">
        <is>
          <t>No</t>
        </is>
      </c>
      <c r="J1427" s="96" t="n">
        <v>45701</v>
      </c>
      <c r="K1427" s="96" t="n">
        <v>45670</v>
      </c>
      <c r="L1427" t="n">
        <v>404900</v>
      </c>
      <c r="M1427" t="inlineStr">
        <is>
          <t>Modernization / Migration</t>
        </is>
      </c>
      <c r="N1427" t="inlineStr">
        <is>
          <t>Offline</t>
        </is>
      </c>
      <c r="O1427" t="inlineStr">
        <is>
          <t>Jyothsna Nanda kishore</t>
        </is>
      </c>
      <c r="U1427" s="96" t="n">
        <v>45812</v>
      </c>
      <c r="Y1427" s="96" t="n">
        <v>45859</v>
      </c>
      <c r="Z1427" t="inlineStr">
        <is>
          <t>https://app.hubspot.com/contacts/243046792/record/0-3/126590238401</t>
        </is>
      </c>
    </row>
    <row r="1428">
      <c r="A1428" t="n">
        <v>1427</v>
      </c>
      <c r="B1428" t="inlineStr">
        <is>
          <t>126587718366</t>
        </is>
      </c>
      <c r="C1428" t="inlineStr">
        <is>
          <t>EV00000753</t>
        </is>
      </c>
      <c r="D1428" t="inlineStr">
        <is>
          <t>ESS Case Management System</t>
        </is>
      </c>
      <c r="G1428" t="inlineStr">
        <is>
          <t>Submitted</t>
        </is>
      </c>
      <c r="H1428" t="inlineStr">
        <is>
          <t>No</t>
        </is>
      </c>
      <c r="J1428" s="96" t="n">
        <v>45915</v>
      </c>
      <c r="K1428" s="96" t="n">
        <v>45898</v>
      </c>
      <c r="M1428" t="inlineStr">
        <is>
          <t>Reseller</t>
        </is>
      </c>
      <c r="N1428" t="inlineStr">
        <is>
          <t>Portal</t>
        </is>
      </c>
      <c r="O1428" t="inlineStr">
        <is>
          <t>Jyothsna Nanda kishore</t>
        </is>
      </c>
      <c r="Y1428" s="96" t="n">
        <v>45859</v>
      </c>
      <c r="Z1428" t="inlineStr">
        <is>
          <t>https://app.hubspot.com/contacts/243046792/record/0-3/126587718366</t>
        </is>
      </c>
    </row>
    <row r="1429">
      <c r="A1429" t="n">
        <v>1428</v>
      </c>
      <c r="B1429" t="inlineStr">
        <is>
          <t>126592758469</t>
        </is>
      </c>
      <c r="C1429" t="inlineStr">
        <is>
          <t>(RFQ) #T000599</t>
        </is>
      </c>
      <c r="D1429" t="inlineStr">
        <is>
          <t>New York Department of Financial Services - Data Governance Training</t>
        </is>
      </c>
      <c r="E1429" t="inlineStr">
        <is>
          <t>New York Department of Financial Services</t>
        </is>
      </c>
      <c r="G1429" t="inlineStr">
        <is>
          <t>Closed Won</t>
        </is>
      </c>
      <c r="H1429" t="inlineStr">
        <is>
          <t>No</t>
        </is>
      </c>
      <c r="J1429" s="96" t="n">
        <v>45526</v>
      </c>
      <c r="K1429" s="96" t="n">
        <v>45527</v>
      </c>
      <c r="L1429" t="n">
        <v>5800</v>
      </c>
      <c r="M1429" t="inlineStr">
        <is>
          <t>Training</t>
        </is>
      </c>
      <c r="N1429" t="inlineStr">
        <is>
          <t>Email</t>
        </is>
      </c>
      <c r="O1429" t="inlineStr">
        <is>
          <t>Jyothsna Nanda kishore</t>
        </is>
      </c>
      <c r="U1429" s="96" t="n">
        <v>45663</v>
      </c>
      <c r="Y1429" s="96" t="n">
        <v>45859</v>
      </c>
      <c r="Z1429" t="inlineStr">
        <is>
          <t>https://app.hubspot.com/contacts/243046792/record/0-3/126592758469</t>
        </is>
      </c>
    </row>
    <row r="1430">
      <c r="A1430" t="n">
        <v>1429</v>
      </c>
      <c r="B1430" t="inlineStr">
        <is>
          <t>126595997432</t>
        </is>
      </c>
      <c r="C1430" t="inlineStr">
        <is>
          <t>0000036170</t>
        </is>
      </c>
      <c r="D1430" t="inlineStr">
        <is>
          <t>Oracle Linux Support</t>
        </is>
      </c>
      <c r="E1430" t="inlineStr">
        <is>
          <t>California Housing &amp; Community Development [CA]</t>
        </is>
      </c>
      <c r="G1430" t="inlineStr">
        <is>
          <t>Submitted</t>
        </is>
      </c>
      <c r="H1430" t="inlineStr">
        <is>
          <t>No</t>
        </is>
      </c>
      <c r="J1430" s="96" t="n">
        <v>45870</v>
      </c>
      <c r="N1430" t="inlineStr">
        <is>
          <t>Email</t>
        </is>
      </c>
      <c r="O1430" t="inlineStr">
        <is>
          <t>Madhav Mitruka</t>
        </is>
      </c>
      <c r="Y1430" s="96" t="n">
        <v>45859</v>
      </c>
      <c r="Z1430" t="inlineStr">
        <is>
          <t>https://app.hubspot.com/contacts/243046792/record/0-3/126595997432</t>
        </is>
      </c>
    </row>
    <row r="1431">
      <c r="A1431" t="n">
        <v>1430</v>
      </c>
      <c r="B1431" t="inlineStr">
        <is>
          <t>126595998395</t>
        </is>
      </c>
      <c r="C1431" t="inlineStr">
        <is>
          <t>DOR RFP 24/25-59</t>
        </is>
      </c>
      <c r="D1431" t="inlineStr">
        <is>
          <t>Florida Department of Revenue - SAP License Analysis</t>
        </is>
      </c>
      <c r="E1431" t="inlineStr">
        <is>
          <t>Florida Department of Revenue</t>
        </is>
      </c>
      <c r="F1431" t="inlineStr">
        <is>
          <t>Florida</t>
        </is>
      </c>
      <c r="G1431" t="inlineStr">
        <is>
          <t>Closed Won</t>
        </is>
      </c>
      <c r="H1431" t="inlineStr">
        <is>
          <t>No</t>
        </is>
      </c>
      <c r="J1431" s="96" t="n">
        <v>45761</v>
      </c>
      <c r="K1431" s="96" t="n">
        <v>45761</v>
      </c>
      <c r="L1431" t="n">
        <v>58800</v>
      </c>
      <c r="M1431" t="inlineStr">
        <is>
          <t>Audits and Assessment</t>
        </is>
      </c>
      <c r="N1431" t="inlineStr">
        <is>
          <t>Offline</t>
        </is>
      </c>
      <c r="O1431" t="inlineStr">
        <is>
          <t>Jyothsna Nanda kishore</t>
        </is>
      </c>
      <c r="U1431" s="96" t="n">
        <v>45817</v>
      </c>
      <c r="Y1431" s="96" t="n">
        <v>45859</v>
      </c>
      <c r="Z1431" t="inlineStr">
        <is>
          <t>https://app.hubspot.com/contacts/243046792/record/0-3/126595998395</t>
        </is>
      </c>
    </row>
    <row r="1432">
      <c r="A1432" t="n">
        <v>1431</v>
      </c>
      <c r="B1432" t="inlineStr">
        <is>
          <t>126600317675</t>
        </is>
      </c>
      <c r="C1432" t="inlineStr">
        <is>
          <t>RFP S24262</t>
        </is>
      </c>
      <c r="D1432" t="inlineStr">
        <is>
          <t>SCVTA - Employee Application</t>
        </is>
      </c>
      <c r="E1432" t="inlineStr">
        <is>
          <t>Santa Clara Valley Transportation Authority</t>
        </is>
      </c>
      <c r="F1432" t="inlineStr">
        <is>
          <t>California</t>
        </is>
      </c>
      <c r="G1432" t="inlineStr">
        <is>
          <t>Closed Won</t>
        </is>
      </c>
      <c r="H1432" t="inlineStr">
        <is>
          <t>No</t>
        </is>
      </c>
      <c r="J1432" s="96" t="n">
        <v>45729</v>
      </c>
      <c r="K1432" s="96" t="n">
        <v>45761</v>
      </c>
      <c r="L1432" t="n">
        <v>140000</v>
      </c>
      <c r="M1432" t="inlineStr">
        <is>
          <t>Custom development</t>
        </is>
      </c>
      <c r="N1432" t="inlineStr">
        <is>
          <t>Portal</t>
        </is>
      </c>
      <c r="O1432" t="inlineStr">
        <is>
          <t>Jyothsna Nanda kishore</t>
        </is>
      </c>
      <c r="U1432" s="96" t="n">
        <v>45902</v>
      </c>
      <c r="Y1432" s="96" t="n">
        <v>45859</v>
      </c>
      <c r="Z1432" t="inlineStr">
        <is>
          <t>https://app.hubspot.com/contacts/243046792/record/0-3/126600317675</t>
        </is>
      </c>
    </row>
    <row r="1433">
      <c r="A1433" t="n">
        <v>1432</v>
      </c>
      <c r="B1433" t="inlineStr">
        <is>
          <t>126595998425</t>
        </is>
      </c>
      <c r="C1433" t="inlineStr">
        <is>
          <t>95635455</t>
        </is>
      </c>
      <c r="D1433" t="inlineStr">
        <is>
          <t>Cybersecurity Pilot Program - Gulfport School District</t>
        </is>
      </c>
      <c r="E1433" t="inlineStr">
        <is>
          <t>Gulfport School District [MS]</t>
        </is>
      </c>
      <c r="G1433" t="inlineStr">
        <is>
          <t>Submitted</t>
        </is>
      </c>
      <c r="H1433" t="inlineStr">
        <is>
          <t>No</t>
        </is>
      </c>
      <c r="J1433" s="96" t="n">
        <v>45884</v>
      </c>
      <c r="K1433" s="96" t="n">
        <v>45887</v>
      </c>
      <c r="N1433" t="inlineStr">
        <is>
          <t>Portal</t>
        </is>
      </c>
      <c r="O1433" t="inlineStr">
        <is>
          <t>Madhav Mitruka</t>
        </is>
      </c>
      <c r="Y1433" s="96" t="n">
        <v>45859</v>
      </c>
      <c r="Z1433" t="inlineStr">
        <is>
          <t>https://app.hubspot.com/contacts/243046792/record/0-3/126595998425</t>
        </is>
      </c>
    </row>
    <row r="1434">
      <c r="A1434" t="n">
        <v>1433</v>
      </c>
      <c r="B1434" t="inlineStr">
        <is>
          <t>126720942794</t>
        </is>
      </c>
      <c r="C1434" t="inlineStr">
        <is>
          <t>Bid E-RFP #25-106</t>
        </is>
      </c>
      <c r="D1434" t="inlineStr">
        <is>
          <t>Property Tax System</t>
        </is>
      </c>
      <c r="G1434" t="inlineStr">
        <is>
          <t>Closed Lost</t>
        </is>
      </c>
      <c r="H1434" t="inlineStr">
        <is>
          <t>No</t>
        </is>
      </c>
      <c r="J1434" s="96" t="n">
        <v>45869</v>
      </c>
      <c r="O1434" t="inlineStr">
        <is>
          <t>Madhav Mitruka</t>
        </is>
      </c>
      <c r="Y1434" s="96" t="n">
        <v>45859</v>
      </c>
      <c r="Z1434" t="inlineStr">
        <is>
          <t>https://app.hubspot.com/contacts/243046792/record/0-3/126720942794</t>
        </is>
      </c>
    </row>
    <row r="1435">
      <c r="A1435" t="n">
        <v>1434</v>
      </c>
      <c r="B1435" t="inlineStr">
        <is>
          <t>126901051067</t>
        </is>
      </c>
      <c r="D1435" t="inlineStr">
        <is>
          <t>IFB Palo Alto Networks 3440 and AIOps</t>
        </is>
      </c>
      <c r="G1435" t="inlineStr">
        <is>
          <t>Closed Lost</t>
        </is>
      </c>
      <c r="H1435" t="inlineStr">
        <is>
          <t>No</t>
        </is>
      </c>
      <c r="J1435" s="96" t="n">
        <v>45874</v>
      </c>
      <c r="K1435" s="96" t="n">
        <v>45859</v>
      </c>
      <c r="L1435" t="n">
        <v>158730</v>
      </c>
      <c r="O1435" t="inlineStr">
        <is>
          <t>Madhav Mitruka</t>
        </is>
      </c>
      <c r="Y1435" s="96" t="n">
        <v>45859</v>
      </c>
      <c r="Z1435" t="inlineStr">
        <is>
          <t>https://app.hubspot.com/contacts/243046792/record/0-3/126901051067</t>
        </is>
      </c>
    </row>
    <row r="1436">
      <c r="A1436" t="n">
        <v>1435</v>
      </c>
      <c r="B1436" t="inlineStr">
        <is>
          <t>127445849824</t>
        </is>
      </c>
      <c r="C1436" t="inlineStr">
        <is>
          <t>95476725R2354</t>
        </is>
      </c>
      <c r="D1436" t="inlineStr">
        <is>
          <t>USHMM - PeopleSoft Discovery and Documentation</t>
        </is>
      </c>
      <c r="E1436" t="inlineStr">
        <is>
          <t>United States Holocaust Memorial Museum</t>
        </is>
      </c>
      <c r="G1436" t="inlineStr">
        <is>
          <t>Closed Lost</t>
        </is>
      </c>
      <c r="H1436" t="inlineStr">
        <is>
          <t>No</t>
        </is>
      </c>
      <c r="J1436" s="96" t="n">
        <v>45911</v>
      </c>
      <c r="K1436" s="96" t="n">
        <v>45826</v>
      </c>
      <c r="L1436" t="n">
        <v>396000</v>
      </c>
      <c r="M1436" t="inlineStr">
        <is>
          <t>Consulting</t>
        </is>
      </c>
      <c r="N1436" t="inlineStr">
        <is>
          <t>Email</t>
        </is>
      </c>
      <c r="O1436" t="inlineStr">
        <is>
          <t>Jyothsna Nanda kishore</t>
        </is>
      </c>
      <c r="Y1436" s="96" t="n">
        <v>45860</v>
      </c>
      <c r="Z1436" t="inlineStr">
        <is>
          <t>https://app.hubspot.com/contacts/243046792/record/0-3/127445849824</t>
        </is>
      </c>
    </row>
    <row r="1437">
      <c r="A1437" t="n">
        <v>1436</v>
      </c>
      <c r="B1437" t="inlineStr">
        <is>
          <t>127463995080</t>
        </is>
      </c>
      <c r="D1437" t="inlineStr">
        <is>
          <t>IT Program Management Office Services</t>
        </is>
      </c>
      <c r="E1437" t="inlineStr">
        <is>
          <t>Irvine Ranch Water District</t>
        </is>
      </c>
      <c r="G1437" t="inlineStr">
        <is>
          <t>Closed Lost</t>
        </is>
      </c>
      <c r="H1437" t="inlineStr">
        <is>
          <t>No</t>
        </is>
      </c>
      <c r="J1437" s="96" t="n">
        <v>45922</v>
      </c>
      <c r="K1437" s="96" t="n">
        <v>45869</v>
      </c>
      <c r="L1437" t="n">
        <v>479750</v>
      </c>
      <c r="N1437" t="inlineStr">
        <is>
          <t>Email</t>
        </is>
      </c>
      <c r="O1437" t="inlineStr">
        <is>
          <t>Jyothsna Nanda kishore</t>
        </is>
      </c>
      <c r="Y1437" s="96" t="n">
        <v>45860</v>
      </c>
      <c r="Z1437" t="inlineStr">
        <is>
          <t>https://app.hubspot.com/contacts/243046792/record/0-3/127463995080</t>
        </is>
      </c>
    </row>
    <row r="1438">
      <c r="A1438" t="n">
        <v>1437</v>
      </c>
      <c r="B1438" t="inlineStr">
        <is>
          <t>127482749655</t>
        </is>
      </c>
      <c r="C1438" t="inlineStr">
        <is>
          <t>75H70725Q00122</t>
        </is>
      </c>
      <c r="D1438" t="inlineStr">
        <is>
          <t>MSU Information Technology Specialist Services</t>
        </is>
      </c>
      <c r="E1438" t="inlineStr">
        <is>
          <t>Albuquerque Indian Health Service</t>
        </is>
      </c>
      <c r="G1438" t="inlineStr">
        <is>
          <t>Closed Lost</t>
        </is>
      </c>
      <c r="H1438" t="inlineStr">
        <is>
          <t>No</t>
        </is>
      </c>
      <c r="J1438" s="96" t="n">
        <v>45912</v>
      </c>
      <c r="K1438" s="96" t="n">
        <v>45860</v>
      </c>
      <c r="O1438" t="inlineStr">
        <is>
          <t>Madhav Mitruka</t>
        </is>
      </c>
      <c r="Y1438" s="96" t="n">
        <v>45861</v>
      </c>
      <c r="Z1438" t="inlineStr">
        <is>
          <t>https://app.hubspot.com/contacts/243046792/record/0-3/127482749655</t>
        </is>
      </c>
    </row>
    <row r="1439">
      <c r="A1439" t="n">
        <v>1438</v>
      </c>
      <c r="B1439" t="inlineStr">
        <is>
          <t>127590445777</t>
        </is>
      </c>
      <c r="D1439" t="inlineStr">
        <is>
          <t>State of South Dakota Department of Social Services - Temporary Professional Staff Services 2</t>
        </is>
      </c>
      <c r="E1439" t="inlineStr">
        <is>
          <t>State of South Dakota Department of Social Services</t>
        </is>
      </c>
      <c r="G1439" t="inlineStr">
        <is>
          <t>Closed Won</t>
        </is>
      </c>
      <c r="H1439" t="inlineStr">
        <is>
          <t>No</t>
        </is>
      </c>
      <c r="J1439" s="96" t="n">
        <v>45729</v>
      </c>
      <c r="K1439" s="96" t="n">
        <v>45729</v>
      </c>
      <c r="M1439" t="inlineStr">
        <is>
          <t>Staff Augmentation</t>
        </is>
      </c>
      <c r="N1439" t="inlineStr">
        <is>
          <t>Email</t>
        </is>
      </c>
      <c r="O1439" t="inlineStr">
        <is>
          <t>Madhav Mitruka</t>
        </is>
      </c>
      <c r="U1439" s="96" t="n">
        <v>45846</v>
      </c>
      <c r="Y1439" s="96" t="n">
        <v>45861</v>
      </c>
      <c r="Z1439" t="inlineStr">
        <is>
          <t>https://app.hubspot.com/contacts/243046792/record/0-3/127590445777</t>
        </is>
      </c>
    </row>
    <row r="1440">
      <c r="A1440" t="n">
        <v>1439</v>
      </c>
      <c r="B1440" t="inlineStr">
        <is>
          <t>127590445789</t>
        </is>
      </c>
      <c r="D1440" t="inlineStr">
        <is>
          <t>State of Vermont (Department of Buildings and General Services) - Retainer Contract Opportunity for Information Technology (IT) Services</t>
        </is>
      </c>
      <c r="E1440" t="inlineStr">
        <is>
          <t>State of Vermont (Department of Buildings and General Services)</t>
        </is>
      </c>
      <c r="F1440" t="inlineStr">
        <is>
          <t>Vermont</t>
        </is>
      </c>
      <c r="G1440" t="inlineStr">
        <is>
          <t>Closed Won</t>
        </is>
      </c>
      <c r="H1440" t="inlineStr">
        <is>
          <t>No</t>
        </is>
      </c>
      <c r="J1440" s="96" t="n">
        <v>45807</v>
      </c>
      <c r="K1440" s="96" t="n">
        <v>45806</v>
      </c>
      <c r="M1440" t="inlineStr">
        <is>
          <t>Staff Augmentation</t>
        </is>
      </c>
      <c r="O1440" t="inlineStr">
        <is>
          <t>Madhav Mitruka</t>
        </is>
      </c>
      <c r="U1440" s="96" t="n">
        <v>46043</v>
      </c>
      <c r="Y1440" s="96" t="n">
        <v>45861</v>
      </c>
      <c r="Z1440" t="inlineStr">
        <is>
          <t>https://app.hubspot.com/contacts/243046792/record/0-3/127590445789</t>
        </is>
      </c>
    </row>
    <row r="1441">
      <c r="A1441" t="n">
        <v>1440</v>
      </c>
      <c r="B1441" t="inlineStr">
        <is>
          <t>127590445803</t>
        </is>
      </c>
      <c r="D1441" t="inlineStr">
        <is>
          <t>Roswell Park Comprehensive Cancer Centre - IT Staffing and Professional Services</t>
        </is>
      </c>
      <c r="E1441" t="inlineStr">
        <is>
          <t>Roswell Park Comprehensive Cancer Centre</t>
        </is>
      </c>
      <c r="G1441" t="inlineStr">
        <is>
          <t>Closed Won</t>
        </is>
      </c>
      <c r="H1441" t="inlineStr">
        <is>
          <t>No</t>
        </is>
      </c>
      <c r="J1441" s="96" t="n">
        <v>45469</v>
      </c>
      <c r="K1441" s="96" t="n">
        <v>45485</v>
      </c>
      <c r="M1441" t="inlineStr">
        <is>
          <t>Consulting;Staff Augmentation</t>
        </is>
      </c>
      <c r="O1441" t="inlineStr">
        <is>
          <t>Madhav Mitruka</t>
        </is>
      </c>
      <c r="U1441" s="96" t="n">
        <v>45706</v>
      </c>
      <c r="Y1441" s="96" t="n">
        <v>45861</v>
      </c>
      <c r="Z1441" t="inlineStr">
        <is>
          <t>https://app.hubspot.com/contacts/243046792/record/0-3/127590445803</t>
        </is>
      </c>
    </row>
    <row r="1442">
      <c r="A1442" t="n">
        <v>1441</v>
      </c>
      <c r="B1442" t="inlineStr">
        <is>
          <t>127482750660</t>
        </is>
      </c>
      <c r="D1442" t="inlineStr">
        <is>
          <t>Metropolitan Water District of Southern California - ON-CALL INFORMATION TECHNOLOGY (IT) QUALITY ASSURANCE AND CONTROL, PROJECT MANAGEMENT, AND BUSINESS ANALYSIS SUPPORT SERVICES (RFQ-MN-1395)</t>
        </is>
      </c>
      <c r="E1442" t="inlineStr">
        <is>
          <t>Metropolitan Water District of Southern California</t>
        </is>
      </c>
      <c r="F1442" t="inlineStr">
        <is>
          <t>California</t>
        </is>
      </c>
      <c r="G1442" t="inlineStr">
        <is>
          <t>Closed Won</t>
        </is>
      </c>
      <c r="H1442" t="inlineStr">
        <is>
          <t>No</t>
        </is>
      </c>
      <c r="J1442" s="96" t="n">
        <v>45755</v>
      </c>
      <c r="K1442" s="96" t="n">
        <v>45755</v>
      </c>
      <c r="M1442" t="inlineStr">
        <is>
          <t>Staff Augmentation</t>
        </is>
      </c>
      <c r="N1442" t="inlineStr">
        <is>
          <t>Portal</t>
        </is>
      </c>
      <c r="O1442" t="inlineStr">
        <is>
          <t>Madhav Mitruka</t>
        </is>
      </c>
      <c r="U1442" s="96" t="n">
        <v>45860</v>
      </c>
      <c r="Y1442" s="96" t="n">
        <v>45861</v>
      </c>
      <c r="Z1442" t="inlineStr">
        <is>
          <t>https://app.hubspot.com/contacts/243046792/record/0-3/127482750660</t>
        </is>
      </c>
    </row>
    <row r="1443">
      <c r="A1443" t="n">
        <v>1442</v>
      </c>
      <c r="B1443" t="inlineStr">
        <is>
          <t>127482758902</t>
        </is>
      </c>
      <c r="D1443" t="inlineStr">
        <is>
          <t>IT SERVICES PROVIDER</t>
        </is>
      </c>
      <c r="E1443" t="inlineStr">
        <is>
          <t>Renaissance Academy</t>
        </is>
      </c>
      <c r="G1443" t="inlineStr">
        <is>
          <t>Closed Lost</t>
        </is>
      </c>
      <c r="H1443" t="inlineStr">
        <is>
          <t>No</t>
        </is>
      </c>
      <c r="J1443" s="96" t="n">
        <v>45912</v>
      </c>
      <c r="K1443" s="96" t="n">
        <v>45868</v>
      </c>
      <c r="N1443" t="inlineStr">
        <is>
          <t>Email</t>
        </is>
      </c>
      <c r="O1443" t="inlineStr">
        <is>
          <t>Madhav Mitruka</t>
        </is>
      </c>
      <c r="Y1443" s="96" t="n">
        <v>45861</v>
      </c>
      <c r="Z1443" t="inlineStr">
        <is>
          <t>https://app.hubspot.com/contacts/243046792/record/0-3/127482758902</t>
        </is>
      </c>
    </row>
    <row r="1444">
      <c r="A1444" t="n">
        <v>1443</v>
      </c>
      <c r="B1444" t="inlineStr">
        <is>
          <t>127642198715</t>
        </is>
      </c>
      <c r="D1444" t="inlineStr">
        <is>
          <t>AVRA-SAS Cloud Migration Phase II</t>
        </is>
      </c>
      <c r="E1444" t="inlineStr">
        <is>
          <t>Vandenberg Space Force Base (VSFB)</t>
        </is>
      </c>
      <c r="G1444" t="inlineStr">
        <is>
          <t>Submitted</t>
        </is>
      </c>
      <c r="H1444" t="inlineStr">
        <is>
          <t>No</t>
        </is>
      </c>
      <c r="J1444" s="96" t="n">
        <v>45862</v>
      </c>
      <c r="K1444" s="96" t="n">
        <v>45861</v>
      </c>
      <c r="N1444" t="inlineStr">
        <is>
          <t>Email</t>
        </is>
      </c>
      <c r="O1444" t="inlineStr">
        <is>
          <t>Madhav Mitruka</t>
        </is>
      </c>
      <c r="Y1444" s="96" t="n">
        <v>45861</v>
      </c>
      <c r="Z1444" t="inlineStr">
        <is>
          <t>https://app.hubspot.com/contacts/243046792/record/0-3/127642198715</t>
        </is>
      </c>
    </row>
    <row r="1445">
      <c r="A1445" t="n">
        <v>1444</v>
      </c>
      <c r="B1445" t="inlineStr">
        <is>
          <t>127482765027</t>
        </is>
      </c>
      <c r="C1445" t="inlineStr">
        <is>
          <t>SW1025</t>
        </is>
      </c>
      <c r="D1445" t="inlineStr">
        <is>
          <t>Office of Management &amp; Enterprise Services - IT Staffing</t>
        </is>
      </c>
      <c r="E1445" t="inlineStr">
        <is>
          <t>Office of Management &amp; Enterprise Services</t>
        </is>
      </c>
      <c r="G1445" t="inlineStr">
        <is>
          <t>Closed Won</t>
        </is>
      </c>
      <c r="H1445" t="inlineStr">
        <is>
          <t>No</t>
        </is>
      </c>
      <c r="J1445" s="96" t="n">
        <v>45596</v>
      </c>
      <c r="K1445" s="96" t="n">
        <v>45596</v>
      </c>
      <c r="M1445" t="inlineStr">
        <is>
          <t>Staff Augmentation</t>
        </is>
      </c>
      <c r="N1445" t="inlineStr">
        <is>
          <t>Portal</t>
        </is>
      </c>
      <c r="O1445" t="inlineStr">
        <is>
          <t>Jyothsna Nanda kishore</t>
        </is>
      </c>
      <c r="Y1445" s="96" t="n">
        <v>45861</v>
      </c>
      <c r="Z1445" t="inlineStr">
        <is>
          <t>https://app.hubspot.com/contacts/243046792/record/0-3/127482765027</t>
        </is>
      </c>
    </row>
    <row r="1446">
      <c r="A1446" t="n">
        <v>1445</v>
      </c>
      <c r="B1446" t="inlineStr">
        <is>
          <t>127482766020</t>
        </is>
      </c>
      <c r="D1446" t="inlineStr">
        <is>
          <t>San Mateo County - Contingency Health IT Staffing</t>
        </is>
      </c>
      <c r="E1446" t="inlineStr">
        <is>
          <t>County of San Mateo</t>
        </is>
      </c>
      <c r="F1446" t="inlineStr">
        <is>
          <t>California</t>
        </is>
      </c>
      <c r="G1446" t="inlineStr">
        <is>
          <t>Closed Won</t>
        </is>
      </c>
      <c r="H1446" t="inlineStr">
        <is>
          <t>No</t>
        </is>
      </c>
      <c r="J1446" s="96" t="n">
        <v>45719</v>
      </c>
      <c r="K1446" s="96" t="n">
        <v>45716</v>
      </c>
      <c r="M1446" t="inlineStr">
        <is>
          <t>Staff Augmentation</t>
        </is>
      </c>
      <c r="N1446" t="inlineStr">
        <is>
          <t>Portal</t>
        </is>
      </c>
      <c r="O1446" t="inlineStr">
        <is>
          <t>Arshdeep Kaur</t>
        </is>
      </c>
      <c r="U1446" s="96" t="n">
        <v>45797</v>
      </c>
      <c r="Y1446" s="96" t="n">
        <v>45861</v>
      </c>
      <c r="Z1446" t="inlineStr">
        <is>
          <t>https://app.hubspot.com/contacts/243046792/record/0-3/127482766020</t>
        </is>
      </c>
    </row>
    <row r="1447">
      <c r="A1447" t="n">
        <v>1446</v>
      </c>
      <c r="B1447" t="inlineStr">
        <is>
          <t>127677476588</t>
        </is>
      </c>
      <c r="C1447" t="inlineStr">
        <is>
          <t>23-030</t>
        </is>
      </c>
      <c r="D1447" t="inlineStr">
        <is>
          <t>San Antonio Independent School District - Miscellaneous Consultant Services</t>
        </is>
      </c>
      <c r="E1447" t="inlineStr">
        <is>
          <t>San Antonio Independent School District</t>
        </is>
      </c>
      <c r="G1447" t="inlineStr">
        <is>
          <t>Closed Won</t>
        </is>
      </c>
      <c r="H1447" t="inlineStr">
        <is>
          <t>No</t>
        </is>
      </c>
      <c r="J1447" s="96" t="n">
        <v>45838</v>
      </c>
      <c r="K1447" s="96" t="n">
        <v>45838</v>
      </c>
      <c r="M1447" t="inlineStr">
        <is>
          <t>Staff Augmentation</t>
        </is>
      </c>
      <c r="N1447" t="inlineStr">
        <is>
          <t>Portal</t>
        </is>
      </c>
      <c r="O1447" t="inlineStr">
        <is>
          <t>Jyothsna Nanda kishore</t>
        </is>
      </c>
      <c r="U1447" s="96" t="n">
        <v>45849</v>
      </c>
      <c r="Y1447" s="96" t="n">
        <v>45861</v>
      </c>
      <c r="Z1447" t="inlineStr">
        <is>
          <t>https://app.hubspot.com/contacts/243046792/record/0-3/127677476588</t>
        </is>
      </c>
    </row>
    <row r="1448">
      <c r="A1448" t="n">
        <v>1447</v>
      </c>
      <c r="B1448" t="inlineStr">
        <is>
          <t>127685792505</t>
        </is>
      </c>
      <c r="C1448" t="inlineStr">
        <is>
          <t>EVT00010112</t>
        </is>
      </c>
      <c r="D1448" t="inlineStr">
        <is>
          <t>Kansas Dept. of Administration - Temporary Staffing Services</t>
        </is>
      </c>
      <c r="E1448" t="inlineStr">
        <is>
          <t xml:space="preserve">Kansas Department of Administration </t>
        </is>
      </c>
      <c r="G1448" t="inlineStr">
        <is>
          <t>Closed Won</t>
        </is>
      </c>
      <c r="H1448" t="inlineStr">
        <is>
          <t>No</t>
        </is>
      </c>
      <c r="J1448" s="96" t="n">
        <v>45737</v>
      </c>
      <c r="K1448" s="96" t="n">
        <v>45737</v>
      </c>
      <c r="M1448" t="inlineStr">
        <is>
          <t>Staff Augmentation</t>
        </is>
      </c>
      <c r="O1448" t="inlineStr">
        <is>
          <t>Arshdeep Kaur</t>
        </is>
      </c>
      <c r="U1448" s="96" t="n">
        <v>45772</v>
      </c>
      <c r="Y1448" s="96" t="n">
        <v>45861</v>
      </c>
      <c r="Z1448" t="inlineStr">
        <is>
          <t>https://app.hubspot.com/contacts/243046792/record/0-3/127685792505</t>
        </is>
      </c>
    </row>
    <row r="1449">
      <c r="A1449" t="n">
        <v>1448</v>
      </c>
      <c r="B1449" t="inlineStr">
        <is>
          <t>127678196421</t>
        </is>
      </c>
      <c r="C1449" t="inlineStr">
        <is>
          <t>RFQ 24 - 00332</t>
        </is>
      </c>
      <c r="D1449" t="inlineStr">
        <is>
          <t>HRT - Workday HCM Staffing Services</t>
        </is>
      </c>
      <c r="E1449" t="inlineStr">
        <is>
          <t>Hampton Roads Transit</t>
        </is>
      </c>
      <c r="F1449" t="inlineStr">
        <is>
          <t>Virginia</t>
        </is>
      </c>
      <c r="G1449" t="inlineStr">
        <is>
          <t>Closed Won</t>
        </is>
      </c>
      <c r="H1449" t="inlineStr">
        <is>
          <t>No</t>
        </is>
      </c>
      <c r="J1449" s="96" t="n">
        <v>45685</v>
      </c>
      <c r="L1449" t="n">
        <v>10000</v>
      </c>
      <c r="M1449" t="inlineStr">
        <is>
          <t>Staff Augmentation</t>
        </is>
      </c>
      <c r="O1449" t="inlineStr">
        <is>
          <t>Arshdeep Kaur</t>
        </is>
      </c>
      <c r="U1449" s="96" t="n">
        <v>45715</v>
      </c>
      <c r="Y1449" s="96" t="n">
        <v>45861</v>
      </c>
      <c r="Z1449" t="inlineStr">
        <is>
          <t>https://app.hubspot.com/contacts/243046792/record/0-3/127678196421</t>
        </is>
      </c>
    </row>
    <row r="1450">
      <c r="A1450" t="n">
        <v>1449</v>
      </c>
      <c r="B1450" t="inlineStr">
        <is>
          <t>127482767062</t>
        </is>
      </c>
      <c r="C1450" t="inlineStr">
        <is>
          <t>2024-013</t>
        </is>
      </c>
      <c r="D1450" t="inlineStr">
        <is>
          <t>Marin Housing Authority- Managed IT Services, CIO and Cybersecurity Services</t>
        </is>
      </c>
      <c r="E1450" t="inlineStr">
        <is>
          <t>Marin Housing Authority</t>
        </is>
      </c>
      <c r="F1450" t="inlineStr">
        <is>
          <t>California</t>
        </is>
      </c>
      <c r="G1450" t="inlineStr">
        <is>
          <t>Closed Won</t>
        </is>
      </c>
      <c r="H1450" t="inlineStr">
        <is>
          <t>No</t>
        </is>
      </c>
      <c r="J1450" s="96" t="n">
        <v>45632</v>
      </c>
      <c r="K1450" s="96" t="n">
        <v>45632</v>
      </c>
      <c r="L1450" t="n">
        <v>838500</v>
      </c>
      <c r="M1450" t="inlineStr">
        <is>
          <t>Managed Services (MSP)</t>
        </is>
      </c>
      <c r="N1450" t="inlineStr">
        <is>
          <t>Portal</t>
        </is>
      </c>
      <c r="O1450" t="inlineStr">
        <is>
          <t>Jyothsna Nanda kishore</t>
        </is>
      </c>
      <c r="U1450" s="96" t="n">
        <v>45661</v>
      </c>
      <c r="Y1450" s="96" t="n">
        <v>45861</v>
      </c>
      <c r="Z1450" t="inlineStr">
        <is>
          <t>https://app.hubspot.com/contacts/243046792/record/0-3/127482767062</t>
        </is>
      </c>
    </row>
    <row r="1451">
      <c r="A1451" t="n">
        <v>1450</v>
      </c>
      <c r="B1451" t="inlineStr">
        <is>
          <t>127678196440</t>
        </is>
      </c>
      <c r="D1451" t="inlineStr">
        <is>
          <t>MINNESOTA JUDICIAL BRANCH - IT Technical/infrastructure Services, Information Technology Application Development And Support Services &amp; Data Science And Machine Learning Services</t>
        </is>
      </c>
      <c r="E1451" t="inlineStr">
        <is>
          <t>Minnesota Judicial Branch</t>
        </is>
      </c>
      <c r="F1451" t="inlineStr">
        <is>
          <t>Minnesota</t>
        </is>
      </c>
      <c r="G1451" t="inlineStr">
        <is>
          <t>Closed Won</t>
        </is>
      </c>
      <c r="H1451" t="inlineStr">
        <is>
          <t>No</t>
        </is>
      </c>
      <c r="J1451" s="96" t="n">
        <v>45776</v>
      </c>
      <c r="M1451" t="inlineStr">
        <is>
          <t>Staff Augmentation</t>
        </is>
      </c>
      <c r="O1451" t="inlineStr">
        <is>
          <t>Arshdeep Kaur</t>
        </is>
      </c>
      <c r="U1451" s="96" t="n">
        <v>45896</v>
      </c>
      <c r="Y1451" s="96" t="n">
        <v>45861</v>
      </c>
      <c r="Z1451" t="inlineStr">
        <is>
          <t>https://app.hubspot.com/contacts/243046792/record/0-3/127678196440</t>
        </is>
      </c>
    </row>
    <row r="1452">
      <c r="A1452" t="n">
        <v>1451</v>
      </c>
      <c r="B1452" t="inlineStr">
        <is>
          <t>127482769082</t>
        </is>
      </c>
      <c r="D1452" t="inlineStr">
        <is>
          <t>Ohio Department of Natural Resources- H2O PROJECT MANAGEMENTTASK TACKING TOOLENHANCEMENTS-SALESFORCE DEVELOPER</t>
        </is>
      </c>
      <c r="E1452" t="inlineStr">
        <is>
          <t>Ohio Department of Natural Resources</t>
        </is>
      </c>
      <c r="F1452" t="inlineStr">
        <is>
          <t>Ohio</t>
        </is>
      </c>
      <c r="G1452" t="inlineStr">
        <is>
          <t>Closed Won</t>
        </is>
      </c>
      <c r="H1452" t="inlineStr">
        <is>
          <t>No</t>
        </is>
      </c>
      <c r="J1452" s="96" t="n">
        <v>45747</v>
      </c>
      <c r="K1452" s="96" t="n">
        <v>45747</v>
      </c>
      <c r="L1452" t="n">
        <v>11275</v>
      </c>
      <c r="M1452" t="inlineStr">
        <is>
          <t>Platform Implementation (ERP, CRMs)</t>
        </is>
      </c>
      <c r="N1452" t="inlineStr">
        <is>
          <t>Portal</t>
        </is>
      </c>
      <c r="O1452" t="inlineStr">
        <is>
          <t>Jyothsna Nanda kishore</t>
        </is>
      </c>
      <c r="U1452" s="96" t="n">
        <v>45764</v>
      </c>
      <c r="Y1452" s="96" t="n">
        <v>45861</v>
      </c>
      <c r="Z1452" t="inlineStr">
        <is>
          <t>https://app.hubspot.com/contacts/243046792/record/0-3/127482769082</t>
        </is>
      </c>
    </row>
    <row r="1453">
      <c r="A1453" t="n">
        <v>1452</v>
      </c>
      <c r="B1453" t="inlineStr">
        <is>
          <t>127690112742</t>
        </is>
      </c>
      <c r="D1453" t="inlineStr">
        <is>
          <t>Illinois Department of Public Health- Data Literacy Training</t>
        </is>
      </c>
      <c r="E1453" t="inlineStr">
        <is>
          <t>Illinois Department of Public Health</t>
        </is>
      </c>
      <c r="G1453" t="inlineStr">
        <is>
          <t>Closed Won</t>
        </is>
      </c>
      <c r="H1453" t="inlineStr">
        <is>
          <t>No</t>
        </is>
      </c>
      <c r="J1453" s="96" t="n">
        <v>45743</v>
      </c>
      <c r="K1453" s="96" t="n">
        <v>45743</v>
      </c>
      <c r="L1453" t="n">
        <v>18499</v>
      </c>
      <c r="M1453" t="inlineStr">
        <is>
          <t>Training</t>
        </is>
      </c>
      <c r="N1453" t="inlineStr">
        <is>
          <t>Portal</t>
        </is>
      </c>
      <c r="O1453" t="inlineStr">
        <is>
          <t>Jyothsna Nanda kishore</t>
        </is>
      </c>
      <c r="U1453" s="96" t="n">
        <v>45868</v>
      </c>
      <c r="Y1453" s="96" t="n">
        <v>45861</v>
      </c>
      <c r="Z1453" t="inlineStr">
        <is>
          <t>https://app.hubspot.com/contacts/243046792/record/0-3/127690112742</t>
        </is>
      </c>
    </row>
    <row r="1454">
      <c r="A1454" t="n">
        <v>1453</v>
      </c>
      <c r="B1454" t="inlineStr">
        <is>
          <t>127690113725</t>
        </is>
      </c>
      <c r="D1454" t="inlineStr">
        <is>
          <t>Software Development Services</t>
        </is>
      </c>
      <c r="E1454" t="inlineStr">
        <is>
          <t>University of Oregon</t>
        </is>
      </c>
      <c r="F1454" t="inlineStr">
        <is>
          <t>Oregon</t>
        </is>
      </c>
      <c r="G1454" t="inlineStr">
        <is>
          <t>Closed Lost</t>
        </is>
      </c>
      <c r="H1454" t="inlineStr">
        <is>
          <t>No</t>
        </is>
      </c>
      <c r="J1454" s="96" t="n">
        <v>45912</v>
      </c>
      <c r="K1454" s="96" t="n">
        <v>45882</v>
      </c>
      <c r="L1454" t="n">
        <v>640000</v>
      </c>
      <c r="N1454" t="inlineStr">
        <is>
          <t>Portal</t>
        </is>
      </c>
      <c r="O1454" t="inlineStr">
        <is>
          <t>Madhav Mitruka</t>
        </is>
      </c>
      <c r="Y1454" s="96" t="n">
        <v>45861</v>
      </c>
      <c r="Z1454" t="inlineStr">
        <is>
          <t>https://app.hubspot.com/contacts/243046792/record/0-3/127690113725</t>
        </is>
      </c>
    </row>
    <row r="1455">
      <c r="A1455" t="n">
        <v>1454</v>
      </c>
      <c r="B1455" t="inlineStr">
        <is>
          <t>127701416677</t>
        </is>
      </c>
      <c r="C1455" t="inlineStr">
        <is>
          <t>RFP- 282503</t>
        </is>
      </c>
      <c r="D1455" t="inlineStr">
        <is>
          <t>Arizona State University - Digital Accessibility Services</t>
        </is>
      </c>
      <c r="E1455" t="inlineStr">
        <is>
          <t>Arizona State University</t>
        </is>
      </c>
      <c r="G1455" t="inlineStr">
        <is>
          <t>Closed Won</t>
        </is>
      </c>
      <c r="H1455" t="inlineStr">
        <is>
          <t>No</t>
        </is>
      </c>
      <c r="J1455" s="96" t="n">
        <v>45679</v>
      </c>
      <c r="K1455" s="96" t="n">
        <v>45679</v>
      </c>
      <c r="M1455" t="inlineStr">
        <is>
          <t>Consulting;Training;Audits and Assessment</t>
        </is>
      </c>
      <c r="N1455" t="inlineStr">
        <is>
          <t>Portal</t>
        </is>
      </c>
      <c r="O1455" t="inlineStr">
        <is>
          <t>Jyothsna Nanda kishore</t>
        </is>
      </c>
      <c r="U1455" s="96" t="n">
        <v>45912</v>
      </c>
      <c r="Y1455" s="96" t="n">
        <v>45861</v>
      </c>
      <c r="Z1455" t="inlineStr">
        <is>
          <t>https://app.hubspot.com/contacts/243046792/record/0-3/127701416677</t>
        </is>
      </c>
    </row>
    <row r="1456">
      <c r="A1456" t="n">
        <v>1455</v>
      </c>
      <c r="B1456" t="inlineStr">
        <is>
          <t>128514805493</t>
        </is>
      </c>
      <c r="C1456" t="inlineStr">
        <is>
          <t>UCHC-203976310</t>
        </is>
      </c>
      <c r="D1456" t="inlineStr">
        <is>
          <t>Cybersecurity Capability Maturity Assessment</t>
        </is>
      </c>
      <c r="E1456" t="inlineStr">
        <is>
          <t>University of Connecticut Health Center (UConn Health)</t>
        </is>
      </c>
      <c r="G1456" t="inlineStr">
        <is>
          <t>Submitted</t>
        </is>
      </c>
      <c r="H1456" t="inlineStr">
        <is>
          <t>No</t>
        </is>
      </c>
      <c r="J1456" s="96" t="n">
        <v>45882</v>
      </c>
      <c r="K1456" s="96" t="n">
        <v>45883</v>
      </c>
      <c r="O1456" t="inlineStr">
        <is>
          <t>Madhav Mitruka</t>
        </is>
      </c>
      <c r="Y1456" s="96" t="n">
        <v>45862</v>
      </c>
      <c r="Z1456" t="inlineStr">
        <is>
          <t>https://app.hubspot.com/contacts/243046792/record/0-3/128514805493</t>
        </is>
      </c>
    </row>
    <row r="1457">
      <c r="A1457" t="n">
        <v>1456</v>
      </c>
      <c r="B1457" t="inlineStr">
        <is>
          <t>128542495431</t>
        </is>
      </c>
      <c r="C1457" t="inlineStr">
        <is>
          <t>AAAA 2025-0053</t>
        </is>
      </c>
      <c r="D1457" t="inlineStr">
        <is>
          <t>RFI - Data Warehouse &amp; Reporting Environment</t>
        </is>
      </c>
      <c r="E1457" t="inlineStr">
        <is>
          <t>Colorado Department of Personnel and Administration</t>
        </is>
      </c>
      <c r="G1457" t="inlineStr">
        <is>
          <t>Submitted</t>
        </is>
      </c>
      <c r="H1457" t="inlineStr">
        <is>
          <t>No</t>
        </is>
      </c>
      <c r="J1457" s="96" t="n">
        <v>45869</v>
      </c>
      <c r="K1457" s="96" t="n">
        <v>45867</v>
      </c>
      <c r="M1457" t="inlineStr">
        <is>
          <t>Consulting</t>
        </is>
      </c>
      <c r="O1457" t="inlineStr">
        <is>
          <t>Jyothsna Nanda kishore</t>
        </is>
      </c>
      <c r="Y1457" s="96" t="n">
        <v>45862</v>
      </c>
      <c r="Z1457" t="inlineStr">
        <is>
          <t>https://app.hubspot.com/contacts/243046792/record/0-3/128542495431</t>
        </is>
      </c>
    </row>
    <row r="1458">
      <c r="A1458" t="n">
        <v>1457</v>
      </c>
      <c r="B1458" t="inlineStr">
        <is>
          <t>128661476079</t>
        </is>
      </c>
      <c r="D1458" t="inlineStr">
        <is>
          <t>On-Call IT Services</t>
        </is>
      </c>
      <c r="E1458" t="inlineStr">
        <is>
          <t>Hampton Roads Planning District Commission</t>
        </is>
      </c>
      <c r="G1458" t="inlineStr">
        <is>
          <t>Submitted</t>
        </is>
      </c>
      <c r="H1458" t="inlineStr">
        <is>
          <t>No</t>
        </is>
      </c>
      <c r="J1458" s="96" t="n">
        <v>45909</v>
      </c>
      <c r="K1458" s="96" t="n">
        <v>45909</v>
      </c>
      <c r="M1458" t="inlineStr">
        <is>
          <t>Managed Services (MSP);Consulting</t>
        </is>
      </c>
      <c r="N1458" t="inlineStr">
        <is>
          <t>Portal</t>
        </is>
      </c>
      <c r="O1458" t="inlineStr">
        <is>
          <t>Madhav Mitruka</t>
        </is>
      </c>
      <c r="Y1458" s="96" t="n">
        <v>45862</v>
      </c>
      <c r="Z1458" t="inlineStr">
        <is>
          <t>https://app.hubspot.com/contacts/243046792/record/0-3/128661476079</t>
        </is>
      </c>
    </row>
    <row r="1459">
      <c r="A1459" t="n">
        <v>1458</v>
      </c>
      <c r="B1459" t="inlineStr">
        <is>
          <t>129290369772</t>
        </is>
      </c>
      <c r="C1459" t="inlineStr">
        <is>
          <t>RFP 25-8398</t>
        </is>
      </c>
      <c r="D1459" t="inlineStr">
        <is>
          <t>Temporary/Contract Employment Services - Collier County</t>
        </is>
      </c>
      <c r="G1459" t="inlineStr">
        <is>
          <t>Submitted</t>
        </is>
      </c>
      <c r="H1459" t="inlineStr">
        <is>
          <t>No</t>
        </is>
      </c>
      <c r="J1459" s="96" t="n">
        <v>45869</v>
      </c>
      <c r="K1459" s="96" t="n">
        <v>45869</v>
      </c>
      <c r="M1459" t="inlineStr">
        <is>
          <t>Staff Augmentation</t>
        </is>
      </c>
      <c r="O1459" t="inlineStr">
        <is>
          <t>Madhav Mitruka</t>
        </is>
      </c>
      <c r="Y1459" s="96" t="n">
        <v>45863</v>
      </c>
      <c r="Z1459" t="inlineStr">
        <is>
          <t>https://app.hubspot.com/contacts/243046792/record/0-3/129290369772</t>
        </is>
      </c>
    </row>
    <row r="1460">
      <c r="A1460" t="n">
        <v>1459</v>
      </c>
      <c r="B1460" t="inlineStr">
        <is>
          <t>129506073305</t>
        </is>
      </c>
      <c r="D1460" t="inlineStr">
        <is>
          <t>Convert SAS code to Oracle PL/SQL 3</t>
        </is>
      </c>
      <c r="E1460" t="inlineStr">
        <is>
          <t>ADMINISTRATION FOR CHILDREN’S SERVICES (ACS)</t>
        </is>
      </c>
      <c r="F1460" t="inlineStr">
        <is>
          <t>New York</t>
        </is>
      </c>
      <c r="G1460" t="inlineStr">
        <is>
          <t>Submitted</t>
        </is>
      </c>
      <c r="H1460" t="inlineStr">
        <is>
          <t>No</t>
        </is>
      </c>
      <c r="J1460" s="96" t="n">
        <v>45862</v>
      </c>
      <c r="K1460" s="96" t="n">
        <v>45862</v>
      </c>
      <c r="O1460" t="inlineStr">
        <is>
          <t>Jyothsna Nanda kishore</t>
        </is>
      </c>
      <c r="Y1460" s="96" t="n">
        <v>45863</v>
      </c>
      <c r="Z1460" t="inlineStr">
        <is>
          <t>https://app.hubspot.com/contacts/243046792/record/0-3/129506073305</t>
        </is>
      </c>
    </row>
    <row r="1461">
      <c r="A1461" t="n">
        <v>1460</v>
      </c>
      <c r="B1461" t="inlineStr">
        <is>
          <t>129567190743</t>
        </is>
      </c>
      <c r="D1461" t="inlineStr">
        <is>
          <t>Cisco to Webex Migration Services</t>
        </is>
      </c>
      <c r="E1461" t="inlineStr">
        <is>
          <t>Oneida County Department of Technology</t>
        </is>
      </c>
      <c r="G1461" t="inlineStr">
        <is>
          <t>Submitted</t>
        </is>
      </c>
      <c r="H1461" t="inlineStr">
        <is>
          <t>No</t>
        </is>
      </c>
      <c r="J1461" s="96" t="n">
        <v>45863</v>
      </c>
      <c r="K1461" s="96" t="n">
        <v>45863</v>
      </c>
      <c r="O1461" t="inlineStr">
        <is>
          <t>Jyothsna Nanda kishore</t>
        </is>
      </c>
      <c r="Y1461" s="96" t="n">
        <v>45863</v>
      </c>
      <c r="Z1461" t="inlineStr">
        <is>
          <t>https://app.hubspot.com/contacts/243046792/record/0-3/129567190743</t>
        </is>
      </c>
    </row>
    <row r="1462">
      <c r="A1462" t="n">
        <v>1461</v>
      </c>
      <c r="B1462" t="inlineStr">
        <is>
          <t>129524809429</t>
        </is>
      </c>
      <c r="D1462" t="inlineStr">
        <is>
          <t>GIS Mapping &amp; Web Development Technical Consultant for the Local Food Switchboard</t>
        </is>
      </c>
      <c r="E1462" t="inlineStr">
        <is>
          <t>Maine Food Convergence Project (MFCP)</t>
        </is>
      </c>
      <c r="G1462" t="inlineStr">
        <is>
          <t>Closed Lost</t>
        </is>
      </c>
      <c r="H1462" t="inlineStr">
        <is>
          <t>No</t>
        </is>
      </c>
      <c r="J1462" s="96" t="n">
        <v>45883</v>
      </c>
      <c r="K1462" s="96" t="n">
        <v>45863</v>
      </c>
      <c r="L1462" t="n">
        <v>39500</v>
      </c>
      <c r="N1462" t="inlineStr">
        <is>
          <t>Email</t>
        </is>
      </c>
      <c r="O1462" t="inlineStr">
        <is>
          <t>Madhav Mitruka</t>
        </is>
      </c>
      <c r="Y1462" s="96" t="n">
        <v>45863</v>
      </c>
      <c r="Z1462" t="inlineStr">
        <is>
          <t>https://app.hubspot.com/contacts/243046792/record/0-3/129524809429</t>
        </is>
      </c>
    </row>
    <row r="1463">
      <c r="A1463" t="n">
        <v>1462</v>
      </c>
      <c r="B1463" t="inlineStr">
        <is>
          <t>129524903653</t>
        </is>
      </c>
      <c r="D1463" t="inlineStr">
        <is>
          <t>IT Application Support Services - City of Santa Cruz</t>
        </is>
      </c>
      <c r="E1463" t="inlineStr">
        <is>
          <t>City of Santa Cruz</t>
        </is>
      </c>
      <c r="G1463" t="inlineStr">
        <is>
          <t>Closed Lost</t>
        </is>
      </c>
      <c r="H1463" t="inlineStr">
        <is>
          <t>No</t>
        </is>
      </c>
      <c r="J1463" s="96" t="n">
        <v>45898</v>
      </c>
      <c r="K1463" s="96" t="n">
        <v>45884</v>
      </c>
      <c r="M1463" t="inlineStr">
        <is>
          <t>Managed Services (MSP)</t>
        </is>
      </c>
      <c r="N1463" t="inlineStr">
        <is>
          <t>Portal</t>
        </is>
      </c>
      <c r="O1463" t="inlineStr">
        <is>
          <t>Madhav Mitruka</t>
        </is>
      </c>
      <c r="Y1463" s="96" t="n">
        <v>45866</v>
      </c>
      <c r="Z1463" t="inlineStr">
        <is>
          <t>https://app.hubspot.com/contacts/243046792/record/0-3/129524903653</t>
        </is>
      </c>
    </row>
    <row r="1464">
      <c r="A1464" t="n">
        <v>1463</v>
      </c>
      <c r="B1464" t="inlineStr">
        <is>
          <t>129524908788</t>
        </is>
      </c>
      <c r="D1464" t="inlineStr">
        <is>
          <t>Formal: Houston Ship Channel (HSC) Sedimentation Dashboard</t>
        </is>
      </c>
      <c r="E1464" t="inlineStr">
        <is>
          <t>Port Houston</t>
        </is>
      </c>
      <c r="G1464" t="inlineStr">
        <is>
          <t>Submitted</t>
        </is>
      </c>
      <c r="H1464" t="inlineStr">
        <is>
          <t>No</t>
        </is>
      </c>
      <c r="J1464" s="96" t="n">
        <v>45874</v>
      </c>
      <c r="K1464" s="96" t="n">
        <v>45882</v>
      </c>
      <c r="N1464" t="inlineStr">
        <is>
          <t>Email</t>
        </is>
      </c>
      <c r="O1464" t="inlineStr">
        <is>
          <t>Madhav Mitruka</t>
        </is>
      </c>
      <c r="Y1464" s="96" t="n">
        <v>45866</v>
      </c>
      <c r="Z1464" t="inlineStr">
        <is>
          <t>https://app.hubspot.com/contacts/243046792/record/0-3/129524908788</t>
        </is>
      </c>
    </row>
    <row r="1465">
      <c r="A1465" t="n">
        <v>1464</v>
      </c>
      <c r="B1465" t="inlineStr">
        <is>
          <t>132776507100</t>
        </is>
      </c>
      <c r="C1465" t="inlineStr">
        <is>
          <t>11994-2</t>
        </is>
      </c>
      <c r="D1465" t="inlineStr">
        <is>
          <t>Consulting Services for Salesforce Customer Relationship Management Implementation</t>
        </is>
      </c>
      <c r="E1465" t="inlineStr">
        <is>
          <t>City of Greensboro</t>
        </is>
      </c>
      <c r="F1465" t="inlineStr">
        <is>
          <t>North Carolina</t>
        </is>
      </c>
      <c r="G1465" t="inlineStr">
        <is>
          <t>Submitted</t>
        </is>
      </c>
      <c r="H1465" t="inlineStr">
        <is>
          <t>No</t>
        </is>
      </c>
      <c r="J1465" s="96" t="n">
        <v>45888</v>
      </c>
      <c r="K1465" s="96" t="n">
        <v>45888</v>
      </c>
      <c r="L1465" t="n">
        <v>425200</v>
      </c>
      <c r="N1465" t="inlineStr">
        <is>
          <t>Portal</t>
        </is>
      </c>
      <c r="O1465" t="inlineStr">
        <is>
          <t>Madhav Mitruka</t>
        </is>
      </c>
      <c r="Y1465" s="96" t="n">
        <v>45866</v>
      </c>
      <c r="Z1465" t="inlineStr">
        <is>
          <t>https://app.hubspot.com/contacts/243046792/record/0-3/132776507100</t>
        </is>
      </c>
    </row>
    <row r="1466">
      <c r="A1466" t="n">
        <v>1465</v>
      </c>
      <c r="B1466" t="inlineStr">
        <is>
          <t>129524910783</t>
        </is>
      </c>
      <c r="C1466" t="inlineStr">
        <is>
          <t>J26130</t>
        </is>
      </c>
      <c r="D1466" t="inlineStr">
        <is>
          <t>RFP J26130-Digital Intelligence, Investigation, Analysis for JUDID: P26000059 - Hawaii State Judiciary</t>
        </is>
      </c>
      <c r="E1466" t="inlineStr">
        <is>
          <t>The Judiciary, State of Hawaii</t>
        </is>
      </c>
      <c r="G1466" t="inlineStr">
        <is>
          <t>Submitted</t>
        </is>
      </c>
      <c r="H1466" t="inlineStr">
        <is>
          <t>No</t>
        </is>
      </c>
      <c r="J1466" s="96" t="n">
        <v>45880</v>
      </c>
      <c r="K1466" s="96" t="n">
        <v>45880</v>
      </c>
      <c r="N1466" t="inlineStr">
        <is>
          <t>Portal</t>
        </is>
      </c>
      <c r="O1466" t="inlineStr">
        <is>
          <t>Jyothsna Nanda kishore</t>
        </is>
      </c>
      <c r="Y1466" s="96" t="n">
        <v>45866</v>
      </c>
      <c r="Z1466" t="inlineStr">
        <is>
          <t>https://app.hubspot.com/contacts/243046792/record/0-3/129524910783</t>
        </is>
      </c>
    </row>
    <row r="1467">
      <c r="A1467" t="n">
        <v>1466</v>
      </c>
      <c r="B1467" t="inlineStr">
        <is>
          <t>129524910789</t>
        </is>
      </c>
      <c r="C1467" t="inlineStr">
        <is>
          <t>UMWOR-2025-0728-For01</t>
        </is>
      </c>
      <c r="D1467" t="inlineStr">
        <is>
          <t>RFA - Qualified Vendors to Provide Information Technology Staff Augmentation Services - Univ. of Massachusetts</t>
        </is>
      </c>
      <c r="E1467" t="inlineStr">
        <is>
          <t>UMass Chan Medical School</t>
        </is>
      </c>
      <c r="G1467" t="inlineStr">
        <is>
          <t>Closed Lost</t>
        </is>
      </c>
      <c r="H1467" t="inlineStr">
        <is>
          <t>No</t>
        </is>
      </c>
      <c r="J1467" s="96" t="n">
        <v>45888</v>
      </c>
      <c r="K1467" s="96" t="n">
        <v>45868</v>
      </c>
      <c r="M1467" t="inlineStr">
        <is>
          <t>Staff Augmentation</t>
        </is>
      </c>
      <c r="O1467" t="inlineStr">
        <is>
          <t>Hrithik Srivastava</t>
        </is>
      </c>
      <c r="Y1467" s="96" t="n">
        <v>45866</v>
      </c>
      <c r="Z1467" t="inlineStr">
        <is>
          <t>https://app.hubspot.com/contacts/243046792/record/0-3/129524910789</t>
        </is>
      </c>
    </row>
    <row r="1468">
      <c r="A1468" t="n">
        <v>1467</v>
      </c>
      <c r="B1468" t="inlineStr">
        <is>
          <t>129524915917</t>
        </is>
      </c>
      <c r="C1468" t="inlineStr">
        <is>
          <t>2025-01</t>
        </is>
      </c>
      <c r="D1468" t="inlineStr">
        <is>
          <t>Salesforce Advisory Services- 2025-01 - Distributor/Resellers</t>
        </is>
      </c>
      <c r="E1468" t="inlineStr">
        <is>
          <t>New York State Office of Addiction Services and Supports (OASAS)</t>
        </is>
      </c>
      <c r="G1468" t="inlineStr">
        <is>
          <t>Closed Lost</t>
        </is>
      </c>
      <c r="H1468" t="inlineStr">
        <is>
          <t>No</t>
        </is>
      </c>
      <c r="J1468" s="96" t="n">
        <v>45898</v>
      </c>
      <c r="K1468" s="96" t="n">
        <v>45887</v>
      </c>
      <c r="L1468" t="n">
        <v>366480</v>
      </c>
      <c r="M1468" t="inlineStr">
        <is>
          <t>Staff Augmentation</t>
        </is>
      </c>
      <c r="N1468" t="inlineStr">
        <is>
          <t>Email</t>
        </is>
      </c>
      <c r="O1468" t="inlineStr">
        <is>
          <t>Madhav Mitruka</t>
        </is>
      </c>
      <c r="Y1468" s="96" t="n">
        <v>45866</v>
      </c>
      <c r="Z1468" t="inlineStr">
        <is>
          <t>https://app.hubspot.com/contacts/243046792/record/0-3/129524915917</t>
        </is>
      </c>
    </row>
    <row r="1469">
      <c r="A1469" t="n">
        <v>1468</v>
      </c>
      <c r="B1469" t="inlineStr">
        <is>
          <t>132776523455</t>
        </is>
      </c>
      <c r="D1469" t="inlineStr">
        <is>
          <t>IT Services For Chemung Schuyler Steuben Workforce New York</t>
        </is>
      </c>
      <c r="E1469" t="inlineStr">
        <is>
          <t>Chemung Schuyler Steuben Workforce New York</t>
        </is>
      </c>
      <c r="G1469" t="inlineStr">
        <is>
          <t>Submitted</t>
        </is>
      </c>
      <c r="H1469" t="inlineStr">
        <is>
          <t>No</t>
        </is>
      </c>
      <c r="J1469" s="96" t="n">
        <v>45889</v>
      </c>
      <c r="K1469" s="96" t="n">
        <v>45890</v>
      </c>
      <c r="L1469" t="n">
        <v>47500</v>
      </c>
      <c r="M1469" t="inlineStr">
        <is>
          <t>Managed Services (MSP)</t>
        </is>
      </c>
      <c r="N1469" t="inlineStr">
        <is>
          <t>Email</t>
        </is>
      </c>
      <c r="O1469" t="inlineStr">
        <is>
          <t>Madhav Mitruka</t>
        </is>
      </c>
      <c r="Y1469" s="96" t="n">
        <v>45866</v>
      </c>
      <c r="Z1469" t="inlineStr">
        <is>
          <t>https://app.hubspot.com/contacts/243046792/record/0-3/132776523455</t>
        </is>
      </c>
    </row>
    <row r="1470">
      <c r="A1470" t="n">
        <v>1469</v>
      </c>
      <c r="B1470" t="inlineStr">
        <is>
          <t>132776538872</t>
        </is>
      </c>
      <c r="C1470" t="inlineStr">
        <is>
          <t>R18-2025-07-000052</t>
        </is>
      </c>
      <c r="D1470" t="inlineStr">
        <is>
          <t>Project Management and Web Application Development</t>
        </is>
      </c>
      <c r="E1470" t="inlineStr">
        <is>
          <t>Region 18 (ESC)</t>
        </is>
      </c>
      <c r="G1470" t="inlineStr">
        <is>
          <t>Submitted</t>
        </is>
      </c>
      <c r="H1470" t="inlineStr">
        <is>
          <t>No</t>
        </is>
      </c>
      <c r="J1470" s="96" t="n">
        <v>45866</v>
      </c>
      <c r="K1470" s="96" t="n">
        <v>45866</v>
      </c>
      <c r="M1470" t="inlineStr">
        <is>
          <t>Consulting</t>
        </is>
      </c>
      <c r="O1470" t="inlineStr">
        <is>
          <t>Jyothsna Nanda kishore</t>
        </is>
      </c>
      <c r="Y1470" s="96" t="n">
        <v>45866</v>
      </c>
      <c r="Z1470" t="inlineStr">
        <is>
          <t>https://app.hubspot.com/contacts/243046792/record/0-3/132776538872</t>
        </is>
      </c>
    </row>
    <row r="1471">
      <c r="A1471" t="n">
        <v>1470</v>
      </c>
      <c r="B1471" t="inlineStr">
        <is>
          <t>132776618733</t>
        </is>
      </c>
      <c r="D1471" t="inlineStr">
        <is>
          <t>Outsourced IT &amp; Managed Services For a Three (3) Year Contract with Two (2) One (1) Year Options</t>
        </is>
      </c>
      <c r="E1471" t="inlineStr">
        <is>
          <t>Monroe County Transportation Authority (“MCTA”)</t>
        </is>
      </c>
      <c r="G1471" t="inlineStr">
        <is>
          <t>Closed Lost</t>
        </is>
      </c>
      <c r="H1471" t="inlineStr">
        <is>
          <t>No</t>
        </is>
      </c>
      <c r="J1471" s="96" t="n">
        <v>45918</v>
      </c>
      <c r="K1471" s="96" t="n">
        <v>45884</v>
      </c>
      <c r="L1471" t="n">
        <v>330000</v>
      </c>
      <c r="M1471" t="inlineStr">
        <is>
          <t>Managed Services (MSP)</t>
        </is>
      </c>
      <c r="N1471" t="inlineStr">
        <is>
          <t>Portal</t>
        </is>
      </c>
      <c r="O1471" t="inlineStr">
        <is>
          <t>Madhav Mitruka</t>
        </is>
      </c>
      <c r="Y1471" s="96" t="n">
        <v>45867</v>
      </c>
      <c r="Z1471" t="inlineStr">
        <is>
          <t>https://app.hubspot.com/contacts/243046792/record/0-3/132776618733</t>
        </is>
      </c>
    </row>
    <row r="1472">
      <c r="A1472" t="n">
        <v>1471</v>
      </c>
      <c r="B1472" t="inlineStr">
        <is>
          <t>129525021371</t>
        </is>
      </c>
      <c r="D1472" t="inlineStr">
        <is>
          <t>IT Managed Services</t>
        </is>
      </c>
      <c r="E1472" t="inlineStr">
        <is>
          <t>Town of Algoma</t>
        </is>
      </c>
      <c r="G1472" t="inlineStr">
        <is>
          <t>Submitted</t>
        </is>
      </c>
      <c r="H1472" t="inlineStr">
        <is>
          <t>No</t>
        </is>
      </c>
      <c r="J1472" s="96" t="n">
        <v>45887</v>
      </c>
      <c r="K1472" s="96" t="n">
        <v>45888</v>
      </c>
      <c r="M1472" t="inlineStr">
        <is>
          <t>Managed Services (MSP)</t>
        </is>
      </c>
      <c r="N1472" t="inlineStr">
        <is>
          <t>Email</t>
        </is>
      </c>
      <c r="O1472" t="inlineStr">
        <is>
          <t>Madhav Mitruka</t>
        </is>
      </c>
      <c r="Y1472" s="96" t="n">
        <v>45867</v>
      </c>
      <c r="Z1472" t="inlineStr">
        <is>
          <t>https://app.hubspot.com/contacts/243046792/record/0-3/129525021371</t>
        </is>
      </c>
    </row>
    <row r="1473">
      <c r="A1473" t="n">
        <v>1472</v>
      </c>
      <c r="B1473" t="inlineStr">
        <is>
          <t>132776619763</t>
        </is>
      </c>
      <c r="D1473" t="inlineStr">
        <is>
          <t>Technology Solutions, Products and Services, Region 4 ESC</t>
        </is>
      </c>
      <c r="G1473" t="inlineStr">
        <is>
          <t>Submitted</t>
        </is>
      </c>
      <c r="H1473" t="inlineStr">
        <is>
          <t>No</t>
        </is>
      </c>
      <c r="J1473" s="96" t="n">
        <v>45876</v>
      </c>
      <c r="K1473" s="96" t="n">
        <v>45869</v>
      </c>
      <c r="M1473" t="inlineStr">
        <is>
          <t>Staff Augmentation</t>
        </is>
      </c>
      <c r="O1473" t="inlineStr">
        <is>
          <t>Jyothsna Nanda kishore</t>
        </is>
      </c>
      <c r="Y1473" s="96" t="n">
        <v>45867</v>
      </c>
      <c r="Z1473" t="inlineStr">
        <is>
          <t>https://app.hubspot.com/contacts/243046792/record/0-3/132776619763</t>
        </is>
      </c>
    </row>
    <row r="1474">
      <c r="A1474" t="n">
        <v>1473</v>
      </c>
      <c r="B1474" t="inlineStr">
        <is>
          <t>129525022443</t>
        </is>
      </c>
      <c r="C1474" t="inlineStr">
        <is>
          <t>202515</t>
        </is>
      </c>
      <c r="D1474" t="inlineStr">
        <is>
          <t>Managed Security Services</t>
        </is>
      </c>
      <c r="E1474" t="inlineStr">
        <is>
          <t>Erie County Medical Centre</t>
        </is>
      </c>
      <c r="G1474" t="inlineStr">
        <is>
          <t>Submitted</t>
        </is>
      </c>
      <c r="H1474" t="inlineStr">
        <is>
          <t>No</t>
        </is>
      </c>
      <c r="J1474" s="96" t="n">
        <v>45867</v>
      </c>
      <c r="K1474" s="96" t="n">
        <v>45867</v>
      </c>
      <c r="M1474" t="inlineStr">
        <is>
          <t>Managed Services (MSP)</t>
        </is>
      </c>
      <c r="O1474" t="inlineStr">
        <is>
          <t>Jyothsna Nanda kishore</t>
        </is>
      </c>
      <c r="Y1474" s="96" t="n">
        <v>45867</v>
      </c>
      <c r="Z1474" t="inlineStr">
        <is>
          <t>https://app.hubspot.com/contacts/243046792/record/0-3/129525022443</t>
        </is>
      </c>
    </row>
    <row r="1475">
      <c r="A1475" t="n">
        <v>1474</v>
      </c>
      <c r="B1475" t="inlineStr">
        <is>
          <t>132776621801</t>
        </is>
      </c>
      <c r="D1475" t="inlineStr">
        <is>
          <t>Oakland County Economic Development CRM</t>
        </is>
      </c>
      <c r="E1475" t="inlineStr">
        <is>
          <t>Oakland County</t>
        </is>
      </c>
      <c r="F1475" t="inlineStr">
        <is>
          <t>Michigan</t>
        </is>
      </c>
      <c r="G1475" t="inlineStr">
        <is>
          <t>Submitted</t>
        </is>
      </c>
      <c r="H1475" t="inlineStr">
        <is>
          <t>No</t>
        </is>
      </c>
      <c r="J1475" s="96" t="n">
        <v>45863</v>
      </c>
      <c r="K1475" s="96" t="n">
        <v>45863</v>
      </c>
      <c r="O1475" t="inlineStr">
        <is>
          <t>Jyothsna Nanda kishore</t>
        </is>
      </c>
      <c r="Y1475" s="96" t="n">
        <v>45867</v>
      </c>
      <c r="Z1475" t="inlineStr">
        <is>
          <t>https://app.hubspot.com/contacts/243046792/record/0-3/132776621801</t>
        </is>
      </c>
    </row>
    <row r="1476">
      <c r="A1476" t="n">
        <v>1475</v>
      </c>
      <c r="B1476" t="inlineStr">
        <is>
          <t>132776624838</t>
        </is>
      </c>
      <c r="C1476" t="inlineStr">
        <is>
          <t>25-P-140MC</t>
        </is>
      </c>
      <c r="D1476" t="inlineStr">
        <is>
          <t>Hosted Social Service Programs Database Software – County of Volusia (RFP #25-P-140MC</t>
        </is>
      </c>
      <c r="E1476" t="inlineStr">
        <is>
          <t>Volusia County</t>
        </is>
      </c>
      <c r="G1476" t="inlineStr">
        <is>
          <t>Closed Lost</t>
        </is>
      </c>
      <c r="H1476" t="inlineStr">
        <is>
          <t>No</t>
        </is>
      </c>
      <c r="J1476" s="96" t="n">
        <v>45884</v>
      </c>
      <c r="K1476" s="96" t="n">
        <v>45880</v>
      </c>
      <c r="N1476" t="inlineStr">
        <is>
          <t>Portal</t>
        </is>
      </c>
      <c r="O1476" t="inlineStr">
        <is>
          <t>Madhav Mitruka</t>
        </is>
      </c>
      <c r="Y1476" s="96" t="n">
        <v>45867</v>
      </c>
      <c r="Z1476" t="inlineStr">
        <is>
          <t>https://app.hubspot.com/contacts/243046792/record/0-3/132776624838</t>
        </is>
      </c>
    </row>
    <row r="1477">
      <c r="A1477" t="n">
        <v>1476</v>
      </c>
      <c r="B1477" t="inlineStr">
        <is>
          <t>132776624886</t>
        </is>
      </c>
      <c r="C1477" t="inlineStr">
        <is>
          <t>BPM049069</t>
        </is>
      </c>
      <c r="D1477" t="inlineStr">
        <is>
          <t>AWS Renewal Services</t>
        </is>
      </c>
      <c r="E1477" t="inlineStr">
        <is>
          <t>Maryland Health Benefit Exchange</t>
        </is>
      </c>
      <c r="G1477" t="inlineStr">
        <is>
          <t>Submitted</t>
        </is>
      </c>
      <c r="H1477" t="inlineStr">
        <is>
          <t>No</t>
        </is>
      </c>
      <c r="J1477" s="96" t="n">
        <v>45889</v>
      </c>
      <c r="K1477" s="96" t="n">
        <v>45888</v>
      </c>
      <c r="N1477" t="inlineStr">
        <is>
          <t>Portal</t>
        </is>
      </c>
      <c r="O1477" t="inlineStr">
        <is>
          <t>Jyothsna Nanda kishore</t>
        </is>
      </c>
      <c r="Y1477" s="96" t="n">
        <v>45867</v>
      </c>
      <c r="Z1477" t="inlineStr">
        <is>
          <t>https://app.hubspot.com/contacts/243046792/record/0-3/132776624886</t>
        </is>
      </c>
    </row>
    <row r="1478">
      <c r="A1478" t="n">
        <v>1477</v>
      </c>
      <c r="B1478" t="inlineStr">
        <is>
          <t>132776626904</t>
        </is>
      </c>
      <c r="D1478" t="inlineStr">
        <is>
          <t>Metropolitan Water District of Southern California - ON-CALL INFORMATION TECHNOLOGY (IT) APPLICATION SUPPORT SERVICES (RFQ-DS-1397)</t>
        </is>
      </c>
      <c r="E1478" t="inlineStr">
        <is>
          <t>Metropolitan Water District of Southern California</t>
        </is>
      </c>
      <c r="F1478" t="inlineStr">
        <is>
          <t>California</t>
        </is>
      </c>
      <c r="G1478" t="inlineStr">
        <is>
          <t>Closed Won</t>
        </is>
      </c>
      <c r="H1478" t="inlineStr">
        <is>
          <t>No</t>
        </is>
      </c>
      <c r="J1478" s="96" t="n">
        <v>45757</v>
      </c>
      <c r="M1478" t="inlineStr">
        <is>
          <t>Staff Augmentation</t>
        </is>
      </c>
      <c r="O1478" t="inlineStr">
        <is>
          <t>Madhav Mitruka</t>
        </is>
      </c>
      <c r="U1478" s="96" t="n">
        <v>45866</v>
      </c>
      <c r="Y1478" s="96" t="n">
        <v>45867</v>
      </c>
      <c r="Z1478" t="inlineStr">
        <is>
          <t>https://app.hubspot.com/contacts/243046792/record/0-3/132776626904</t>
        </is>
      </c>
    </row>
    <row r="1479">
      <c r="A1479" t="n">
        <v>1478</v>
      </c>
      <c r="B1479" t="inlineStr">
        <is>
          <t>132776631015</t>
        </is>
      </c>
      <c r="D1479" t="inlineStr">
        <is>
          <t>Migration from SharePoint 2016 Support Services</t>
        </is>
      </c>
      <c r="E1479" t="inlineStr">
        <is>
          <t>Matanuska-Susitna Borough</t>
        </is>
      </c>
      <c r="G1479" t="inlineStr">
        <is>
          <t>Submitted</t>
        </is>
      </c>
      <c r="H1479" t="inlineStr">
        <is>
          <t>No</t>
        </is>
      </c>
      <c r="J1479" s="96" t="n">
        <v>45867</v>
      </c>
      <c r="K1479" s="96" t="n">
        <v>45867</v>
      </c>
      <c r="M1479" t="inlineStr">
        <is>
          <t>Support &amp; Maintenance</t>
        </is>
      </c>
      <c r="O1479" t="inlineStr">
        <is>
          <t>Jyothsna Nanda kishore</t>
        </is>
      </c>
      <c r="Y1479" s="96" t="n">
        <v>45867</v>
      </c>
      <c r="Z1479" t="inlineStr">
        <is>
          <t>https://app.hubspot.com/contacts/243046792/record/0-3/132776631015</t>
        </is>
      </c>
    </row>
    <row r="1480">
      <c r="A1480" t="n">
        <v>1479</v>
      </c>
      <c r="B1480" t="inlineStr">
        <is>
          <t>129525038841</t>
        </is>
      </c>
      <c r="C1480" t="inlineStr">
        <is>
          <t>RFP No. 25-C3166</t>
        </is>
      </c>
      <c r="D1480" t="inlineStr">
        <is>
          <t>Information Technology Strategic Plan and Assessment - City of Kenmore</t>
        </is>
      </c>
      <c r="G1480" t="inlineStr">
        <is>
          <t>Submitted</t>
        </is>
      </c>
      <c r="H1480" t="inlineStr">
        <is>
          <t>No</t>
        </is>
      </c>
      <c r="J1480" s="96" t="n">
        <v>45887</v>
      </c>
      <c r="K1480" s="96" t="n">
        <v>45887</v>
      </c>
      <c r="M1480" t="inlineStr">
        <is>
          <t>Audits and Assessment</t>
        </is>
      </c>
      <c r="O1480" t="inlineStr">
        <is>
          <t>Madhav Mitruka</t>
        </is>
      </c>
      <c r="Y1480" s="96" t="n">
        <v>45867</v>
      </c>
      <c r="Z1480" t="inlineStr">
        <is>
          <t>https://app.hubspot.com/contacts/243046792/record/0-3/129525038841</t>
        </is>
      </c>
    </row>
    <row r="1481">
      <c r="A1481" t="n">
        <v>1480</v>
      </c>
      <c r="B1481" t="inlineStr">
        <is>
          <t>134329484998</t>
        </is>
      </c>
      <c r="D1481" t="inlineStr">
        <is>
          <t>Collier County - OPENCollier MPO WordPress Website Maintenance &amp; Hosting</t>
        </is>
      </c>
      <c r="E1481" t="inlineStr">
        <is>
          <t>Collier County</t>
        </is>
      </c>
      <c r="F1481" t="inlineStr">
        <is>
          <t>Florida</t>
        </is>
      </c>
      <c r="G1481" t="inlineStr">
        <is>
          <t>Closed Won</t>
        </is>
      </c>
      <c r="H1481" t="inlineStr">
        <is>
          <t>No</t>
        </is>
      </c>
      <c r="J1481" s="96" t="n">
        <v>45924</v>
      </c>
      <c r="K1481" s="96" t="n">
        <v>45867</v>
      </c>
      <c r="L1481" t="n">
        <v>3990</v>
      </c>
      <c r="M1481" t="inlineStr">
        <is>
          <t>Support &amp; Maintenance</t>
        </is>
      </c>
      <c r="N1481" t="inlineStr">
        <is>
          <t>Portal</t>
        </is>
      </c>
      <c r="O1481" t="inlineStr">
        <is>
          <t>Madhav Mitruka</t>
        </is>
      </c>
      <c r="U1481" s="96" t="n">
        <v>45924</v>
      </c>
      <c r="Y1481" s="96" t="n">
        <v>45867</v>
      </c>
      <c r="Z1481" t="inlineStr">
        <is>
          <t>https://app.hubspot.com/contacts/243046792/record/0-3/134329484998</t>
        </is>
      </c>
    </row>
    <row r="1482">
      <c r="A1482" t="n">
        <v>1481</v>
      </c>
      <c r="B1482" t="inlineStr">
        <is>
          <t>134489494225</t>
        </is>
      </c>
      <c r="D1482" t="inlineStr">
        <is>
          <t>OVCDC Microsoft 365 Migration &amp; Cloud Collaboration Services</t>
        </is>
      </c>
      <c r="E1482" t="inlineStr">
        <is>
          <t>Owens Valley Career Development Center</t>
        </is>
      </c>
      <c r="G1482" t="inlineStr">
        <is>
          <t>Closed Lost</t>
        </is>
      </c>
      <c r="H1482" t="inlineStr">
        <is>
          <t>No</t>
        </is>
      </c>
      <c r="J1482" s="96" t="n">
        <v>45893</v>
      </c>
      <c r="O1482" t="inlineStr">
        <is>
          <t>Madhav Mitruka</t>
        </is>
      </c>
      <c r="Y1482" s="96" t="n">
        <v>45868</v>
      </c>
      <c r="Z1482" t="inlineStr">
        <is>
          <t>https://app.hubspot.com/contacts/243046792/record/0-3/134489494225</t>
        </is>
      </c>
    </row>
    <row r="1483">
      <c r="A1483" t="n">
        <v>1482</v>
      </c>
      <c r="B1483" t="inlineStr">
        <is>
          <t>134489494227</t>
        </is>
      </c>
      <c r="C1483" t="inlineStr">
        <is>
          <t>PS133365</t>
        </is>
      </c>
      <c r="D1483" t="inlineStr">
        <is>
          <t>Enterprise Safety Management System :On-Call Information Technology Services.</t>
        </is>
      </c>
      <c r="E1483" t="inlineStr">
        <is>
          <t>Los Angeles County Metropolitan Transportation Authority (LACMTA)</t>
        </is>
      </c>
      <c r="F1483" t="inlineStr">
        <is>
          <t>California</t>
        </is>
      </c>
      <c r="G1483" t="inlineStr">
        <is>
          <t>Submitted</t>
        </is>
      </c>
      <c r="H1483" t="inlineStr">
        <is>
          <t>No</t>
        </is>
      </c>
      <c r="J1483" s="96" t="n">
        <v>45903</v>
      </c>
      <c r="K1483" s="96" t="n">
        <v>45903</v>
      </c>
      <c r="L1483" t="n">
        <v>250000</v>
      </c>
      <c r="M1483" t="inlineStr">
        <is>
          <t>Managed Services (MSP)</t>
        </is>
      </c>
      <c r="N1483" t="inlineStr">
        <is>
          <t>Email</t>
        </is>
      </c>
      <c r="O1483" t="inlineStr">
        <is>
          <t>Madhav Mitruka</t>
        </is>
      </c>
      <c r="Y1483" s="96" t="n">
        <v>45868</v>
      </c>
      <c r="Z1483" t="inlineStr">
        <is>
          <t>https://app.hubspot.com/contacts/243046792/record/0-3/134489494227</t>
        </is>
      </c>
    </row>
    <row r="1484">
      <c r="A1484" t="n">
        <v>1483</v>
      </c>
      <c r="B1484" t="inlineStr">
        <is>
          <t>134489494232</t>
        </is>
      </c>
      <c r="C1484" t="inlineStr">
        <is>
          <t>891174</t>
        </is>
      </c>
      <c r="D1484" t="inlineStr">
        <is>
          <t>Stakeholder Informed Information Technology Strategy, Assessment, and Roadmap Consultant</t>
        </is>
      </c>
      <c r="E1484" t="inlineStr">
        <is>
          <t>Michigan State University</t>
        </is>
      </c>
      <c r="F1484" t="inlineStr">
        <is>
          <t>Michigan</t>
        </is>
      </c>
      <c r="G1484" t="inlineStr">
        <is>
          <t>Submitted</t>
        </is>
      </c>
      <c r="H1484" t="inlineStr">
        <is>
          <t>No</t>
        </is>
      </c>
      <c r="J1484" s="96" t="n">
        <v>45892</v>
      </c>
      <c r="K1484" s="96" t="n">
        <v>45891</v>
      </c>
      <c r="M1484" t="inlineStr">
        <is>
          <t>Audits and Assessment</t>
        </is>
      </c>
      <c r="N1484" t="inlineStr">
        <is>
          <t>Email</t>
        </is>
      </c>
      <c r="O1484" t="inlineStr">
        <is>
          <t>Madhav Mitruka</t>
        </is>
      </c>
      <c r="Y1484" s="96" t="n">
        <v>45868</v>
      </c>
      <c r="Z1484" t="inlineStr">
        <is>
          <t>https://app.hubspot.com/contacts/243046792/record/0-3/134489494232</t>
        </is>
      </c>
    </row>
    <row r="1485">
      <c r="A1485" t="n">
        <v>1484</v>
      </c>
      <c r="B1485" t="inlineStr">
        <is>
          <t>134492602054</t>
        </is>
      </c>
      <c r="D1485" t="inlineStr">
        <is>
          <t>Digital Accessibility Compliance Project</t>
        </is>
      </c>
      <c r="E1485" t="inlineStr">
        <is>
          <t>City of Seattle</t>
        </is>
      </c>
      <c r="F1485" t="inlineStr">
        <is>
          <t>Washington</t>
        </is>
      </c>
      <c r="G1485" t="inlineStr">
        <is>
          <t>Closed Lost</t>
        </is>
      </c>
      <c r="H1485" t="inlineStr">
        <is>
          <t>No</t>
        </is>
      </c>
      <c r="J1485" s="96" t="n">
        <v>45908</v>
      </c>
      <c r="K1485" s="96" t="n">
        <v>45876</v>
      </c>
      <c r="M1485" t="inlineStr">
        <is>
          <t>Modernization / Migration</t>
        </is>
      </c>
      <c r="N1485" t="inlineStr">
        <is>
          <t>Portal</t>
        </is>
      </c>
      <c r="O1485" t="inlineStr">
        <is>
          <t>Madhav Mitruka</t>
        </is>
      </c>
      <c r="Y1485" s="96" t="n">
        <v>45868</v>
      </c>
      <c r="Z1485" t="inlineStr">
        <is>
          <t>https://app.hubspot.com/contacts/243046792/record/0-3/134492602054</t>
        </is>
      </c>
    </row>
    <row r="1486">
      <c r="A1486" t="n">
        <v>1485</v>
      </c>
      <c r="B1486" t="inlineStr">
        <is>
          <t>134532454108</t>
        </is>
      </c>
      <c r="C1486" t="inlineStr">
        <is>
          <t>QQ 0134-25</t>
        </is>
      </c>
      <c r="D1486" t="inlineStr">
        <is>
          <t>Data Literacy Consulting Services</t>
        </is>
      </c>
      <c r="E1486" t="inlineStr">
        <is>
          <t>Sound Transit</t>
        </is>
      </c>
      <c r="F1486" t="inlineStr">
        <is>
          <t>Washington</t>
        </is>
      </c>
      <c r="G1486" t="inlineStr">
        <is>
          <t>Submitted</t>
        </is>
      </c>
      <c r="H1486" t="inlineStr">
        <is>
          <t>No</t>
        </is>
      </c>
      <c r="J1486" s="96" t="n">
        <v>45868</v>
      </c>
      <c r="K1486" s="96" t="n">
        <v>45868</v>
      </c>
      <c r="M1486" t="inlineStr">
        <is>
          <t>Consulting;Training</t>
        </is>
      </c>
      <c r="O1486" t="inlineStr">
        <is>
          <t>Jyothsna Nanda kishore</t>
        </is>
      </c>
      <c r="Y1486" s="96" t="n">
        <v>45868</v>
      </c>
      <c r="Z1486" t="inlineStr">
        <is>
          <t>https://app.hubspot.com/contacts/243046792/record/0-3/134532454108</t>
        </is>
      </c>
    </row>
    <row r="1487">
      <c r="A1487" t="n">
        <v>1486</v>
      </c>
      <c r="B1487" t="inlineStr">
        <is>
          <t>134586520299</t>
        </is>
      </c>
      <c r="D1487" t="inlineStr">
        <is>
          <t>Enterprise Content Management System Migration and Cloud Hosting</t>
        </is>
      </c>
      <c r="E1487" t="inlineStr">
        <is>
          <t xml:space="preserve">State University of New York </t>
        </is>
      </c>
      <c r="F1487" t="inlineStr">
        <is>
          <t>New York</t>
        </is>
      </c>
      <c r="G1487" t="inlineStr">
        <is>
          <t>Submitted</t>
        </is>
      </c>
      <c r="H1487" t="inlineStr">
        <is>
          <t>No</t>
        </is>
      </c>
      <c r="J1487" s="96" t="n">
        <v>45868</v>
      </c>
      <c r="K1487" s="96" t="n">
        <v>45868</v>
      </c>
      <c r="M1487" t="inlineStr">
        <is>
          <t>Platform Implementation (ERP, CRMs)</t>
        </is>
      </c>
      <c r="O1487" t="inlineStr">
        <is>
          <t>Jyothsna Nanda kishore</t>
        </is>
      </c>
      <c r="Y1487" s="96" t="n">
        <v>45869</v>
      </c>
      <c r="Z1487" t="inlineStr">
        <is>
          <t>https://app.hubspot.com/contacts/243046792/record/0-3/134586520299</t>
        </is>
      </c>
    </row>
    <row r="1488">
      <c r="A1488" t="n">
        <v>1487</v>
      </c>
      <c r="B1488" t="inlineStr">
        <is>
          <t>135126706876</t>
        </is>
      </c>
      <c r="D1488" t="inlineStr">
        <is>
          <t>Enterprise Resource Planning Solution</t>
        </is>
      </c>
      <c r="E1488" t="inlineStr">
        <is>
          <t>Minnesota Valley Transit Authority</t>
        </is>
      </c>
      <c r="G1488" t="inlineStr">
        <is>
          <t>Submitted</t>
        </is>
      </c>
      <c r="H1488" t="inlineStr">
        <is>
          <t>No</t>
        </is>
      </c>
      <c r="J1488" s="96" t="n">
        <v>45868</v>
      </c>
      <c r="K1488" s="96" t="n">
        <v>45868</v>
      </c>
      <c r="M1488" t="inlineStr">
        <is>
          <t>Platform Implementation (ERP, CRMs)</t>
        </is>
      </c>
      <c r="O1488" t="inlineStr">
        <is>
          <t>Jyothsna Nanda kishore</t>
        </is>
      </c>
      <c r="Y1488" s="96" t="n">
        <v>45869</v>
      </c>
      <c r="Z1488" t="inlineStr">
        <is>
          <t>https://app.hubspot.com/contacts/243046792/record/0-3/135126706876</t>
        </is>
      </c>
    </row>
    <row r="1489">
      <c r="A1489" t="n">
        <v>1488</v>
      </c>
      <c r="B1489" t="inlineStr">
        <is>
          <t>135143267010</t>
        </is>
      </c>
      <c r="C1489" t="inlineStr">
        <is>
          <t>2025-03</t>
        </is>
      </c>
      <c r="D1489" t="inlineStr">
        <is>
          <t>RFP for Managed Service Provider for Information Technology Services</t>
        </is>
      </c>
      <c r="E1489" t="inlineStr">
        <is>
          <t>Bloomfield Hills</t>
        </is>
      </c>
      <c r="G1489" t="inlineStr">
        <is>
          <t>Submitted</t>
        </is>
      </c>
      <c r="H1489" t="inlineStr">
        <is>
          <t>No</t>
        </is>
      </c>
      <c r="J1489" s="96" t="n">
        <v>45868</v>
      </c>
      <c r="K1489" s="96" t="n">
        <v>45868</v>
      </c>
      <c r="L1489" t="n">
        <v>1117229</v>
      </c>
      <c r="M1489" t="inlineStr">
        <is>
          <t>Managed Services (MSP)</t>
        </is>
      </c>
      <c r="N1489" t="inlineStr">
        <is>
          <t>Email</t>
        </is>
      </c>
      <c r="O1489" t="inlineStr">
        <is>
          <t>Jyothsna Nanda kishore</t>
        </is>
      </c>
      <c r="Y1489" s="96" t="n">
        <v>45869</v>
      </c>
      <c r="Z1489" t="inlineStr">
        <is>
          <t>https://app.hubspot.com/contacts/243046792/record/0-3/135143267010</t>
        </is>
      </c>
    </row>
    <row r="1490">
      <c r="A1490" t="n">
        <v>1489</v>
      </c>
      <c r="B1490" t="inlineStr">
        <is>
          <t>134586522361</t>
        </is>
      </c>
      <c r="C1490" t="inlineStr">
        <is>
          <t>BD-26-1064-1064-02481-118637</t>
        </is>
      </c>
      <c r="D1490" t="inlineStr">
        <is>
          <t>Peoplesoft Managed Services</t>
        </is>
      </c>
      <c r="E1490" t="inlineStr">
        <is>
          <t>Massbay Community College</t>
        </is>
      </c>
      <c r="F1490" t="inlineStr">
        <is>
          <t>Massachusetts</t>
        </is>
      </c>
      <c r="G1490" t="inlineStr">
        <is>
          <t>Interview</t>
        </is>
      </c>
      <c r="H1490" t="inlineStr">
        <is>
          <t>Yes</t>
        </is>
      </c>
      <c r="J1490" s="96" t="n">
        <v>45868</v>
      </c>
      <c r="K1490" s="96" t="n">
        <v>45868</v>
      </c>
      <c r="L1490" t="n">
        <v>286870</v>
      </c>
      <c r="M1490" t="inlineStr">
        <is>
          <t>Managed Services (MSP)</t>
        </is>
      </c>
      <c r="N1490" t="inlineStr">
        <is>
          <t>Offline</t>
        </is>
      </c>
      <c r="O1490" t="inlineStr">
        <is>
          <t>Jyothsna Nanda kishore</t>
        </is>
      </c>
      <c r="Y1490" s="96" t="n">
        <v>45869</v>
      </c>
      <c r="Z1490" t="inlineStr">
        <is>
          <t>https://app.hubspot.com/contacts/243046792/record/0-3/134586522361</t>
        </is>
      </c>
    </row>
    <row r="1491">
      <c r="A1491" t="n">
        <v>1490</v>
      </c>
      <c r="B1491" t="inlineStr">
        <is>
          <t>135147586294</t>
        </is>
      </c>
      <c r="D1491" t="inlineStr">
        <is>
          <t>Managed Services Provider (MSP) Services</t>
        </is>
      </c>
      <c r="E1491" t="inlineStr">
        <is>
          <t>Community Council Health Systems</t>
        </is>
      </c>
      <c r="G1491" t="inlineStr">
        <is>
          <t>Submitted</t>
        </is>
      </c>
      <c r="H1491" t="inlineStr">
        <is>
          <t>No</t>
        </is>
      </c>
      <c r="J1491" s="96" t="n">
        <v>45861</v>
      </c>
      <c r="K1491" s="96" t="n">
        <v>45861</v>
      </c>
      <c r="L1491" t="n">
        <v>879750</v>
      </c>
      <c r="M1491" t="inlineStr">
        <is>
          <t>Managed Services (MSP)</t>
        </is>
      </c>
      <c r="O1491" t="inlineStr">
        <is>
          <t>Jyothsna Nanda kishore</t>
        </is>
      </c>
      <c r="Y1491" s="96" t="n">
        <v>45869</v>
      </c>
      <c r="Z1491" t="inlineStr">
        <is>
          <t>https://app.hubspot.com/contacts/243046792/record/0-3/135147586294</t>
        </is>
      </c>
    </row>
    <row r="1492">
      <c r="A1492" t="n">
        <v>1491</v>
      </c>
      <c r="B1492" t="inlineStr">
        <is>
          <t>134586524370</t>
        </is>
      </c>
      <c r="D1492" t="inlineStr">
        <is>
          <t>HRIS Consultant Services</t>
        </is>
      </c>
      <c r="E1492" t="inlineStr">
        <is>
          <t>Capitol Region Education Council</t>
        </is>
      </c>
      <c r="G1492" t="inlineStr">
        <is>
          <t>Submitted</t>
        </is>
      </c>
      <c r="H1492" t="inlineStr">
        <is>
          <t>No</t>
        </is>
      </c>
      <c r="J1492" s="96" t="n">
        <v>45869</v>
      </c>
      <c r="K1492" s="96" t="n">
        <v>45869</v>
      </c>
      <c r="M1492" t="inlineStr">
        <is>
          <t>Consulting</t>
        </is>
      </c>
      <c r="O1492" t="inlineStr">
        <is>
          <t>Jyothsna Nanda kishore</t>
        </is>
      </c>
      <c r="Y1492" s="96" t="n">
        <v>45869</v>
      </c>
      <c r="Z1492" t="inlineStr">
        <is>
          <t>https://app.hubspot.com/contacts/243046792/record/0-3/134586524370</t>
        </is>
      </c>
    </row>
    <row r="1493">
      <c r="A1493" t="n">
        <v>1492</v>
      </c>
      <c r="B1493" t="inlineStr">
        <is>
          <t>135153706702</t>
        </is>
      </c>
      <c r="D1493" t="inlineStr">
        <is>
          <t>IT Resource Provisioning</t>
        </is>
      </c>
      <c r="E1493" t="inlineStr">
        <is>
          <t>Connecticut Housing Finance Authority (“CHFA”)</t>
        </is>
      </c>
      <c r="G1493" t="inlineStr">
        <is>
          <t>Submitted</t>
        </is>
      </c>
      <c r="H1493" t="inlineStr">
        <is>
          <t>No</t>
        </is>
      </c>
      <c r="K1493" s="96" t="n">
        <v>45868</v>
      </c>
      <c r="N1493" t="inlineStr">
        <is>
          <t>Email</t>
        </is>
      </c>
      <c r="O1493" t="inlineStr">
        <is>
          <t>Jyothsna Nanda kishore</t>
        </is>
      </c>
      <c r="Y1493" s="96" t="n">
        <v>45869</v>
      </c>
      <c r="Z1493" t="inlineStr">
        <is>
          <t>https://app.hubspot.com/contacts/243046792/record/0-3/135153706702</t>
        </is>
      </c>
    </row>
    <row r="1494">
      <c r="A1494" t="n">
        <v>1493</v>
      </c>
      <c r="B1494" t="inlineStr">
        <is>
          <t>135156226796</t>
        </is>
      </c>
      <c r="D1494" t="inlineStr">
        <is>
          <t>Advanced IT Support for Hydro Database</t>
        </is>
      </c>
      <c r="G1494" t="inlineStr">
        <is>
          <t>Submitted</t>
        </is>
      </c>
      <c r="H1494" t="inlineStr">
        <is>
          <t>No</t>
        </is>
      </c>
      <c r="J1494" s="96" t="n">
        <v>45882</v>
      </c>
      <c r="K1494" s="96" t="n">
        <v>45869</v>
      </c>
      <c r="N1494" t="inlineStr">
        <is>
          <t>Email</t>
        </is>
      </c>
      <c r="O1494" t="inlineStr">
        <is>
          <t>Madhav Mitruka</t>
        </is>
      </c>
      <c r="Y1494" s="96" t="n">
        <v>45869</v>
      </c>
      <c r="Z1494" t="inlineStr">
        <is>
          <t>https://app.hubspot.com/contacts/243046792/record/0-3/135156226796</t>
        </is>
      </c>
    </row>
    <row r="1495">
      <c r="A1495" t="n">
        <v>1494</v>
      </c>
      <c r="B1495" t="inlineStr">
        <is>
          <t>135161266927</t>
        </is>
      </c>
      <c r="C1495" t="inlineStr">
        <is>
          <t>RFQ1757529S</t>
        </is>
      </c>
      <c r="D1495" t="inlineStr">
        <is>
          <t>Oracle Professional Consulting Services</t>
        </is>
      </c>
      <c r="E1495" t="inlineStr">
        <is>
          <t>Florida Department of Agriculture and Consumer Services (FDACS</t>
        </is>
      </c>
      <c r="G1495" t="inlineStr">
        <is>
          <t>Submitted</t>
        </is>
      </c>
      <c r="H1495" t="inlineStr">
        <is>
          <t>No</t>
        </is>
      </c>
      <c r="J1495" s="96" t="n">
        <v>45807</v>
      </c>
      <c r="K1495" s="96" t="n">
        <v>45807</v>
      </c>
      <c r="M1495" t="inlineStr">
        <is>
          <t>Consulting</t>
        </is>
      </c>
      <c r="N1495" t="inlineStr">
        <is>
          <t>Email</t>
        </is>
      </c>
      <c r="O1495" t="inlineStr">
        <is>
          <t>Madhav Mitruka</t>
        </is>
      </c>
      <c r="Y1495" s="96" t="n">
        <v>45869</v>
      </c>
      <c r="Z1495" t="inlineStr">
        <is>
          <t>https://app.hubspot.com/contacts/243046792/record/0-3/135161266927</t>
        </is>
      </c>
    </row>
    <row r="1496">
      <c r="A1496" t="n">
        <v>1495</v>
      </c>
      <c r="B1496" t="inlineStr">
        <is>
          <t>135161267898</t>
        </is>
      </c>
      <c r="C1496" t="inlineStr">
        <is>
          <t>61110 BIBB PE-61110-NONST-2026-000000073</t>
        </is>
      </c>
      <c r="D1496" t="inlineStr">
        <is>
          <t>SEIM/SOC/XDR solution - Bibb County Board of Education [GA]</t>
        </is>
      </c>
      <c r="G1496" t="inlineStr">
        <is>
          <t>Submitted</t>
        </is>
      </c>
      <c r="H1496" t="inlineStr">
        <is>
          <t>No</t>
        </is>
      </c>
      <c r="J1496" s="96" t="n">
        <v>45892</v>
      </c>
      <c r="K1496" s="96" t="n">
        <v>45894</v>
      </c>
      <c r="O1496" t="inlineStr">
        <is>
          <t>Jyothsna Nanda kishore</t>
        </is>
      </c>
      <c r="Y1496" s="96" t="n">
        <v>45869</v>
      </c>
      <c r="Z1496" t="inlineStr">
        <is>
          <t>https://app.hubspot.com/contacts/243046792/record/0-3/135161267898</t>
        </is>
      </c>
    </row>
    <row r="1497">
      <c r="A1497" t="n">
        <v>1496</v>
      </c>
      <c r="B1497" t="inlineStr">
        <is>
          <t>135161987771</t>
        </is>
      </c>
      <c r="C1497" t="inlineStr">
        <is>
          <t>RFQ1763049S</t>
        </is>
      </c>
      <c r="D1497" t="inlineStr">
        <is>
          <t>CGI Advantage - User Acceptance Testing (UAT) Support for Suffolk County, NY</t>
        </is>
      </c>
      <c r="E1497" t="inlineStr">
        <is>
          <t>SUFFOLK COUNTY DEPT OF IT</t>
        </is>
      </c>
      <c r="G1497" t="inlineStr">
        <is>
          <t>Submitted</t>
        </is>
      </c>
      <c r="H1497" t="inlineStr">
        <is>
          <t>No</t>
        </is>
      </c>
      <c r="J1497" s="96" t="n">
        <v>45828</v>
      </c>
      <c r="M1497" t="inlineStr">
        <is>
          <t>Support &amp; Maintenance</t>
        </is>
      </c>
      <c r="O1497" t="inlineStr">
        <is>
          <t>Madhav Mitruka</t>
        </is>
      </c>
      <c r="Y1497" s="96" t="n">
        <v>45869</v>
      </c>
      <c r="Z1497" t="inlineStr">
        <is>
          <t>https://app.hubspot.com/contacts/243046792/record/0-3/135161987771</t>
        </is>
      </c>
    </row>
    <row r="1498">
      <c r="A1498" t="n">
        <v>1497</v>
      </c>
      <c r="B1498" t="inlineStr">
        <is>
          <t>135185042167</t>
        </is>
      </c>
      <c r="C1498" t="inlineStr">
        <is>
          <t>RFQ1772152S</t>
        </is>
      </c>
      <c r="D1498" t="inlineStr">
        <is>
          <t>RFQ FNW 24 25 32</t>
        </is>
      </c>
      <c r="E1498" t="inlineStr">
        <is>
          <t>Florida Department of Agriculture and Consumer Services (FDACS</t>
        </is>
      </c>
      <c r="G1498" t="inlineStr">
        <is>
          <t>Submitted</t>
        </is>
      </c>
      <c r="H1498" t="inlineStr">
        <is>
          <t>No</t>
        </is>
      </c>
      <c r="J1498" s="96" t="n">
        <v>45884</v>
      </c>
      <c r="K1498" s="96" t="n">
        <v>45884</v>
      </c>
      <c r="M1498" t="inlineStr">
        <is>
          <t>Support &amp; Maintenance</t>
        </is>
      </c>
      <c r="O1498" t="inlineStr">
        <is>
          <t>Madhav Mitruka</t>
        </is>
      </c>
      <c r="Y1498" s="96" t="n">
        <v>45869</v>
      </c>
      <c r="Z1498" t="inlineStr">
        <is>
          <t>https://app.hubspot.com/contacts/243046792/record/0-3/135185042167</t>
        </is>
      </c>
    </row>
    <row r="1499">
      <c r="A1499" t="n">
        <v>1498</v>
      </c>
      <c r="B1499" t="inlineStr">
        <is>
          <t>135198806776</t>
        </is>
      </c>
      <c r="C1499" t="inlineStr">
        <is>
          <t>RFP 54-009-2515</t>
        </is>
      </c>
      <c r="D1499" t="inlineStr">
        <is>
          <t>Co-Managed Advanced IT Security and IT Services</t>
        </is>
      </c>
      <c r="E1499" t="inlineStr">
        <is>
          <t>Putnam County School District</t>
        </is>
      </c>
      <c r="G1499" t="inlineStr">
        <is>
          <t>Closed Lost</t>
        </is>
      </c>
      <c r="H1499" t="inlineStr">
        <is>
          <t>No</t>
        </is>
      </c>
      <c r="J1499" s="96" t="n">
        <v>45902</v>
      </c>
      <c r="K1499" s="96" t="n">
        <v>45882</v>
      </c>
      <c r="L1499" t="n">
        <v>198000</v>
      </c>
      <c r="M1499" t="inlineStr">
        <is>
          <t>Managed Services (MSP)</t>
        </is>
      </c>
      <c r="N1499" t="inlineStr">
        <is>
          <t>Portal</t>
        </is>
      </c>
      <c r="O1499" t="inlineStr">
        <is>
          <t>Madhav Mitruka</t>
        </is>
      </c>
      <c r="Y1499" s="96" t="n">
        <v>45869</v>
      </c>
      <c r="Z1499" t="inlineStr">
        <is>
          <t>https://app.hubspot.com/contacts/243046792/record/0-3/135198806776</t>
        </is>
      </c>
    </row>
    <row r="1500">
      <c r="A1500" t="n">
        <v>1499</v>
      </c>
      <c r="B1500" t="inlineStr">
        <is>
          <t>135188284096</t>
        </is>
      </c>
      <c r="C1500" t="inlineStr">
        <is>
          <t>26-099</t>
        </is>
      </c>
      <c r="D1500" t="inlineStr">
        <is>
          <t>RFP Professional IT Services for the City of Syracuse</t>
        </is>
      </c>
      <c r="E1500" t="inlineStr">
        <is>
          <t>City of Syracuse</t>
        </is>
      </c>
      <c r="G1500" t="inlineStr">
        <is>
          <t>Submitted</t>
        </is>
      </c>
      <c r="H1500" t="inlineStr">
        <is>
          <t>No</t>
        </is>
      </c>
      <c r="J1500" s="96" t="n">
        <v>45912</v>
      </c>
      <c r="K1500" s="96" t="n">
        <v>45911</v>
      </c>
      <c r="N1500" t="inlineStr">
        <is>
          <t>Portal</t>
        </is>
      </c>
      <c r="O1500" t="inlineStr">
        <is>
          <t>Madhav Mitruka</t>
        </is>
      </c>
      <c r="Y1500" s="96" t="n">
        <v>45869</v>
      </c>
      <c r="Z1500" t="inlineStr">
        <is>
          <t>https://app.hubspot.com/contacts/243046792/record/0-3/135188284096</t>
        </is>
      </c>
    </row>
    <row r="1501">
      <c r="A1501" t="n">
        <v>1500</v>
      </c>
      <c r="B1501" t="inlineStr">
        <is>
          <t>135198731976</t>
        </is>
      </c>
      <c r="C1501" t="inlineStr">
        <is>
          <t>26-01</t>
        </is>
      </c>
      <c r="D1501" t="inlineStr">
        <is>
          <t>Website Content Management</t>
        </is>
      </c>
      <c r="G1501" t="inlineStr">
        <is>
          <t>Submitted</t>
        </is>
      </c>
      <c r="H1501" t="inlineStr">
        <is>
          <t>No</t>
        </is>
      </c>
      <c r="J1501" s="96" t="n">
        <v>45869</v>
      </c>
      <c r="K1501" s="96" t="n">
        <v>45869</v>
      </c>
      <c r="O1501" t="inlineStr">
        <is>
          <t>Jyothsna Nanda kishore</t>
        </is>
      </c>
      <c r="Y1501" s="96" t="n">
        <v>45869</v>
      </c>
      <c r="Z1501" t="inlineStr">
        <is>
          <t>https://app.hubspot.com/contacts/243046792/record/0-3/135198731976</t>
        </is>
      </c>
    </row>
    <row r="1502">
      <c r="A1502" t="n">
        <v>1501</v>
      </c>
      <c r="B1502" t="inlineStr">
        <is>
          <t>135218883311</t>
        </is>
      </c>
      <c r="D1502" t="inlineStr">
        <is>
          <t>Dire Staff Augmentation</t>
        </is>
      </c>
      <c r="E1502" t="inlineStr">
        <is>
          <t>EdgeMarket NJ</t>
        </is>
      </c>
      <c r="F1502" t="inlineStr">
        <is>
          <t>New Jersey</t>
        </is>
      </c>
      <c r="G1502" t="inlineStr">
        <is>
          <t>Submitted</t>
        </is>
      </c>
      <c r="H1502" t="inlineStr">
        <is>
          <t>No</t>
        </is>
      </c>
      <c r="K1502" s="96" t="n">
        <v>45853</v>
      </c>
      <c r="M1502" t="inlineStr">
        <is>
          <t>Staff Augmentation</t>
        </is>
      </c>
      <c r="N1502" t="inlineStr">
        <is>
          <t>Portal</t>
        </is>
      </c>
      <c r="O1502" t="inlineStr">
        <is>
          <t>Jyothsna Nanda kishore</t>
        </is>
      </c>
      <c r="Y1502" s="96" t="n">
        <v>45869</v>
      </c>
      <c r="Z1502" t="inlineStr">
        <is>
          <t>https://app.hubspot.com/contacts/243046792/record/0-3/135218883311</t>
        </is>
      </c>
    </row>
    <row r="1503">
      <c r="A1503" t="n">
        <v>1502</v>
      </c>
      <c r="B1503" t="inlineStr">
        <is>
          <t>135198802670</t>
        </is>
      </c>
      <c r="C1503" t="inlineStr">
        <is>
          <t>61110 BIBB PE-61110-NONST-2026-000000072</t>
        </is>
      </c>
      <c r="D1503" t="inlineStr">
        <is>
          <t>26-004 ERATE EMAIL Security Solution</t>
        </is>
      </c>
      <c r="G1503" t="inlineStr">
        <is>
          <t>Submitted</t>
        </is>
      </c>
      <c r="H1503" t="inlineStr">
        <is>
          <t>No</t>
        </is>
      </c>
      <c r="J1503" s="96" t="n">
        <v>45891</v>
      </c>
      <c r="K1503" s="96" t="n">
        <v>45891</v>
      </c>
      <c r="L1503" t="n">
        <v>1818170</v>
      </c>
      <c r="O1503" t="inlineStr">
        <is>
          <t>Jyothsna Nanda kishore</t>
        </is>
      </c>
      <c r="Y1503" s="96" t="n">
        <v>45870</v>
      </c>
      <c r="Z1503" t="inlineStr">
        <is>
          <t>https://app.hubspot.com/contacts/243046792/record/0-3/135198802670</t>
        </is>
      </c>
    </row>
    <row r="1504">
      <c r="A1504" t="n">
        <v>1503</v>
      </c>
      <c r="B1504" t="inlineStr">
        <is>
          <t>135492137692</t>
        </is>
      </c>
      <c r="C1504" t="inlineStr">
        <is>
          <t>RFB-IS-26200041-1</t>
        </is>
      </c>
      <c r="D1504" t="inlineStr">
        <is>
          <t>ITSM AND ESM SOLUTION</t>
        </is>
      </c>
      <c r="E1504" t="inlineStr">
        <is>
          <t>Los Angeles County</t>
        </is>
      </c>
      <c r="G1504" t="inlineStr">
        <is>
          <t>Submitted</t>
        </is>
      </c>
      <c r="H1504" t="inlineStr">
        <is>
          <t>No</t>
        </is>
      </c>
      <c r="J1504" s="96" t="n">
        <v>45870</v>
      </c>
      <c r="K1504" s="96" t="n">
        <v>45870</v>
      </c>
      <c r="M1504" t="inlineStr">
        <is>
          <t>Platform Implementation (ERP, CRMs);Reseller</t>
        </is>
      </c>
      <c r="O1504" t="inlineStr">
        <is>
          <t>Madhav Mitruka</t>
        </is>
      </c>
      <c r="Y1504" s="96" t="n">
        <v>45870</v>
      </c>
      <c r="Z1504" t="inlineStr">
        <is>
          <t>https://app.hubspot.com/contacts/243046792/record/0-3/135492137692</t>
        </is>
      </c>
    </row>
    <row r="1505">
      <c r="A1505" t="n">
        <v>1504</v>
      </c>
      <c r="B1505" t="inlineStr">
        <is>
          <t>135498616554</t>
        </is>
      </c>
      <c r="C1505" t="inlineStr">
        <is>
          <t>RFQ-RC-2025-127</t>
        </is>
      </c>
      <c r="D1505" t="inlineStr">
        <is>
          <t>Veeam Data Platform</t>
        </is>
      </c>
      <c r="E1505" t="inlineStr">
        <is>
          <t>County of Rockland</t>
        </is>
      </c>
      <c r="F1505" t="inlineStr">
        <is>
          <t>New York</t>
        </is>
      </c>
      <c r="G1505" t="inlineStr">
        <is>
          <t>Closed Lost</t>
        </is>
      </c>
      <c r="H1505" t="inlineStr">
        <is>
          <t>No</t>
        </is>
      </c>
      <c r="J1505" s="96" t="n">
        <v>45877</v>
      </c>
      <c r="K1505" s="96" t="n">
        <v>45870</v>
      </c>
      <c r="L1505" t="n">
        <v>9175</v>
      </c>
      <c r="M1505" t="inlineStr">
        <is>
          <t>Reseller</t>
        </is>
      </c>
      <c r="N1505" t="inlineStr">
        <is>
          <t>Portal</t>
        </is>
      </c>
      <c r="O1505" t="inlineStr">
        <is>
          <t>Madhav Mitruka</t>
        </is>
      </c>
      <c r="Y1505" s="96" t="n">
        <v>45870</v>
      </c>
      <c r="Z1505" t="inlineStr">
        <is>
          <t>https://app.hubspot.com/contacts/243046792/record/0-3/135498616554</t>
        </is>
      </c>
    </row>
    <row r="1506">
      <c r="A1506" t="n">
        <v>1505</v>
      </c>
      <c r="B1506" t="inlineStr">
        <is>
          <t>135198810823</t>
        </is>
      </c>
      <c r="D1506" t="inlineStr">
        <is>
          <t>Managed IT Service Provider - Liberty Township,  Butler County, Ohio</t>
        </is>
      </c>
      <c r="E1506" t="inlineStr">
        <is>
          <t>Liberty Township,  Butler County, Ohio</t>
        </is>
      </c>
      <c r="G1506" t="inlineStr">
        <is>
          <t>Submitted</t>
        </is>
      </c>
      <c r="H1506" t="inlineStr">
        <is>
          <t>No</t>
        </is>
      </c>
      <c r="J1506" s="96" t="n">
        <v>45891</v>
      </c>
      <c r="K1506" s="96" t="n">
        <v>45892</v>
      </c>
      <c r="L1506" t="n">
        <v>160000</v>
      </c>
      <c r="M1506" t="inlineStr">
        <is>
          <t>Managed Services (MSP)</t>
        </is>
      </c>
      <c r="O1506" t="inlineStr">
        <is>
          <t>Madhav Mitruka</t>
        </is>
      </c>
      <c r="Y1506" s="96" t="n">
        <v>45870</v>
      </c>
      <c r="Z1506" t="inlineStr">
        <is>
          <t>https://app.hubspot.com/contacts/243046792/record/0-3/135198810823</t>
        </is>
      </c>
    </row>
    <row r="1507">
      <c r="A1507" t="n">
        <v>1506</v>
      </c>
      <c r="B1507" t="inlineStr">
        <is>
          <t>135198810853</t>
        </is>
      </c>
      <c r="C1507" t="inlineStr">
        <is>
          <t>100-25</t>
        </is>
      </c>
      <c r="D1507" t="inlineStr">
        <is>
          <t>RFP - Corporate Penetration Test</t>
        </is>
      </c>
      <c r="G1507" t="inlineStr">
        <is>
          <t>Submitted</t>
        </is>
      </c>
      <c r="H1507" t="inlineStr">
        <is>
          <t>No</t>
        </is>
      </c>
      <c r="J1507" s="96" t="n">
        <v>45876</v>
      </c>
      <c r="K1507" s="96" t="n">
        <v>45876</v>
      </c>
      <c r="O1507" t="inlineStr">
        <is>
          <t>Jyothsna Nanda kishore</t>
        </is>
      </c>
      <c r="Y1507" s="96" t="n">
        <v>45870</v>
      </c>
      <c r="Z1507" t="inlineStr">
        <is>
          <t>https://app.hubspot.com/contacts/243046792/record/0-3/135198810853</t>
        </is>
      </c>
    </row>
    <row r="1508">
      <c r="A1508" t="n">
        <v>1507</v>
      </c>
      <c r="B1508" t="inlineStr">
        <is>
          <t>135198815982</t>
        </is>
      </c>
      <c r="D1508" t="inlineStr">
        <is>
          <t>Network Penetration Test St. Louis Community College B26RFP0001</t>
        </is>
      </c>
      <c r="G1508" t="inlineStr">
        <is>
          <t>Submitted</t>
        </is>
      </c>
      <c r="H1508" t="inlineStr">
        <is>
          <t>No</t>
        </is>
      </c>
      <c r="J1508" s="96" t="n">
        <v>45884</v>
      </c>
      <c r="K1508" s="96" t="n">
        <v>45884</v>
      </c>
      <c r="O1508" t="inlineStr">
        <is>
          <t>Jyothsna Nanda kishore</t>
        </is>
      </c>
      <c r="Y1508" s="96" t="n">
        <v>45870</v>
      </c>
      <c r="Z1508" t="inlineStr">
        <is>
          <t>https://app.hubspot.com/contacts/243046792/record/0-3/135198815982</t>
        </is>
      </c>
    </row>
    <row r="1509">
      <c r="A1509" t="n">
        <v>1508</v>
      </c>
      <c r="B1509" t="inlineStr">
        <is>
          <t>135506177783</t>
        </is>
      </c>
      <c r="D1509" t="inlineStr">
        <is>
          <t>Managed IT Services Provider (RFP 25‑04) County of Coryell (TX)</t>
        </is>
      </c>
      <c r="G1509" t="inlineStr">
        <is>
          <t>Submitted</t>
        </is>
      </c>
      <c r="H1509" t="inlineStr">
        <is>
          <t>No</t>
        </is>
      </c>
      <c r="J1509" s="96" t="n">
        <v>45894</v>
      </c>
      <c r="K1509" s="96" t="n">
        <v>45894</v>
      </c>
      <c r="M1509" t="inlineStr">
        <is>
          <t>Managed Services (MSP)</t>
        </is>
      </c>
      <c r="O1509" t="inlineStr">
        <is>
          <t>Jyothsna Nanda kishore</t>
        </is>
      </c>
      <c r="Y1509" s="96" t="n">
        <v>45870</v>
      </c>
      <c r="Z1509" t="inlineStr">
        <is>
          <t>https://app.hubspot.com/contacts/243046792/record/0-3/135506177783</t>
        </is>
      </c>
    </row>
    <row r="1510">
      <c r="A1510" t="n">
        <v>1509</v>
      </c>
      <c r="B1510" t="inlineStr">
        <is>
          <t>135198817985</t>
        </is>
      </c>
      <c r="C1510" t="inlineStr">
        <is>
          <t>P26-RFP-01</t>
        </is>
      </c>
      <c r="D1510" t="inlineStr">
        <is>
          <t>Managed Detection And Response, Mdr, Solution Union Public Schools, Oklahoma</t>
        </is>
      </c>
      <c r="E1510" t="inlineStr">
        <is>
          <t>Union Public Schools</t>
        </is>
      </c>
      <c r="G1510" t="inlineStr">
        <is>
          <t>Submitted</t>
        </is>
      </c>
      <c r="H1510" t="inlineStr">
        <is>
          <t>No</t>
        </is>
      </c>
      <c r="J1510" s="96" t="n">
        <v>45894</v>
      </c>
      <c r="K1510" s="96" t="n">
        <v>45894</v>
      </c>
      <c r="L1510" t="n">
        <v>2112120</v>
      </c>
      <c r="M1510" t="inlineStr">
        <is>
          <t>Managed Services (MSP)</t>
        </is>
      </c>
      <c r="N1510" t="inlineStr">
        <is>
          <t>Portal</t>
        </is>
      </c>
      <c r="O1510" t="inlineStr">
        <is>
          <t>Jyothsna Nanda kishore</t>
        </is>
      </c>
      <c r="Y1510" s="96" t="n">
        <v>45870</v>
      </c>
      <c r="Z1510" t="inlineStr">
        <is>
          <t>https://app.hubspot.com/contacts/243046792/record/0-3/135198817985</t>
        </is>
      </c>
    </row>
    <row r="1511">
      <c r="A1511" t="n">
        <v>1510</v>
      </c>
      <c r="B1511" t="inlineStr">
        <is>
          <t>135506179783</t>
        </is>
      </c>
      <c r="C1511" t="inlineStr">
        <is>
          <t>00245</t>
        </is>
      </c>
      <c r="D1511" t="inlineStr">
        <is>
          <t xml:space="preserve">Internal It Audit Support </t>
        </is>
      </c>
      <c r="E1511" t="inlineStr">
        <is>
          <t xml:space="preserve">Oakland University </t>
        </is>
      </c>
      <c r="G1511" t="inlineStr">
        <is>
          <t>Submitted</t>
        </is>
      </c>
      <c r="H1511" t="inlineStr">
        <is>
          <t>No</t>
        </is>
      </c>
      <c r="J1511" s="96" t="n">
        <v>45877</v>
      </c>
      <c r="K1511" s="96" t="n">
        <v>45877</v>
      </c>
      <c r="L1511" t="n">
        <v>25200</v>
      </c>
      <c r="M1511" t="inlineStr">
        <is>
          <t>Audits and Assessment</t>
        </is>
      </c>
      <c r="N1511" t="inlineStr">
        <is>
          <t>Portal</t>
        </is>
      </c>
      <c r="O1511" t="inlineStr">
        <is>
          <t>Jyothsna Nanda kishore</t>
        </is>
      </c>
      <c r="Y1511" s="96" t="n">
        <v>45870</v>
      </c>
      <c r="Z1511" t="inlineStr">
        <is>
          <t>https://app.hubspot.com/contacts/243046792/record/0-3/135506179783</t>
        </is>
      </c>
    </row>
    <row r="1512">
      <c r="A1512" t="n">
        <v>1511</v>
      </c>
      <c r="B1512" t="inlineStr">
        <is>
          <t>135506181833</t>
        </is>
      </c>
      <c r="D1512" t="inlineStr">
        <is>
          <t>Cit Cybersecurity Audit Coquille Indian Tribe</t>
        </is>
      </c>
      <c r="E1512" t="inlineStr">
        <is>
          <t>Coquille Indian Tribe</t>
        </is>
      </c>
      <c r="F1512" t="inlineStr">
        <is>
          <t>Oregon</t>
        </is>
      </c>
      <c r="G1512" t="inlineStr">
        <is>
          <t>Submitted</t>
        </is>
      </c>
      <c r="H1512" t="inlineStr">
        <is>
          <t>No</t>
        </is>
      </c>
      <c r="J1512" s="96" t="n">
        <v>45895</v>
      </c>
      <c r="K1512" s="96" t="n">
        <v>45895</v>
      </c>
      <c r="N1512" t="inlineStr">
        <is>
          <t>Email</t>
        </is>
      </c>
      <c r="O1512" t="inlineStr">
        <is>
          <t>Jyothsna Nanda kishore</t>
        </is>
      </c>
      <c r="Y1512" s="96" t="n">
        <v>45870</v>
      </c>
      <c r="Z1512" t="inlineStr">
        <is>
          <t>https://app.hubspot.com/contacts/243046792/record/0-3/135506181833</t>
        </is>
      </c>
    </row>
    <row r="1513">
      <c r="A1513" t="n">
        <v>1512</v>
      </c>
      <c r="B1513" t="inlineStr">
        <is>
          <t>135506181838</t>
        </is>
      </c>
      <c r="C1513" t="inlineStr">
        <is>
          <t>25-003</t>
        </is>
      </c>
      <c r="D1513" t="inlineStr">
        <is>
          <t>25-003 - E-Rate FCC Cyber Program - Endpoint Security. Westminster Public Schools</t>
        </is>
      </c>
      <c r="G1513" t="inlineStr">
        <is>
          <t>Submitted</t>
        </is>
      </c>
      <c r="H1513" t="inlineStr">
        <is>
          <t>No</t>
        </is>
      </c>
      <c r="J1513" s="96" t="n">
        <v>45896</v>
      </c>
      <c r="K1513" s="96" t="n">
        <v>45900</v>
      </c>
      <c r="L1513" t="n">
        <v>589680</v>
      </c>
      <c r="M1513" t="inlineStr">
        <is>
          <t>Platform Implementation (ERP, CRMs)</t>
        </is>
      </c>
      <c r="N1513" t="inlineStr">
        <is>
          <t>Portal</t>
        </is>
      </c>
      <c r="O1513" t="inlineStr">
        <is>
          <t>Jyothsna Nanda kishore</t>
        </is>
      </c>
      <c r="Y1513" s="96" t="n">
        <v>45870</v>
      </c>
      <c r="Z1513" t="inlineStr">
        <is>
          <t>https://app.hubspot.com/contacts/243046792/record/0-3/135506181838</t>
        </is>
      </c>
    </row>
    <row r="1514">
      <c r="A1514" t="n">
        <v>1513</v>
      </c>
      <c r="B1514" t="inlineStr">
        <is>
          <t>135198820082</t>
        </is>
      </c>
      <c r="C1514" t="inlineStr">
        <is>
          <t>SPB-IntoPA-2026-0581NH</t>
        </is>
      </c>
      <c r="D1514" t="inlineStr">
        <is>
          <t>Systemwide IT Consulting Services Montana State Procurement Bureau</t>
        </is>
      </c>
      <c r="E1514" t="inlineStr">
        <is>
          <t>State of Montana, State Procurement Services Division</t>
        </is>
      </c>
      <c r="F1514" t="inlineStr">
        <is>
          <t>Montana</t>
        </is>
      </c>
      <c r="G1514" t="inlineStr">
        <is>
          <t>Submitted</t>
        </is>
      </c>
      <c r="H1514" t="inlineStr">
        <is>
          <t>No</t>
        </is>
      </c>
      <c r="J1514" s="96" t="n">
        <v>45877</v>
      </c>
      <c r="K1514" s="96" t="n">
        <v>45877</v>
      </c>
      <c r="M1514" t="inlineStr">
        <is>
          <t>Consulting;Staff Augmentation</t>
        </is>
      </c>
      <c r="N1514" t="inlineStr">
        <is>
          <t>Portal</t>
        </is>
      </c>
      <c r="O1514" t="inlineStr">
        <is>
          <t>Jyothsna Nanda kishore</t>
        </is>
      </c>
      <c r="Y1514" s="96" t="n">
        <v>45870</v>
      </c>
      <c r="Z1514" t="inlineStr">
        <is>
          <t>https://app.hubspot.com/contacts/243046792/record/0-3/135198820082</t>
        </is>
      </c>
    </row>
    <row r="1515">
      <c r="A1515" t="n">
        <v>1514</v>
      </c>
      <c r="B1515" t="inlineStr">
        <is>
          <t>135198825206</t>
        </is>
      </c>
      <c r="C1515" t="inlineStr">
        <is>
          <t>24-25-78</t>
        </is>
      </c>
      <c r="D1515" t="inlineStr">
        <is>
          <t>City of Santa Clara - IT Project Management &amp; Consulting Services</t>
        </is>
      </c>
      <c r="E1515" t="inlineStr">
        <is>
          <t>City of Santa Clara</t>
        </is>
      </c>
      <c r="F1515" t="inlineStr">
        <is>
          <t>California</t>
        </is>
      </c>
      <c r="G1515" t="inlineStr">
        <is>
          <t>Closed Won</t>
        </is>
      </c>
      <c r="H1515" t="inlineStr">
        <is>
          <t>No</t>
        </is>
      </c>
      <c r="J1515" s="96" t="n">
        <v>45880</v>
      </c>
      <c r="M1515" t="inlineStr">
        <is>
          <t>Consulting</t>
        </is>
      </c>
      <c r="N1515" t="inlineStr">
        <is>
          <t>Portal</t>
        </is>
      </c>
      <c r="O1515" t="inlineStr">
        <is>
          <t>Madhav Mitruka</t>
        </is>
      </c>
      <c r="U1515" s="96" t="n">
        <v>45971</v>
      </c>
      <c r="Y1515" s="96" t="n">
        <v>45870</v>
      </c>
      <c r="Z1515" t="inlineStr">
        <is>
          <t>https://app.hubspot.com/contacts/243046792/record/0-3/135198825206</t>
        </is>
      </c>
    </row>
    <row r="1516">
      <c r="A1516" t="n">
        <v>1515</v>
      </c>
      <c r="B1516" t="inlineStr">
        <is>
          <t>135608301264</t>
        </is>
      </c>
      <c r="C1516" t="inlineStr">
        <is>
          <t>RFP-3578</t>
        </is>
      </c>
      <c r="D1516" t="inlineStr">
        <is>
          <t>Port Houston - Managed Network Operations Center Services</t>
        </is>
      </c>
      <c r="E1516" t="inlineStr">
        <is>
          <t>Port Houston</t>
        </is>
      </c>
      <c r="G1516" t="inlineStr">
        <is>
          <t>Closed Won</t>
        </is>
      </c>
      <c r="H1516" t="inlineStr">
        <is>
          <t>No</t>
        </is>
      </c>
      <c r="J1516" s="96" t="n">
        <v>45917</v>
      </c>
      <c r="K1516" s="96" t="n">
        <v>45819</v>
      </c>
      <c r="L1516" t="n">
        <v>1183000</v>
      </c>
      <c r="M1516" t="inlineStr">
        <is>
          <t>Managed Services (MSP)</t>
        </is>
      </c>
      <c r="O1516" t="inlineStr">
        <is>
          <t>Madhav Mitruka</t>
        </is>
      </c>
      <c r="U1516" s="96" t="n">
        <v>45967</v>
      </c>
      <c r="Y1516" s="96" t="n">
        <v>45870</v>
      </c>
      <c r="Z1516" t="inlineStr">
        <is>
          <t>https://app.hubspot.com/contacts/243046792/record/0-3/135608301264</t>
        </is>
      </c>
    </row>
    <row r="1517">
      <c r="A1517" t="n">
        <v>1516</v>
      </c>
      <c r="B1517" t="inlineStr">
        <is>
          <t>136249972446</t>
        </is>
      </c>
      <c r="C1517" t="inlineStr">
        <is>
          <t>#26-IT Services-001</t>
        </is>
      </c>
      <c r="D1517" t="inlineStr">
        <is>
          <t>Information Technology Consulting and Support Services</t>
        </is>
      </c>
      <c r="E1517" t="inlineStr">
        <is>
          <t>Northern New England Passenger Rail Authority</t>
        </is>
      </c>
      <c r="G1517" t="inlineStr">
        <is>
          <t>Closed Lost</t>
        </is>
      </c>
      <c r="H1517" t="inlineStr">
        <is>
          <t>No</t>
        </is>
      </c>
      <c r="J1517" s="96" t="n">
        <v>45924</v>
      </c>
      <c r="K1517" s="96" t="n">
        <v>45891</v>
      </c>
      <c r="L1517" t="n">
        <v>43400</v>
      </c>
      <c r="M1517" t="inlineStr">
        <is>
          <t>Managed Services (MSP)</t>
        </is>
      </c>
      <c r="N1517" t="inlineStr">
        <is>
          <t>Email</t>
        </is>
      </c>
      <c r="O1517" t="inlineStr">
        <is>
          <t>Madhav Mitruka</t>
        </is>
      </c>
      <c r="Y1517" s="96" t="n">
        <v>45873</v>
      </c>
      <c r="Z1517" t="inlineStr">
        <is>
          <t>https://app.hubspot.com/contacts/243046792/record/0-3/136249972446</t>
        </is>
      </c>
    </row>
    <row r="1518">
      <c r="A1518" t="n">
        <v>1517</v>
      </c>
      <c r="B1518" t="inlineStr">
        <is>
          <t>136249972450</t>
        </is>
      </c>
      <c r="C1518" t="inlineStr">
        <is>
          <t>IFB 2362IP</t>
        </is>
      </c>
      <c r="D1518" t="inlineStr">
        <is>
          <t>Cisco Products and Services</t>
        </is>
      </c>
      <c r="E1518" t="inlineStr">
        <is>
          <t>New York Convention Center Operating Corporation (NYCCOC)</t>
        </is>
      </c>
      <c r="F1518" t="inlineStr">
        <is>
          <t>New York</t>
        </is>
      </c>
      <c r="G1518" t="inlineStr">
        <is>
          <t>Submitted</t>
        </is>
      </c>
      <c r="H1518" t="inlineStr">
        <is>
          <t>No</t>
        </is>
      </c>
      <c r="J1518" s="96" t="n">
        <v>45887</v>
      </c>
      <c r="K1518" s="96" t="n">
        <v>45887</v>
      </c>
      <c r="L1518" t="n">
        <v>3000000</v>
      </c>
      <c r="M1518" t="inlineStr">
        <is>
          <t>Reseller</t>
        </is>
      </c>
      <c r="N1518" t="inlineStr">
        <is>
          <t>Email</t>
        </is>
      </c>
      <c r="O1518" t="inlineStr">
        <is>
          <t>Madhav Mitruka</t>
        </is>
      </c>
      <c r="Y1518" s="96" t="n">
        <v>45873</v>
      </c>
      <c r="Z1518" t="inlineStr">
        <is>
          <t>https://app.hubspot.com/contacts/243046792/record/0-3/136249972450</t>
        </is>
      </c>
    </row>
    <row r="1519">
      <c r="A1519" t="n">
        <v>1518</v>
      </c>
      <c r="B1519" t="inlineStr">
        <is>
          <t>136249983729</t>
        </is>
      </c>
      <c r="C1519" t="inlineStr">
        <is>
          <t>RFQ1772390S</t>
        </is>
      </c>
      <c r="D1519" t="inlineStr">
        <is>
          <t>TECHNICAL ARCHITECT</t>
        </is>
      </c>
      <c r="E1519" t="inlineStr">
        <is>
          <t>SUFFOLK COUNTY DEPT OF IT</t>
        </is>
      </c>
      <c r="G1519" t="inlineStr">
        <is>
          <t>Submitted</t>
        </is>
      </c>
      <c r="H1519" t="inlineStr">
        <is>
          <t>No</t>
        </is>
      </c>
      <c r="J1519" s="96" t="n">
        <v>45873</v>
      </c>
      <c r="K1519" s="96" t="n">
        <v>45873</v>
      </c>
      <c r="M1519" t="inlineStr">
        <is>
          <t>Consulting</t>
        </is>
      </c>
      <c r="O1519" t="inlineStr">
        <is>
          <t>Madhav Mitruka</t>
        </is>
      </c>
      <c r="Y1519" s="96" t="n">
        <v>45873</v>
      </c>
      <c r="Z1519" t="inlineStr">
        <is>
          <t>https://app.hubspot.com/contacts/243046792/record/0-3/136249983729</t>
        </is>
      </c>
    </row>
    <row r="1520">
      <c r="A1520" t="n">
        <v>1519</v>
      </c>
      <c r="B1520" t="inlineStr">
        <is>
          <t>136250001083</t>
        </is>
      </c>
      <c r="C1520" t="inlineStr">
        <is>
          <t>RFQ1772389S</t>
        </is>
      </c>
      <c r="D1520" t="inlineStr">
        <is>
          <t>TECHNICAL SPECIALISTS</t>
        </is>
      </c>
      <c r="E1520" t="inlineStr">
        <is>
          <t>SUFFOLK COUNTY DEPT OF IT</t>
        </is>
      </c>
      <c r="G1520" t="inlineStr">
        <is>
          <t>Submitted</t>
        </is>
      </c>
      <c r="H1520" t="inlineStr">
        <is>
          <t>No</t>
        </is>
      </c>
      <c r="J1520" s="96" t="n">
        <v>45873</v>
      </c>
      <c r="K1520" s="96" t="n">
        <v>45873</v>
      </c>
      <c r="M1520" t="inlineStr">
        <is>
          <t>Consulting</t>
        </is>
      </c>
      <c r="O1520" t="inlineStr">
        <is>
          <t>Madhav Mitruka</t>
        </is>
      </c>
      <c r="Y1520" s="96" t="n">
        <v>45873</v>
      </c>
      <c r="Z1520" t="inlineStr">
        <is>
          <t>https://app.hubspot.com/contacts/243046792/record/0-3/136250001083</t>
        </is>
      </c>
    </row>
    <row r="1521">
      <c r="A1521" t="n">
        <v>1520</v>
      </c>
      <c r="B1521" t="inlineStr">
        <is>
          <t>136361076440</t>
        </is>
      </c>
      <c r="D1521" t="inlineStr">
        <is>
          <t>Project Management Services for Workday Implementation</t>
        </is>
      </c>
      <c r="E1521" t="inlineStr">
        <is>
          <t>University of Cleveland Ohio</t>
        </is>
      </c>
      <c r="F1521" t="inlineStr">
        <is>
          <t>Ohio</t>
        </is>
      </c>
      <c r="G1521" t="inlineStr">
        <is>
          <t>Submitted</t>
        </is>
      </c>
      <c r="H1521" t="inlineStr">
        <is>
          <t>No</t>
        </is>
      </c>
      <c r="J1521" s="96" t="n">
        <v>45876</v>
      </c>
      <c r="K1521" s="96" t="n">
        <v>45876</v>
      </c>
      <c r="N1521" t="inlineStr">
        <is>
          <t>Email</t>
        </is>
      </c>
      <c r="O1521" t="inlineStr">
        <is>
          <t>Madhav Mitruka</t>
        </is>
      </c>
      <c r="Y1521" s="96" t="n">
        <v>45873</v>
      </c>
      <c r="Z1521" t="inlineStr">
        <is>
          <t>https://app.hubspot.com/contacts/243046792/record/0-3/136361076440</t>
        </is>
      </c>
    </row>
    <row r="1522">
      <c r="A1522" t="n">
        <v>1521</v>
      </c>
      <c r="B1522" t="inlineStr">
        <is>
          <t>138436617947</t>
        </is>
      </c>
      <c r="D1522" t="inlineStr">
        <is>
          <t>Information Technology Support Services - Southeast Los Angeles County Workforce Development Board (SELACO WDB)</t>
        </is>
      </c>
      <c r="E1522" t="inlineStr">
        <is>
          <t>Southeast Los Angeles County Workforce Development Board (SELACO WDB)</t>
        </is>
      </c>
      <c r="G1522" t="inlineStr">
        <is>
          <t>Submitted</t>
        </is>
      </c>
      <c r="H1522" t="inlineStr">
        <is>
          <t>No</t>
        </is>
      </c>
      <c r="J1522" s="96" t="n">
        <v>45884</v>
      </c>
      <c r="K1522" s="96" t="n">
        <v>45887</v>
      </c>
      <c r="L1522" t="n">
        <v>25000</v>
      </c>
      <c r="M1522" t="inlineStr">
        <is>
          <t>Managed Services (MSP)</t>
        </is>
      </c>
      <c r="N1522" t="inlineStr">
        <is>
          <t>Email</t>
        </is>
      </c>
      <c r="O1522" t="inlineStr">
        <is>
          <t>Madhav Mitruka</t>
        </is>
      </c>
      <c r="Y1522" s="96" t="n">
        <v>45876</v>
      </c>
      <c r="Z1522" t="inlineStr">
        <is>
          <t>https://app.hubspot.com/contacts/243046792/record/0-3/138436617947</t>
        </is>
      </c>
    </row>
    <row r="1523">
      <c r="A1523" t="n">
        <v>1522</v>
      </c>
      <c r="B1523" t="inlineStr">
        <is>
          <t>138432565975</t>
        </is>
      </c>
      <c r="D1523" t="inlineStr">
        <is>
          <t>100-25 - RFP - Corporate Penetration Test</t>
        </is>
      </c>
      <c r="E1523" t="inlineStr">
        <is>
          <t>Lincoln Electric System</t>
        </is>
      </c>
      <c r="F1523" t="inlineStr">
        <is>
          <t>Nebraska</t>
        </is>
      </c>
      <c r="G1523" t="inlineStr">
        <is>
          <t>Submitted</t>
        </is>
      </c>
      <c r="H1523" t="inlineStr">
        <is>
          <t>No</t>
        </is>
      </c>
      <c r="J1523" s="96" t="n">
        <v>45876</v>
      </c>
      <c r="K1523" s="96" t="n">
        <v>45876</v>
      </c>
      <c r="O1523" t="inlineStr">
        <is>
          <t>Jyothsna Nanda kishore</t>
        </is>
      </c>
      <c r="Y1523" s="96" t="n">
        <v>45876</v>
      </c>
      <c r="Z1523" t="inlineStr">
        <is>
          <t>https://app.hubspot.com/contacts/243046792/record/0-3/138432565975</t>
        </is>
      </c>
    </row>
    <row r="1524">
      <c r="A1524" t="n">
        <v>1523</v>
      </c>
      <c r="B1524" t="inlineStr">
        <is>
          <t>138432567002</t>
        </is>
      </c>
      <c r="D1524" t="inlineStr">
        <is>
          <t>ONLINE CRM SUBSCRIPTION FOR DONOR MANAGEMENT, STEWARDSHIP, EVENT MANAGEMENT, AND COMMUNICATIONS</t>
        </is>
      </c>
      <c r="E1524" t="inlineStr">
        <is>
          <t>Texas Historical Commission</t>
        </is>
      </c>
      <c r="G1524" t="inlineStr">
        <is>
          <t>Submitted</t>
        </is>
      </c>
      <c r="H1524" t="inlineStr">
        <is>
          <t>No</t>
        </is>
      </c>
      <c r="J1524" s="96" t="n">
        <v>45873</v>
      </c>
      <c r="K1524" s="96" t="n">
        <v>45873</v>
      </c>
      <c r="O1524" t="inlineStr">
        <is>
          <t>Jyothsna Nanda kishore</t>
        </is>
      </c>
      <c r="Y1524" s="96" t="n">
        <v>45876</v>
      </c>
      <c r="Z1524" t="inlineStr">
        <is>
          <t>https://app.hubspot.com/contacts/243046792/record/0-3/138432567002</t>
        </is>
      </c>
    </row>
    <row r="1525">
      <c r="A1525" t="n">
        <v>1524</v>
      </c>
      <c r="B1525" t="inlineStr">
        <is>
          <t>138917894905</t>
        </is>
      </c>
      <c r="D1525" t="inlineStr">
        <is>
          <t>Information Technology and Support Services</t>
        </is>
      </c>
      <c r="E1525" t="inlineStr">
        <is>
          <t>San Mateo County Harbor District</t>
        </is>
      </c>
      <c r="G1525" t="inlineStr">
        <is>
          <t>Submitted</t>
        </is>
      </c>
      <c r="H1525" t="inlineStr">
        <is>
          <t>No</t>
        </is>
      </c>
      <c r="J1525" s="96" t="n">
        <v>45915</v>
      </c>
      <c r="K1525" s="96" t="n">
        <v>45915</v>
      </c>
      <c r="M1525" t="inlineStr">
        <is>
          <t>Consulting;Support &amp; Maintenance</t>
        </is>
      </c>
      <c r="O1525" t="inlineStr">
        <is>
          <t>Madhav Mitruka</t>
        </is>
      </c>
      <c r="Y1525" s="96" t="n">
        <v>45877</v>
      </c>
      <c r="Z1525" t="inlineStr">
        <is>
          <t>https://app.hubspot.com/contacts/243046792/record/0-3/138917894905</t>
        </is>
      </c>
    </row>
    <row r="1526">
      <c r="A1526" t="n">
        <v>1525</v>
      </c>
      <c r="B1526" t="inlineStr">
        <is>
          <t>138536422109</t>
        </is>
      </c>
      <c r="D1526" t="inlineStr">
        <is>
          <t>GIS CLOUD MIGRATION &amp; HOSTING</t>
        </is>
      </c>
      <c r="E1526" t="inlineStr">
        <is>
          <t>Ottawa County</t>
        </is>
      </c>
      <c r="G1526" t="inlineStr">
        <is>
          <t>Closed Lost</t>
        </is>
      </c>
      <c r="H1526" t="inlineStr">
        <is>
          <t>No</t>
        </is>
      </c>
      <c r="J1526" s="96" t="n">
        <v>45894</v>
      </c>
      <c r="O1526" t="inlineStr">
        <is>
          <t>Madhav Mitruka</t>
        </is>
      </c>
      <c r="Y1526" s="96" t="n">
        <v>45877</v>
      </c>
      <c r="Z1526" t="inlineStr">
        <is>
          <t>https://app.hubspot.com/contacts/243046792/record/0-3/138536422109</t>
        </is>
      </c>
    </row>
    <row r="1527">
      <c r="A1527" t="n">
        <v>1526</v>
      </c>
      <c r="B1527" t="inlineStr">
        <is>
          <t>138536424181</t>
        </is>
      </c>
      <c r="C1527" t="inlineStr">
        <is>
          <t>REQ-00012572-SA</t>
        </is>
      </c>
      <c r="D1527" t="inlineStr">
        <is>
          <t>REQ for Mainframe Engineer</t>
        </is>
      </c>
      <c r="E1527" t="inlineStr">
        <is>
          <t>University of Maryland - College Park</t>
        </is>
      </c>
      <c r="G1527" t="inlineStr">
        <is>
          <t>Submitted</t>
        </is>
      </c>
      <c r="H1527" t="inlineStr">
        <is>
          <t>No</t>
        </is>
      </c>
      <c r="J1527" s="96" t="n">
        <v>45883</v>
      </c>
      <c r="K1527" s="96" t="n">
        <v>45883</v>
      </c>
      <c r="M1527" t="inlineStr">
        <is>
          <t>Staff Augmentation</t>
        </is>
      </c>
      <c r="O1527" t="inlineStr">
        <is>
          <t>Jyothsna Nanda kishore</t>
        </is>
      </c>
      <c r="Y1527" s="96" t="n">
        <v>45877</v>
      </c>
      <c r="Z1527" t="inlineStr">
        <is>
          <t>https://app.hubspot.com/contacts/243046792/record/0-3/138536424181</t>
        </is>
      </c>
    </row>
    <row r="1528">
      <c r="A1528" t="n">
        <v>1527</v>
      </c>
      <c r="B1528" t="inlineStr">
        <is>
          <t>138895575794</t>
        </is>
      </c>
      <c r="C1528" t="inlineStr">
        <is>
          <t>NS26-15</t>
        </is>
      </c>
      <c r="D1528" t="inlineStr">
        <is>
          <t>NS26-15 South Weber City - Cybersecurity and IT Support Services</t>
        </is>
      </c>
      <c r="E1528" t="inlineStr">
        <is>
          <t>South Weber City</t>
        </is>
      </c>
      <c r="G1528" t="inlineStr">
        <is>
          <t>Submitted</t>
        </is>
      </c>
      <c r="H1528" t="inlineStr">
        <is>
          <t>No</t>
        </is>
      </c>
      <c r="J1528" s="96" t="n">
        <v>45898</v>
      </c>
      <c r="K1528" s="96" t="n">
        <v>45898</v>
      </c>
      <c r="L1528" t="n">
        <v>896300</v>
      </c>
      <c r="M1528" t="inlineStr">
        <is>
          <t>Managed Services (MSP)</t>
        </is>
      </c>
      <c r="N1528" t="inlineStr">
        <is>
          <t>Email</t>
        </is>
      </c>
      <c r="O1528" t="inlineStr">
        <is>
          <t>Jyothsna Nanda kishore</t>
        </is>
      </c>
      <c r="Y1528" s="96" t="n">
        <v>45877</v>
      </c>
      <c r="Z1528" t="inlineStr">
        <is>
          <t>https://app.hubspot.com/contacts/243046792/record/0-3/138895575794</t>
        </is>
      </c>
    </row>
    <row r="1529">
      <c r="A1529" t="n">
        <v>1528</v>
      </c>
      <c r="B1529" t="inlineStr">
        <is>
          <t>138897014517</t>
        </is>
      </c>
      <c r="D1529" t="inlineStr">
        <is>
          <t>On-site Technology Services Technician</t>
        </is>
      </c>
      <c r="E1529" t="inlineStr">
        <is>
          <t>Stony Brook University Hospital</t>
        </is>
      </c>
      <c r="F1529" t="inlineStr">
        <is>
          <t>New York</t>
        </is>
      </c>
      <c r="G1529" t="inlineStr">
        <is>
          <t>Closed Lost</t>
        </is>
      </c>
      <c r="H1529" t="inlineStr">
        <is>
          <t>No</t>
        </is>
      </c>
      <c r="J1529" s="96" t="n">
        <v>45924</v>
      </c>
      <c r="K1529" s="96" t="n">
        <v>45880</v>
      </c>
      <c r="N1529" t="inlineStr">
        <is>
          <t>Email</t>
        </is>
      </c>
      <c r="O1529" t="inlineStr">
        <is>
          <t>Madhav Mitruka</t>
        </is>
      </c>
      <c r="Y1529" s="96" t="n">
        <v>45877</v>
      </c>
      <c r="Z1529" t="inlineStr">
        <is>
          <t>https://app.hubspot.com/contacts/243046792/record/0-3/138897014517</t>
        </is>
      </c>
    </row>
    <row r="1530">
      <c r="A1530" t="n">
        <v>1529</v>
      </c>
      <c r="B1530" t="inlineStr">
        <is>
          <t>138536426200</t>
        </is>
      </c>
      <c r="C1530" t="inlineStr">
        <is>
          <t>0000000026SL,4</t>
        </is>
      </c>
      <c r="D1530" t="inlineStr">
        <is>
          <t>Endpoint Data Loss Prevention Security Services- Missouri Information Technology Services Division</t>
        </is>
      </c>
      <c r="E1530" t="inlineStr">
        <is>
          <t>Missouri Information Technology Services Division</t>
        </is>
      </c>
      <c r="F1530" t="inlineStr">
        <is>
          <t>Missouri</t>
        </is>
      </c>
      <c r="G1530" t="inlineStr">
        <is>
          <t>Submitted</t>
        </is>
      </c>
      <c r="H1530" t="inlineStr">
        <is>
          <t>No</t>
        </is>
      </c>
      <c r="J1530" s="96" t="n">
        <v>45930</v>
      </c>
      <c r="K1530" s="96" t="n">
        <v>45930</v>
      </c>
      <c r="L1530" t="n">
        <v>116000</v>
      </c>
      <c r="N1530" t="inlineStr">
        <is>
          <t>Portal</t>
        </is>
      </c>
      <c r="O1530" t="inlineStr">
        <is>
          <t>Jyothsna Nanda kishore</t>
        </is>
      </c>
      <c r="Y1530" s="96" t="n">
        <v>45877</v>
      </c>
      <c r="Z1530" t="inlineStr">
        <is>
          <t>https://app.hubspot.com/contacts/243046792/record/0-3/138536426200</t>
        </is>
      </c>
    </row>
    <row r="1531">
      <c r="A1531" t="n">
        <v>1530</v>
      </c>
      <c r="B1531" t="inlineStr">
        <is>
          <t>138897019630</t>
        </is>
      </c>
      <c r="C1531" t="inlineStr">
        <is>
          <t>0000010482</t>
        </is>
      </c>
      <c r="D1531" t="inlineStr">
        <is>
          <t>WMATA Finance Staff AugmentationContract</t>
        </is>
      </c>
      <c r="E1531" t="inlineStr">
        <is>
          <t>Washington Metropolitan Area Transit Authority</t>
        </is>
      </c>
      <c r="F1531" t="inlineStr">
        <is>
          <t>Washington</t>
        </is>
      </c>
      <c r="G1531" t="inlineStr">
        <is>
          <t>Closed Lost</t>
        </is>
      </c>
      <c r="H1531" t="inlineStr">
        <is>
          <t>No</t>
        </is>
      </c>
      <c r="J1531" s="96" t="n">
        <v>45888</v>
      </c>
      <c r="O1531" t="inlineStr">
        <is>
          <t>Madhav Mitruka</t>
        </is>
      </c>
      <c r="Y1531" s="96" t="n">
        <v>45877</v>
      </c>
      <c r="Z1531" t="inlineStr">
        <is>
          <t>https://app.hubspot.com/contacts/243046792/record/0-3/138897019630</t>
        </is>
      </c>
    </row>
    <row r="1532">
      <c r="A1532" t="n">
        <v>1531</v>
      </c>
      <c r="B1532" t="inlineStr">
        <is>
          <t>138536455885</t>
        </is>
      </c>
      <c r="D1532" t="inlineStr">
        <is>
          <t>Information Technology Managed Services</t>
        </is>
      </c>
      <c r="E1532" t="inlineStr">
        <is>
          <t>Community Development Finance Authority</t>
        </is>
      </c>
      <c r="G1532" t="inlineStr">
        <is>
          <t>Submitted</t>
        </is>
      </c>
      <c r="H1532" t="inlineStr">
        <is>
          <t>No</t>
        </is>
      </c>
      <c r="J1532" s="96" t="n">
        <v>45877</v>
      </c>
      <c r="K1532" s="96" t="n">
        <v>45877</v>
      </c>
      <c r="O1532" t="inlineStr">
        <is>
          <t>Jyothsna Nanda kishore</t>
        </is>
      </c>
      <c r="Y1532" s="96" t="n">
        <v>45877</v>
      </c>
      <c r="Z1532" t="inlineStr">
        <is>
          <t>https://app.hubspot.com/contacts/243046792/record/0-3/138536455885</t>
        </is>
      </c>
    </row>
    <row r="1533">
      <c r="A1533" t="n">
        <v>1532</v>
      </c>
      <c r="B1533" t="inlineStr">
        <is>
          <t>140119132880</t>
        </is>
      </c>
      <c r="C1533" t="inlineStr">
        <is>
          <t>2025-RFP-717</t>
        </is>
      </c>
      <c r="D1533" t="inlineStr">
        <is>
          <t>Medical Software Support</t>
        </is>
      </c>
      <c r="E1533" t="inlineStr">
        <is>
          <t>New Mexico State University [NM]</t>
        </is>
      </c>
      <c r="F1533" t="inlineStr">
        <is>
          <t>New Mexico</t>
        </is>
      </c>
      <c r="G1533" t="inlineStr">
        <is>
          <t>Submitted</t>
        </is>
      </c>
      <c r="H1533" t="inlineStr">
        <is>
          <t>No</t>
        </is>
      </c>
      <c r="J1533" s="96" t="n">
        <v>45909</v>
      </c>
      <c r="K1533" s="96" t="n">
        <v>45905</v>
      </c>
      <c r="O1533" t="inlineStr">
        <is>
          <t>Jyothsna Nanda kishore</t>
        </is>
      </c>
      <c r="Y1533" s="96" t="n">
        <v>45880</v>
      </c>
      <c r="Z1533" t="inlineStr">
        <is>
          <t>https://app.hubspot.com/contacts/243046792/record/0-3/140119132880</t>
        </is>
      </c>
    </row>
    <row r="1534">
      <c r="A1534" t="n">
        <v>1533</v>
      </c>
      <c r="B1534" t="inlineStr">
        <is>
          <t>140119132886</t>
        </is>
      </c>
      <c r="C1534" t="inlineStr">
        <is>
          <t>RFQ QUAL F-Contr-0000000022</t>
        </is>
      </c>
      <c r="D1534" t="inlineStr">
        <is>
          <t>Artificial Intelligence Consulting Services Pool</t>
        </is>
      </c>
      <c r="E1534" t="inlineStr">
        <is>
          <t>Contra Costa County</t>
        </is>
      </c>
      <c r="F1534" t="inlineStr">
        <is>
          <t>California</t>
        </is>
      </c>
      <c r="G1534" t="inlineStr">
        <is>
          <t>Submitted</t>
        </is>
      </c>
      <c r="H1534" t="inlineStr">
        <is>
          <t>No</t>
        </is>
      </c>
      <c r="J1534" s="96" t="n">
        <v>45908</v>
      </c>
      <c r="K1534" s="96" t="n">
        <v>45908</v>
      </c>
      <c r="N1534" t="inlineStr">
        <is>
          <t>Portal</t>
        </is>
      </c>
      <c r="O1534" t="inlineStr">
        <is>
          <t>Madhav Mitruka</t>
        </is>
      </c>
      <c r="Y1534" s="96" t="n">
        <v>45880</v>
      </c>
      <c r="Z1534" t="inlineStr">
        <is>
          <t>https://app.hubspot.com/contacts/243046792/record/0-3/140119132886</t>
        </is>
      </c>
    </row>
    <row r="1535">
      <c r="A1535" t="n">
        <v>1534</v>
      </c>
      <c r="B1535" t="inlineStr">
        <is>
          <t>139333346006</t>
        </is>
      </c>
      <c r="C1535" t="inlineStr">
        <is>
          <t>0000036355</t>
        </is>
      </c>
      <c r="D1535" t="inlineStr">
        <is>
          <t>RFQ 23-316 Project Management Training</t>
        </is>
      </c>
      <c r="E1535" t="inlineStr">
        <is>
          <t>California Department of Justice</t>
        </is>
      </c>
      <c r="G1535" t="inlineStr">
        <is>
          <t>Submitted</t>
        </is>
      </c>
      <c r="H1535" t="inlineStr">
        <is>
          <t>No</t>
        </is>
      </c>
      <c r="J1535" s="96" t="n">
        <v>45904</v>
      </c>
      <c r="K1535" s="96" t="n">
        <v>45904</v>
      </c>
      <c r="M1535" t="inlineStr">
        <is>
          <t>Training</t>
        </is>
      </c>
      <c r="O1535" t="inlineStr">
        <is>
          <t>Madhav Mitruka</t>
        </is>
      </c>
      <c r="Y1535" s="96" t="n">
        <v>45880</v>
      </c>
      <c r="Z1535" t="inlineStr">
        <is>
          <t>https://app.hubspot.com/contacts/243046792/record/0-3/139333346006</t>
        </is>
      </c>
    </row>
    <row r="1536">
      <c r="A1536" t="n">
        <v>1535</v>
      </c>
      <c r="B1536" t="inlineStr">
        <is>
          <t>140126332640</t>
        </is>
      </c>
      <c r="C1536" t="inlineStr">
        <is>
          <t>2025B057</t>
        </is>
      </c>
      <c r="D1536" t="inlineStr">
        <is>
          <t>Veeam Consolidation Renewal</t>
        </is>
      </c>
      <c r="E1536" t="inlineStr">
        <is>
          <t>Municipality of Anchorage (MOA)</t>
        </is>
      </c>
      <c r="F1536" t="inlineStr">
        <is>
          <t>Alaska</t>
        </is>
      </c>
      <c r="G1536" t="inlineStr">
        <is>
          <t>Closed Lost</t>
        </is>
      </c>
      <c r="H1536" t="inlineStr">
        <is>
          <t>No</t>
        </is>
      </c>
      <c r="J1536" s="96" t="n">
        <v>45898</v>
      </c>
      <c r="K1536" s="96" t="n">
        <v>45883</v>
      </c>
      <c r="L1536" t="n">
        <v>633165.58</v>
      </c>
      <c r="M1536" t="inlineStr">
        <is>
          <t>Reseller</t>
        </is>
      </c>
      <c r="N1536" t="inlineStr">
        <is>
          <t>Portal</t>
        </is>
      </c>
      <c r="O1536" t="inlineStr">
        <is>
          <t>Madhav Mitruka</t>
        </is>
      </c>
      <c r="Y1536" s="96" t="n">
        <v>45880</v>
      </c>
      <c r="Z1536" t="inlineStr">
        <is>
          <t>https://app.hubspot.com/contacts/243046792/record/0-3/140126332640</t>
        </is>
      </c>
    </row>
    <row r="1537">
      <c r="A1537" t="n">
        <v>1536</v>
      </c>
      <c r="B1537" t="inlineStr">
        <is>
          <t>140126332652</t>
        </is>
      </c>
      <c r="C1537" t="inlineStr">
        <is>
          <t>RQIT25000195</t>
        </is>
      </c>
      <c r="D1537" t="inlineStr">
        <is>
          <t>Computer Software Training/It195</t>
        </is>
      </c>
      <c r="E1537" t="inlineStr">
        <is>
          <t>Nassau County Procurement</t>
        </is>
      </c>
      <c r="F1537" t="inlineStr">
        <is>
          <t>New York</t>
        </is>
      </c>
      <c r="G1537" t="inlineStr">
        <is>
          <t>Submitted</t>
        </is>
      </c>
      <c r="H1537" t="inlineStr">
        <is>
          <t>No</t>
        </is>
      </c>
      <c r="J1537" s="96" t="n">
        <v>45884</v>
      </c>
      <c r="K1537" s="96" t="n">
        <v>45882</v>
      </c>
      <c r="M1537" t="inlineStr">
        <is>
          <t>Reseller</t>
        </is>
      </c>
      <c r="N1537" t="inlineStr">
        <is>
          <t>Portal</t>
        </is>
      </c>
      <c r="O1537" t="inlineStr">
        <is>
          <t>Jyothsna Nanda kishore</t>
        </is>
      </c>
      <c r="Y1537" s="96" t="n">
        <v>45880</v>
      </c>
      <c r="Z1537" t="inlineStr">
        <is>
          <t>https://app.hubspot.com/contacts/243046792/record/0-3/140126332652</t>
        </is>
      </c>
    </row>
    <row r="1538">
      <c r="A1538" t="n">
        <v>1537</v>
      </c>
      <c r="B1538" t="inlineStr">
        <is>
          <t>139333351114</t>
        </is>
      </c>
      <c r="C1538" t="inlineStr">
        <is>
          <t>Project ID:  RFP-GR-0098</t>
        </is>
      </c>
      <c r="D1538" t="inlineStr">
        <is>
          <t>Data Analyst and Report Writing Services</t>
        </is>
      </c>
      <c r="E1538" t="inlineStr">
        <is>
          <t>West Basin Municipal Water District</t>
        </is>
      </c>
      <c r="G1538" t="inlineStr">
        <is>
          <t>Closed Lost</t>
        </is>
      </c>
      <c r="H1538" t="inlineStr">
        <is>
          <t>No</t>
        </is>
      </c>
      <c r="J1538" s="96" t="n">
        <v>45929</v>
      </c>
      <c r="K1538" s="96" t="n">
        <v>45889</v>
      </c>
      <c r="M1538" t="inlineStr">
        <is>
          <t>Managed Services (MSP)</t>
        </is>
      </c>
      <c r="N1538" t="inlineStr">
        <is>
          <t>Portal</t>
        </is>
      </c>
      <c r="O1538" t="inlineStr">
        <is>
          <t>Madhav Mitruka</t>
        </is>
      </c>
      <c r="Y1538" s="96" t="n">
        <v>45880</v>
      </c>
      <c r="Z1538" t="inlineStr">
        <is>
          <t>https://app.hubspot.com/contacts/243046792/record/0-3/139333351114</t>
        </is>
      </c>
    </row>
    <row r="1539">
      <c r="A1539" t="n">
        <v>1538</v>
      </c>
      <c r="B1539" t="inlineStr">
        <is>
          <t>140127775456</t>
        </is>
      </c>
      <c r="C1539" t="inlineStr">
        <is>
          <t>RFP-21428</t>
        </is>
      </c>
      <c r="D1539" t="inlineStr">
        <is>
          <t>Compliance Management, Risk Assessment, and Data Lifecycle Automation</t>
        </is>
      </c>
      <c r="E1539" t="inlineStr">
        <is>
          <t>Cleveland Metropolitan School District</t>
        </is>
      </c>
      <c r="G1539" t="inlineStr">
        <is>
          <t>Submitted</t>
        </is>
      </c>
      <c r="H1539" t="inlineStr">
        <is>
          <t>No</t>
        </is>
      </c>
      <c r="J1539" s="96" t="n">
        <v>45905</v>
      </c>
      <c r="K1539" s="96" t="n">
        <v>45905</v>
      </c>
      <c r="M1539" t="inlineStr">
        <is>
          <t>Audits and Assessment</t>
        </is>
      </c>
      <c r="O1539" t="inlineStr">
        <is>
          <t>Madhav Mitruka</t>
        </is>
      </c>
      <c r="Y1539" s="96" t="n">
        <v>45880</v>
      </c>
      <c r="Z1539" t="inlineStr">
        <is>
          <t>https://app.hubspot.com/contacts/243046792/record/0-3/140127775456</t>
        </is>
      </c>
    </row>
    <row r="1540">
      <c r="A1540" t="n">
        <v>1539</v>
      </c>
      <c r="B1540" t="inlineStr">
        <is>
          <t>140837164748</t>
        </is>
      </c>
      <c r="D1540" t="inlineStr">
        <is>
          <t>Cybersecurity Plan Development &amp; Implementation Project</t>
        </is>
      </c>
      <c r="E1540" t="inlineStr">
        <is>
          <t>Monterey One Water</t>
        </is>
      </c>
      <c r="G1540" t="inlineStr">
        <is>
          <t>Closed Lost</t>
        </is>
      </c>
      <c r="H1540" t="inlineStr">
        <is>
          <t>No</t>
        </is>
      </c>
      <c r="J1540" s="96" t="n">
        <v>45912</v>
      </c>
      <c r="K1540" s="96" t="n">
        <v>45904</v>
      </c>
      <c r="N1540" t="inlineStr">
        <is>
          <t>Email</t>
        </is>
      </c>
      <c r="O1540" t="inlineStr">
        <is>
          <t>Madhav Mitruka</t>
        </is>
      </c>
      <c r="Y1540" s="96" t="n">
        <v>45881</v>
      </c>
      <c r="Z1540" t="inlineStr">
        <is>
          <t>https://app.hubspot.com/contacts/243046792/record/0-3/140837164748</t>
        </is>
      </c>
    </row>
    <row r="1541">
      <c r="A1541" t="n">
        <v>1540</v>
      </c>
      <c r="B1541" t="inlineStr">
        <is>
          <t>141030442733</t>
        </is>
      </c>
      <c r="D1541" t="inlineStr">
        <is>
          <t>Consultant Services for the Procurement of an Enterprise Resource Planning (ERP) Program</t>
        </is>
      </c>
      <c r="E1541" t="inlineStr">
        <is>
          <t>City of Santee</t>
        </is>
      </c>
      <c r="G1541" t="inlineStr">
        <is>
          <t>Submitted</t>
        </is>
      </c>
      <c r="H1541" t="inlineStr">
        <is>
          <t>No</t>
        </is>
      </c>
      <c r="J1541" s="96" t="n">
        <v>45908</v>
      </c>
      <c r="K1541" s="96" t="n">
        <v>45908</v>
      </c>
      <c r="M1541" t="inlineStr">
        <is>
          <t>Platform Implementation (ERP, CRMs)</t>
        </is>
      </c>
      <c r="O1541" t="inlineStr">
        <is>
          <t>Jyothsna Nanda kishore</t>
        </is>
      </c>
      <c r="Y1541" s="96" t="n">
        <v>45881</v>
      </c>
      <c r="Z1541" t="inlineStr">
        <is>
          <t>https://app.hubspot.com/contacts/243046792/record/0-3/141030442733</t>
        </is>
      </c>
    </row>
    <row r="1542">
      <c r="A1542" t="n">
        <v>1541</v>
      </c>
      <c r="B1542" t="inlineStr">
        <is>
          <t>140837168828</t>
        </is>
      </c>
      <c r="C1542" t="inlineStr">
        <is>
          <t>26-01</t>
        </is>
      </c>
      <c r="D1542" t="inlineStr">
        <is>
          <t>Oracle Student Financial Implementation Partner</t>
        </is>
      </c>
      <c r="E1542" t="inlineStr">
        <is>
          <t>San Diego Community College District</t>
        </is>
      </c>
      <c r="G1542" t="inlineStr">
        <is>
          <t>Submitted</t>
        </is>
      </c>
      <c r="H1542" t="inlineStr">
        <is>
          <t>No</t>
        </is>
      </c>
      <c r="J1542" s="96" t="n">
        <v>45915</v>
      </c>
      <c r="K1542" s="96" t="n">
        <v>45915</v>
      </c>
      <c r="L1542" t="n">
        <v>398500</v>
      </c>
      <c r="N1542" t="inlineStr">
        <is>
          <t>Portal</t>
        </is>
      </c>
      <c r="O1542" t="inlineStr">
        <is>
          <t>Jyothsna Nanda kishore</t>
        </is>
      </c>
      <c r="Y1542" s="96" t="n">
        <v>45881</v>
      </c>
      <c r="Z1542" t="inlineStr">
        <is>
          <t>https://app.hubspot.com/contacts/243046792/record/0-3/140837168828</t>
        </is>
      </c>
    </row>
    <row r="1543">
      <c r="A1543" t="n">
        <v>1542</v>
      </c>
      <c r="B1543" t="inlineStr">
        <is>
          <t>141005962958</t>
        </is>
      </c>
      <c r="C1543" t="inlineStr">
        <is>
          <t>SM-0075</t>
        </is>
      </c>
      <c r="D1543" t="inlineStr">
        <is>
          <t>Cybersecurity Program Assessment</t>
        </is>
      </c>
      <c r="E1543" t="inlineStr">
        <is>
          <t>West Basin Municipal Water District</t>
        </is>
      </c>
      <c r="G1543" t="inlineStr">
        <is>
          <t>Closed Lost</t>
        </is>
      </c>
      <c r="H1543" t="inlineStr">
        <is>
          <t>No</t>
        </is>
      </c>
      <c r="J1543" s="96" t="n">
        <v>45804</v>
      </c>
      <c r="K1543" s="96" t="n">
        <v>45804</v>
      </c>
      <c r="Y1543" s="96" t="n">
        <v>45881</v>
      </c>
      <c r="Z1543" t="inlineStr">
        <is>
          <t>https://app.hubspot.com/contacts/243046792/record/0-3/141005962958</t>
        </is>
      </c>
    </row>
    <row r="1544">
      <c r="A1544" t="n">
        <v>1543</v>
      </c>
      <c r="B1544" t="inlineStr">
        <is>
          <t>141008898780</t>
        </is>
      </c>
      <c r="D1544" t="inlineStr">
        <is>
          <t>Information Technology Services and Support</t>
        </is>
      </c>
      <c r="E1544" t="inlineStr">
        <is>
          <t>Foothill Municipal Water District</t>
        </is>
      </c>
      <c r="G1544" t="inlineStr">
        <is>
          <t>Closed Lost</t>
        </is>
      </c>
      <c r="H1544" t="inlineStr">
        <is>
          <t>No</t>
        </is>
      </c>
      <c r="J1544" s="96" t="n">
        <v>45912</v>
      </c>
      <c r="K1544" s="96" t="n">
        <v>45891</v>
      </c>
      <c r="L1544" t="n">
        <v>90000</v>
      </c>
      <c r="M1544" t="inlineStr">
        <is>
          <t>Managed Services (MSP)</t>
        </is>
      </c>
      <c r="N1544" t="inlineStr">
        <is>
          <t>Email</t>
        </is>
      </c>
      <c r="O1544" t="inlineStr">
        <is>
          <t>Madhav Mitruka</t>
        </is>
      </c>
      <c r="Y1544" s="96" t="n">
        <v>45882</v>
      </c>
      <c r="Z1544" t="inlineStr">
        <is>
          <t>https://app.hubspot.com/contacts/243046792/record/0-3/141008898780</t>
        </is>
      </c>
    </row>
    <row r="1545">
      <c r="A1545" t="n">
        <v>1544</v>
      </c>
      <c r="B1545" t="inlineStr">
        <is>
          <t>141008901835</t>
        </is>
      </c>
      <c r="C1545" t="inlineStr">
        <is>
          <t>004202500012</t>
        </is>
      </c>
      <c r="D1545" t="inlineStr">
        <is>
          <t>IT Recruitment Services</t>
        </is>
      </c>
      <c r="E1545" t="inlineStr">
        <is>
          <t>New York City Campaign Finance Board</t>
        </is>
      </c>
      <c r="G1545" t="inlineStr">
        <is>
          <t>Closed Lost</t>
        </is>
      </c>
      <c r="H1545" t="inlineStr">
        <is>
          <t>No</t>
        </is>
      </c>
      <c r="J1545" s="96" t="n">
        <v>45922</v>
      </c>
      <c r="L1545" t="n">
        <v>500000</v>
      </c>
      <c r="O1545" t="inlineStr">
        <is>
          <t>Madhav Mitruka</t>
        </is>
      </c>
      <c r="Y1545" s="96" t="n">
        <v>45882</v>
      </c>
      <c r="Z1545" t="inlineStr">
        <is>
          <t>https://app.hubspot.com/contacts/243046792/record/0-3/141008901835</t>
        </is>
      </c>
    </row>
    <row r="1546">
      <c r="A1546" t="n">
        <v>1545</v>
      </c>
      <c r="B1546" t="inlineStr">
        <is>
          <t>141008904929</t>
        </is>
      </c>
      <c r="C1546" t="inlineStr">
        <is>
          <t>2526-1</t>
        </is>
      </c>
      <c r="D1546" t="inlineStr">
        <is>
          <t>Cisco Unified Communications to Webex Calling Migration Services</t>
        </is>
      </c>
      <c r="E1546" t="inlineStr">
        <is>
          <t>Sharyland Independent School District</t>
        </is>
      </c>
      <c r="G1546" t="inlineStr">
        <is>
          <t>Closed Lost</t>
        </is>
      </c>
      <c r="H1546" t="inlineStr">
        <is>
          <t>No</t>
        </is>
      </c>
      <c r="J1546" s="96" t="n">
        <v>45883</v>
      </c>
      <c r="K1546" s="96" t="n">
        <v>45883</v>
      </c>
      <c r="L1546" t="n">
        <v>939726</v>
      </c>
      <c r="M1546" t="inlineStr">
        <is>
          <t>Modernization / Migration;Reseller</t>
        </is>
      </c>
      <c r="N1546" t="inlineStr">
        <is>
          <t>Portal</t>
        </is>
      </c>
      <c r="O1546" t="inlineStr">
        <is>
          <t>Jyothsna Nanda kishore</t>
        </is>
      </c>
      <c r="U1546" s="96" t="n"/>
      <c r="Y1546" s="96" t="n">
        <v>45882</v>
      </c>
      <c r="Z1546" t="inlineStr">
        <is>
          <t>https://app.hubspot.com/contacts/243046792/record/0-3/141008904929</t>
        </is>
      </c>
    </row>
    <row r="1547">
      <c r="A1547" t="n">
        <v>1546</v>
      </c>
      <c r="B1547" t="inlineStr">
        <is>
          <t>141008905948</t>
        </is>
      </c>
      <c r="C1547" t="inlineStr">
        <is>
          <t>6447</t>
        </is>
      </c>
      <c r="D1547" t="inlineStr">
        <is>
          <t>RFP 6447 IAM Auditor</t>
        </is>
      </c>
      <c r="E1547" t="inlineStr">
        <is>
          <t>Macomb Community College</t>
        </is>
      </c>
      <c r="G1547" t="inlineStr">
        <is>
          <t>Submitted</t>
        </is>
      </c>
      <c r="H1547" t="inlineStr">
        <is>
          <t>No</t>
        </is>
      </c>
      <c r="J1547" s="96" t="n">
        <v>45905</v>
      </c>
      <c r="K1547" s="96" t="n">
        <v>45898</v>
      </c>
      <c r="L1547" t="n">
        <v>24310</v>
      </c>
      <c r="M1547" t="inlineStr">
        <is>
          <t>Audits and Assessment</t>
        </is>
      </c>
      <c r="N1547" t="inlineStr">
        <is>
          <t>Email</t>
        </is>
      </c>
      <c r="O1547" t="inlineStr">
        <is>
          <t>Jyothsna Nanda kishore</t>
        </is>
      </c>
      <c r="Y1547" s="96" t="n">
        <v>45882</v>
      </c>
      <c r="Z1547" t="inlineStr">
        <is>
          <t>https://app.hubspot.com/contacts/243046792/record/0-3/141008905948</t>
        </is>
      </c>
    </row>
    <row r="1548">
      <c r="A1548" t="n">
        <v>1547</v>
      </c>
      <c r="B1548" t="inlineStr">
        <is>
          <t>141949032129</t>
        </is>
      </c>
      <c r="C1548" t="inlineStr">
        <is>
          <t>2025-1006</t>
        </is>
      </c>
      <c r="D1548" t="inlineStr">
        <is>
          <t>Evaluation and Resetting of Microsoft Office 365</t>
        </is>
      </c>
      <c r="E1548" t="inlineStr">
        <is>
          <t>Mesa Water District</t>
        </is>
      </c>
      <c r="F1548" t="inlineStr">
        <is>
          <t>California</t>
        </is>
      </c>
      <c r="G1548" t="inlineStr">
        <is>
          <t>Closed Lost</t>
        </is>
      </c>
      <c r="H1548" t="inlineStr">
        <is>
          <t>No</t>
        </is>
      </c>
      <c r="J1548" s="96" t="n">
        <v>45922</v>
      </c>
      <c r="O1548" t="inlineStr">
        <is>
          <t>Madhav Mitruka</t>
        </is>
      </c>
      <c r="Y1548" s="96" t="n">
        <v>45883</v>
      </c>
      <c r="Z1548" t="inlineStr">
        <is>
          <t>https://app.hubspot.com/contacts/243046792/record/0-3/141949032129</t>
        </is>
      </c>
    </row>
    <row r="1549">
      <c r="A1549" t="n">
        <v>1548</v>
      </c>
      <c r="B1549" t="inlineStr">
        <is>
          <t>142075991774</t>
        </is>
      </c>
      <c r="C1549" t="inlineStr">
        <is>
          <t>48450</t>
        </is>
      </c>
      <c r="D1549" t="inlineStr">
        <is>
          <t>SOFTWARE APPLICATION DEVELOPMENT SERVICES</t>
        </is>
      </c>
      <c r="E1549" t="inlineStr">
        <is>
          <t>Washington Suburban Sanitary Commission</t>
        </is>
      </c>
      <c r="F1549" t="inlineStr">
        <is>
          <t>Maryland</t>
        </is>
      </c>
      <c r="G1549" t="inlineStr">
        <is>
          <t>Closed Lost</t>
        </is>
      </c>
      <c r="H1549" t="inlineStr">
        <is>
          <t>No</t>
        </is>
      </c>
      <c r="J1549" s="96" t="n">
        <v>45649</v>
      </c>
      <c r="Y1549" s="96" t="n">
        <v>45883</v>
      </c>
      <c r="Z1549" t="inlineStr">
        <is>
          <t>https://app.hubspot.com/contacts/243046792/record/0-3/142075991774</t>
        </is>
      </c>
    </row>
    <row r="1550">
      <c r="A1550" t="n">
        <v>1549</v>
      </c>
      <c r="B1550" t="inlineStr">
        <is>
          <t>142156300013</t>
        </is>
      </c>
      <c r="C1550" t="inlineStr">
        <is>
          <t>202500135</t>
        </is>
      </c>
      <c r="D1550" t="inlineStr">
        <is>
          <t>WEBEX CALLING IMPLEMENTATION SUPPORT AND CONSULTING SERVICES</t>
        </is>
      </c>
      <c r="E1550" t="inlineStr">
        <is>
          <t>Erie County Water Authority</t>
        </is>
      </c>
      <c r="G1550" t="inlineStr">
        <is>
          <t>Closed Lost</t>
        </is>
      </c>
      <c r="H1550" t="inlineStr">
        <is>
          <t>No</t>
        </is>
      </c>
      <c r="J1550" s="96" t="n">
        <v>45912</v>
      </c>
      <c r="K1550" s="96" t="n">
        <v>45897</v>
      </c>
      <c r="M1550" t="inlineStr">
        <is>
          <t>Consulting;Platform Implementation (ERP, CRMs)</t>
        </is>
      </c>
      <c r="N1550" t="inlineStr">
        <is>
          <t>Email</t>
        </is>
      </c>
      <c r="O1550" t="inlineStr">
        <is>
          <t>Madhav Mitruka</t>
        </is>
      </c>
      <c r="Y1550" s="96" t="n">
        <v>45883</v>
      </c>
      <c r="Z1550" t="inlineStr">
        <is>
          <t>https://app.hubspot.com/contacts/243046792/record/0-3/142156300013</t>
        </is>
      </c>
    </row>
    <row r="1551">
      <c r="A1551" t="n">
        <v>1550</v>
      </c>
      <c r="B1551" t="inlineStr">
        <is>
          <t>142850762486</t>
        </is>
      </c>
      <c r="C1551" t="inlineStr">
        <is>
          <t>RFP-26-12</t>
        </is>
      </c>
      <c r="D1551" t="inlineStr">
        <is>
          <t>Technology Roadmap for Norwich Public Utilities - City of Norwich [CT]</t>
        </is>
      </c>
      <c r="E1551" t="inlineStr">
        <is>
          <t>City of Norwich</t>
        </is>
      </c>
      <c r="G1551" t="inlineStr">
        <is>
          <t>Submitted</t>
        </is>
      </c>
      <c r="H1551" t="inlineStr">
        <is>
          <t>No</t>
        </is>
      </c>
      <c r="J1551" s="96" t="n">
        <v>45894</v>
      </c>
      <c r="K1551" s="96" t="n">
        <v>45894</v>
      </c>
      <c r="M1551" t="inlineStr">
        <is>
          <t>Consulting</t>
        </is>
      </c>
      <c r="O1551" t="inlineStr">
        <is>
          <t>Madhav Mitruka</t>
        </is>
      </c>
      <c r="Y1551" s="96" t="n">
        <v>45884</v>
      </c>
      <c r="Z1551" t="inlineStr">
        <is>
          <t>https://app.hubspot.com/contacts/243046792/record/0-3/142850762486</t>
        </is>
      </c>
    </row>
    <row r="1552">
      <c r="A1552" t="n">
        <v>1551</v>
      </c>
      <c r="B1552" t="inlineStr">
        <is>
          <t>142850765501</t>
        </is>
      </c>
      <c r="D1552" t="inlineStr">
        <is>
          <t>Purple Team Exercise- University of Connecticut Health Center (UConn Health)</t>
        </is>
      </c>
      <c r="G1552" t="inlineStr">
        <is>
          <t>Submitted</t>
        </is>
      </c>
      <c r="H1552" t="inlineStr">
        <is>
          <t>No</t>
        </is>
      </c>
      <c r="J1552" s="96" t="n">
        <v>45904</v>
      </c>
      <c r="K1552" s="96" t="n">
        <v>45909</v>
      </c>
      <c r="M1552" t="inlineStr">
        <is>
          <t>Audits and Assessment</t>
        </is>
      </c>
      <c r="N1552" t="inlineStr">
        <is>
          <t>Email</t>
        </is>
      </c>
      <c r="O1552" t="inlineStr">
        <is>
          <t>Jyothsna Nanda kishore</t>
        </is>
      </c>
      <c r="Y1552" s="96" t="n">
        <v>45884</v>
      </c>
      <c r="Z1552" t="inlineStr">
        <is>
          <t>https://app.hubspot.com/contacts/243046792/record/0-3/142850765501</t>
        </is>
      </c>
    </row>
    <row r="1553">
      <c r="A1553" t="n">
        <v>1552</v>
      </c>
      <c r="B1553" t="inlineStr">
        <is>
          <t>142850765526</t>
        </is>
      </c>
      <c r="C1553" t="inlineStr">
        <is>
          <t>RFP026-11</t>
        </is>
      </c>
      <c r="D1553" t="inlineStr">
        <is>
          <t>RFP026-11 Time and Attendance Software Solution</t>
        </is>
      </c>
      <c r="E1553" t="inlineStr">
        <is>
          <t>City of Meriden</t>
        </is>
      </c>
      <c r="F1553" t="inlineStr">
        <is>
          <t>Connecticut</t>
        </is>
      </c>
      <c r="G1553" t="inlineStr">
        <is>
          <t>Submitted</t>
        </is>
      </c>
      <c r="H1553" t="inlineStr">
        <is>
          <t>No</t>
        </is>
      </c>
      <c r="J1553" s="96" t="n">
        <v>45904</v>
      </c>
      <c r="K1553" s="96" t="n">
        <v>45903</v>
      </c>
      <c r="M1553" t="inlineStr">
        <is>
          <t>Platform Implementation (ERP, CRMs)</t>
        </is>
      </c>
      <c r="N1553" t="inlineStr">
        <is>
          <t>Portal</t>
        </is>
      </c>
      <c r="O1553" t="inlineStr">
        <is>
          <t>Madhav Mitruka</t>
        </is>
      </c>
      <c r="Y1553" s="96" t="n">
        <v>45884</v>
      </c>
      <c r="Z1553" t="inlineStr">
        <is>
          <t>https://app.hubspot.com/contacts/243046792/record/0-3/142850765526</t>
        </is>
      </c>
    </row>
    <row r="1554">
      <c r="A1554" t="n">
        <v>1553</v>
      </c>
      <c r="B1554" t="inlineStr">
        <is>
          <t>143486288591</t>
        </is>
      </c>
      <c r="C1554" t="inlineStr">
        <is>
          <t>CTY-CR-2025-01</t>
        </is>
      </c>
      <c r="D1554" t="inlineStr">
        <is>
          <t>CITYWIDE CONSULTANT ROSTER SOLICITATION: Information Technology Consulting</t>
        </is>
      </c>
      <c r="E1554" t="inlineStr">
        <is>
          <t>City of Seattle</t>
        </is>
      </c>
      <c r="F1554" t="inlineStr">
        <is>
          <t>Washington</t>
        </is>
      </c>
      <c r="G1554" t="inlineStr">
        <is>
          <t>Submitted</t>
        </is>
      </c>
      <c r="H1554" t="inlineStr">
        <is>
          <t>No</t>
        </is>
      </c>
      <c r="J1554" s="96" t="n">
        <v>45900</v>
      </c>
      <c r="K1554" s="96" t="n">
        <v>45887</v>
      </c>
      <c r="N1554" t="inlineStr">
        <is>
          <t>Portal</t>
        </is>
      </c>
      <c r="O1554" t="inlineStr">
        <is>
          <t>Madhav Mitruka</t>
        </is>
      </c>
      <c r="Y1554" s="96" t="n">
        <v>45886</v>
      </c>
      <c r="Z1554" t="inlineStr">
        <is>
          <t>https://app.hubspot.com/contacts/243046792/record/0-3/143486288591</t>
        </is>
      </c>
    </row>
    <row r="1555">
      <c r="A1555" t="n">
        <v>1554</v>
      </c>
      <c r="B1555" t="inlineStr">
        <is>
          <t>143486288595</t>
        </is>
      </c>
      <c r="C1555" t="inlineStr">
        <is>
          <t>Solicitation080</t>
        </is>
      </c>
      <c r="D1555" t="inlineStr">
        <is>
          <t>IT Continuing Consultant Services</t>
        </is>
      </c>
      <c r="E1555" t="inlineStr">
        <is>
          <t>Metropolitan Airports Commission (MAC)</t>
        </is>
      </c>
      <c r="G1555" t="inlineStr">
        <is>
          <t>Submitted</t>
        </is>
      </c>
      <c r="H1555" t="inlineStr">
        <is>
          <t>No</t>
        </is>
      </c>
      <c r="J1555" s="96" t="n">
        <v>45912</v>
      </c>
      <c r="K1555" s="96" t="n">
        <v>45912</v>
      </c>
      <c r="M1555" t="inlineStr">
        <is>
          <t>Consulting</t>
        </is>
      </c>
      <c r="O1555" t="inlineStr">
        <is>
          <t>Madhav Mitruka</t>
        </is>
      </c>
      <c r="Y1555" s="96" t="n">
        <v>45886</v>
      </c>
      <c r="Z1555" t="inlineStr">
        <is>
          <t>https://app.hubspot.com/contacts/243046792/record/0-3/143486288595</t>
        </is>
      </c>
    </row>
    <row r="1556">
      <c r="A1556" t="n">
        <v>1555</v>
      </c>
      <c r="B1556" t="inlineStr">
        <is>
          <t>143486336716</t>
        </is>
      </c>
      <c r="C1556" t="inlineStr">
        <is>
          <t>L093SPOTSYLCNTY:99200</t>
        </is>
      </c>
      <c r="D1556" t="inlineStr">
        <is>
          <t>RFP 25-24-SD Enterprise Risk Management Consulting</t>
        </is>
      </c>
      <c r="E1556" t="inlineStr">
        <is>
          <t>Spotsylvania County Public Schools</t>
        </is>
      </c>
      <c r="F1556" t="inlineStr">
        <is>
          <t>Virginia</t>
        </is>
      </c>
      <c r="G1556" t="inlineStr">
        <is>
          <t>Submitted</t>
        </is>
      </c>
      <c r="H1556" t="inlineStr">
        <is>
          <t>No</t>
        </is>
      </c>
      <c r="J1556" s="96" t="n">
        <v>45887</v>
      </c>
      <c r="K1556" s="96" t="n">
        <v>45887</v>
      </c>
      <c r="O1556" t="inlineStr">
        <is>
          <t>Jyothsna Nanda kishore</t>
        </is>
      </c>
      <c r="Y1556" s="96" t="n">
        <v>45887</v>
      </c>
      <c r="Z1556" t="inlineStr">
        <is>
          <t>https://app.hubspot.com/contacts/243046792/record/0-3/143486336716</t>
        </is>
      </c>
    </row>
    <row r="1557">
      <c r="A1557" t="n">
        <v>1556</v>
      </c>
      <c r="B1557" t="inlineStr">
        <is>
          <t>143486354127</t>
        </is>
      </c>
      <c r="C1557" t="inlineStr">
        <is>
          <t>ARFQ-0231-OOT2600000002-1</t>
        </is>
      </c>
      <c r="D1557" t="inlineStr">
        <is>
          <t>Palo Alto Networks Panorama License and Support</t>
        </is>
      </c>
      <c r="E1557" t="inlineStr">
        <is>
          <t>West Virginia Office of Technology</t>
        </is>
      </c>
      <c r="G1557" t="inlineStr">
        <is>
          <t>Submitted</t>
        </is>
      </c>
      <c r="H1557" t="inlineStr">
        <is>
          <t>No</t>
        </is>
      </c>
      <c r="J1557" s="96" t="n">
        <v>45897</v>
      </c>
      <c r="K1557" s="96" t="n">
        <v>45897</v>
      </c>
      <c r="M1557" t="inlineStr">
        <is>
          <t>Reseller</t>
        </is>
      </c>
      <c r="N1557" t="inlineStr">
        <is>
          <t>Portal</t>
        </is>
      </c>
      <c r="O1557" t="inlineStr">
        <is>
          <t>Jyothsna Nanda kishore</t>
        </is>
      </c>
      <c r="Y1557" s="96" t="n">
        <v>45887</v>
      </c>
      <c r="Z1557" t="inlineStr">
        <is>
          <t>https://app.hubspot.com/contacts/243046792/record/0-3/143486354127</t>
        </is>
      </c>
    </row>
    <row r="1558">
      <c r="A1558" t="n">
        <v>1557</v>
      </c>
      <c r="B1558" t="inlineStr">
        <is>
          <t>142850915064</t>
        </is>
      </c>
      <c r="C1558" t="inlineStr">
        <is>
          <t>SFGOV-0000010987</t>
        </is>
      </c>
      <c r="D1558" t="inlineStr">
        <is>
          <t>CON | RFQ2023-07A IT Audit Services MTO</t>
        </is>
      </c>
      <c r="E1558" t="inlineStr">
        <is>
          <t>City and County of San Francisco</t>
        </is>
      </c>
      <c r="F1558" t="inlineStr">
        <is>
          <t>California</t>
        </is>
      </c>
      <c r="G1558" t="inlineStr">
        <is>
          <t>Closed Lost</t>
        </is>
      </c>
      <c r="H1558" t="inlineStr">
        <is>
          <t>No</t>
        </is>
      </c>
      <c r="J1558" s="96" t="n">
        <v>45929</v>
      </c>
      <c r="K1558" s="96" t="n">
        <v>45915</v>
      </c>
      <c r="O1558" t="inlineStr">
        <is>
          <t>Jyothsna Nanda kishore</t>
        </is>
      </c>
      <c r="Y1558" s="96" t="n">
        <v>45887</v>
      </c>
      <c r="Z1558" t="inlineStr">
        <is>
          <t>https://app.hubspot.com/contacts/243046792/record/0-3/142850915064</t>
        </is>
      </c>
    </row>
    <row r="1559">
      <c r="A1559" t="n">
        <v>1558</v>
      </c>
      <c r="B1559" t="inlineStr">
        <is>
          <t>142850947825</t>
        </is>
      </c>
      <c r="C1559" t="inlineStr">
        <is>
          <t>RFI-010-2600000004-1</t>
        </is>
      </c>
      <c r="D1559" t="inlineStr">
        <is>
          <t>Software Engineer Services</t>
        </is>
      </c>
      <c r="E1559" t="inlineStr">
        <is>
          <t>Legislative Research Commission</t>
        </is>
      </c>
      <c r="G1559" t="inlineStr">
        <is>
          <t>Submitted</t>
        </is>
      </c>
      <c r="H1559" t="inlineStr">
        <is>
          <t>No</t>
        </is>
      </c>
      <c r="J1559" s="96" t="n">
        <v>45911</v>
      </c>
      <c r="K1559" s="96" t="n">
        <v>45898</v>
      </c>
      <c r="M1559" t="inlineStr">
        <is>
          <t>Consulting</t>
        </is>
      </c>
      <c r="O1559" t="inlineStr">
        <is>
          <t>Jyothsna Nanda kishore</t>
        </is>
      </c>
      <c r="Y1559" s="96" t="n">
        <v>45887</v>
      </c>
      <c r="Z1559" t="inlineStr">
        <is>
          <t>https://app.hubspot.com/contacts/243046792/record/0-3/142850947825</t>
        </is>
      </c>
    </row>
    <row r="1560">
      <c r="A1560" t="n">
        <v>1559</v>
      </c>
      <c r="B1560" t="inlineStr">
        <is>
          <t>142851020500</t>
        </is>
      </c>
      <c r="C1560" t="inlineStr">
        <is>
          <t>2032H5-25-Q-00063</t>
        </is>
      </c>
      <c r="D1560" t="inlineStr">
        <is>
          <t>Infrastructure Shared Services (ISS)</t>
        </is>
      </c>
      <c r="E1560" t="inlineStr">
        <is>
          <t>Internal Revenue Service (IRS)</t>
        </is>
      </c>
      <c r="G1560" t="inlineStr">
        <is>
          <t>Submitted</t>
        </is>
      </c>
      <c r="H1560" t="inlineStr">
        <is>
          <t>No</t>
        </is>
      </c>
      <c r="J1560" s="96" t="n">
        <v>45903</v>
      </c>
      <c r="K1560" s="96" t="n">
        <v>45905</v>
      </c>
      <c r="O1560" t="inlineStr">
        <is>
          <t>Jyothsna Nanda kishore</t>
        </is>
      </c>
      <c r="Y1560" s="96" t="n">
        <v>45888</v>
      </c>
      <c r="Z1560" t="inlineStr">
        <is>
          <t>https://app.hubspot.com/contacts/243046792/record/0-3/142851020500</t>
        </is>
      </c>
    </row>
    <row r="1561">
      <c r="A1561" t="n">
        <v>1560</v>
      </c>
      <c r="B1561" t="inlineStr">
        <is>
          <t>143486480073</t>
        </is>
      </c>
      <c r="C1561" t="inlineStr">
        <is>
          <t>IFB_250002261</t>
        </is>
      </c>
      <c r="D1561" t="inlineStr">
        <is>
          <t>CSD Project Staff Augmentation Services</t>
        </is>
      </c>
      <c r="E1561" t="inlineStr">
        <is>
          <t>City of Richmond</t>
        </is>
      </c>
      <c r="F1561" t="inlineStr">
        <is>
          <t>California</t>
        </is>
      </c>
      <c r="G1561" t="inlineStr">
        <is>
          <t>Closed Lost</t>
        </is>
      </c>
      <c r="H1561" t="inlineStr">
        <is>
          <t>No</t>
        </is>
      </c>
      <c r="J1561" s="96" t="n">
        <v>45540</v>
      </c>
      <c r="O1561" t="inlineStr">
        <is>
          <t>Madhav Mitruka</t>
        </is>
      </c>
      <c r="Y1561" s="96" t="n">
        <v>45888</v>
      </c>
      <c r="Z1561" t="inlineStr">
        <is>
          <t>https://app.hubspot.com/contacts/243046792/record/0-3/143486480073</t>
        </is>
      </c>
    </row>
    <row r="1562">
      <c r="A1562" t="n">
        <v>1561</v>
      </c>
      <c r="B1562" t="inlineStr">
        <is>
          <t>143486480091</t>
        </is>
      </c>
      <c r="C1562" t="inlineStr">
        <is>
          <t>RFP-RFP26-004-0-2026/PG</t>
        </is>
      </c>
      <c r="D1562" t="inlineStr">
        <is>
          <t>Consulting Services for Implementation of Sharepoint ePortfolio Platform</t>
        </is>
      </c>
      <c r="E1562" t="inlineStr">
        <is>
          <t>Northeast Wisconsin Technical College (NWTC)</t>
        </is>
      </c>
      <c r="F1562" t="inlineStr">
        <is>
          <t>Wisconsin</t>
        </is>
      </c>
      <c r="G1562" t="inlineStr">
        <is>
          <t>Closed Lost</t>
        </is>
      </c>
      <c r="H1562" t="inlineStr">
        <is>
          <t>No</t>
        </is>
      </c>
      <c r="J1562" s="96" t="n">
        <v>45912</v>
      </c>
      <c r="K1562" s="96" t="n">
        <v>45909</v>
      </c>
      <c r="M1562" t="inlineStr">
        <is>
          <t>Consulting</t>
        </is>
      </c>
      <c r="N1562" t="inlineStr">
        <is>
          <t>Portal</t>
        </is>
      </c>
      <c r="O1562" t="inlineStr">
        <is>
          <t>Madhav Mitruka</t>
        </is>
      </c>
      <c r="Y1562" s="96" t="n">
        <v>45888</v>
      </c>
      <c r="Z1562" t="inlineStr">
        <is>
          <t>https://app.hubspot.com/contacts/243046792/record/0-3/143486480091</t>
        </is>
      </c>
    </row>
    <row r="1563">
      <c r="A1563" t="n">
        <v>1562</v>
      </c>
      <c r="B1563" t="inlineStr">
        <is>
          <t>142851038960</t>
        </is>
      </c>
      <c r="D1563" t="inlineStr">
        <is>
          <t>IT Program and Project Management Services</t>
        </is>
      </c>
      <c r="E1563" t="inlineStr">
        <is>
          <t>Michigan Municipal Services Authority</t>
        </is>
      </c>
      <c r="F1563" t="inlineStr">
        <is>
          <t>Michigan</t>
        </is>
      </c>
      <c r="G1563" t="inlineStr">
        <is>
          <t>Submitted</t>
        </is>
      </c>
      <c r="H1563" t="inlineStr">
        <is>
          <t>No</t>
        </is>
      </c>
      <c r="J1563" s="96" t="n">
        <v>45905</v>
      </c>
      <c r="K1563" s="96" t="n">
        <v>45905</v>
      </c>
      <c r="M1563" t="inlineStr">
        <is>
          <t>Consulting</t>
        </is>
      </c>
      <c r="O1563" t="inlineStr">
        <is>
          <t>Madhav Mitruka</t>
        </is>
      </c>
      <c r="Y1563" s="96" t="n">
        <v>45888</v>
      </c>
      <c r="Z1563" t="inlineStr">
        <is>
          <t>https://app.hubspot.com/contacts/243046792/record/0-3/142851038960</t>
        </is>
      </c>
    </row>
    <row r="1564">
      <c r="A1564" t="n">
        <v>1563</v>
      </c>
      <c r="B1564" t="inlineStr">
        <is>
          <t>143486492380</t>
        </is>
      </c>
      <c r="C1564" t="inlineStr">
        <is>
          <t>2026-1317</t>
        </is>
      </c>
      <c r="D1564" t="inlineStr">
        <is>
          <t>CISCO EQUIPMENT AND ACCESSORIES</t>
        </is>
      </c>
      <c r="E1564" t="inlineStr">
        <is>
          <t>Yonkers Public Schools</t>
        </is>
      </c>
      <c r="G1564" t="inlineStr">
        <is>
          <t>Submitted</t>
        </is>
      </c>
      <c r="H1564" t="inlineStr">
        <is>
          <t>No</t>
        </is>
      </c>
      <c r="J1564" s="96" t="n">
        <v>45888</v>
      </c>
      <c r="K1564" s="96" t="n">
        <v>45888</v>
      </c>
      <c r="L1564" t="n">
        <v>8420</v>
      </c>
      <c r="M1564" t="inlineStr">
        <is>
          <t>Reseller</t>
        </is>
      </c>
      <c r="N1564" t="inlineStr">
        <is>
          <t>Email</t>
        </is>
      </c>
      <c r="O1564" t="inlineStr">
        <is>
          <t>Madhav Mitruka</t>
        </is>
      </c>
      <c r="Y1564" s="96" t="n">
        <v>45888</v>
      </c>
      <c r="Z1564" t="inlineStr">
        <is>
          <t>https://app.hubspot.com/contacts/243046792/record/0-3/143486492380</t>
        </is>
      </c>
    </row>
    <row r="1565">
      <c r="A1565" t="n">
        <v>1564</v>
      </c>
      <c r="B1565" t="inlineStr">
        <is>
          <t>142851059423</t>
        </is>
      </c>
      <c r="D1565" t="inlineStr">
        <is>
          <t>Procurement of Services Empowering Cybersecurity Solutions Vermont Office of General Services</t>
        </is>
      </c>
      <c r="E1565" t="inlineStr">
        <is>
          <t>State of Vermont (Department of Buildings and General Services)</t>
        </is>
      </c>
      <c r="F1565" t="inlineStr">
        <is>
          <t>Vermont</t>
        </is>
      </c>
      <c r="G1565" t="inlineStr">
        <is>
          <t>Submitted</t>
        </is>
      </c>
      <c r="H1565" t="inlineStr">
        <is>
          <t>No</t>
        </is>
      </c>
      <c r="J1565" s="96" t="n">
        <v>45902</v>
      </c>
      <c r="K1565" s="96" t="n">
        <v>45898</v>
      </c>
      <c r="N1565" t="inlineStr">
        <is>
          <t>Email</t>
        </is>
      </c>
      <c r="O1565" t="inlineStr">
        <is>
          <t>Jyothsna Nanda kishore</t>
        </is>
      </c>
      <c r="Y1565" s="96" t="n">
        <v>45888</v>
      </c>
      <c r="Z1565" t="inlineStr">
        <is>
          <t>https://app.hubspot.com/contacts/243046792/record/0-3/142851059423</t>
        </is>
      </c>
    </row>
    <row r="1566">
      <c r="A1566" t="n">
        <v>1565</v>
      </c>
      <c r="B1566" t="inlineStr">
        <is>
          <t>142851059432</t>
        </is>
      </c>
      <c r="C1566" t="inlineStr">
        <is>
          <t>RFQ1768087S</t>
        </is>
      </c>
      <c r="D1566" t="inlineStr">
        <is>
          <t>G0021 - Strategic IT Governance Operations Support Program</t>
        </is>
      </c>
      <c r="E1566" t="inlineStr">
        <is>
          <t>New York City Department of Education (NYCDOE)</t>
        </is>
      </c>
      <c r="F1566" t="inlineStr">
        <is>
          <t>New York</t>
        </is>
      </c>
      <c r="G1566" t="inlineStr">
        <is>
          <t>Submitted</t>
        </is>
      </c>
      <c r="H1566" t="inlineStr">
        <is>
          <t>No</t>
        </is>
      </c>
      <c r="J1566" s="96" t="n">
        <v>45898</v>
      </c>
      <c r="K1566" s="96" t="n">
        <v>45898</v>
      </c>
      <c r="O1566" t="inlineStr">
        <is>
          <t>Madhav Mitruka</t>
        </is>
      </c>
      <c r="Y1566" s="96" t="n">
        <v>45888</v>
      </c>
      <c r="Z1566" t="inlineStr">
        <is>
          <t>https://app.hubspot.com/contacts/243046792/record/0-3/142851059432</t>
        </is>
      </c>
    </row>
    <row r="1567">
      <c r="A1567" t="n">
        <v>1566</v>
      </c>
      <c r="B1567" t="inlineStr">
        <is>
          <t>143486508791</t>
        </is>
      </c>
      <c r="C1567" t="inlineStr">
        <is>
          <t>RFQ1771870</t>
        </is>
      </c>
      <c r="D1567" t="inlineStr">
        <is>
          <t>IT DEVELOPER SUPPORT SERVICES SOLICITATION NO. CB25-RFQ0015</t>
        </is>
      </c>
      <c r="E1567" t="inlineStr">
        <is>
          <t>Congressional Budget Office</t>
        </is>
      </c>
      <c r="G1567" t="inlineStr">
        <is>
          <t>Submitted</t>
        </is>
      </c>
      <c r="H1567" t="inlineStr">
        <is>
          <t>No</t>
        </is>
      </c>
      <c r="J1567" s="96" t="n">
        <v>45890</v>
      </c>
      <c r="K1567" s="96" t="n">
        <v>45890</v>
      </c>
      <c r="M1567" t="inlineStr">
        <is>
          <t>Staff Augmentation</t>
        </is>
      </c>
      <c r="N1567" t="inlineStr">
        <is>
          <t>Email</t>
        </is>
      </c>
      <c r="O1567" t="inlineStr">
        <is>
          <t>Madhav Mitruka</t>
        </is>
      </c>
      <c r="Y1567" s="96" t="n">
        <v>45888</v>
      </c>
      <c r="Z1567" t="inlineStr">
        <is>
          <t>https://app.hubspot.com/contacts/243046792/record/0-3/143486508791</t>
        </is>
      </c>
    </row>
    <row r="1568">
      <c r="A1568" t="n">
        <v>1567</v>
      </c>
      <c r="B1568" t="inlineStr">
        <is>
          <t>142851070677</t>
        </is>
      </c>
      <c r="C1568" t="inlineStr">
        <is>
          <t>DFW11992</t>
        </is>
      </c>
      <c r="D1568" t="inlineStr">
        <is>
          <t>PCI Pentest Services</t>
        </is>
      </c>
      <c r="E1568" t="inlineStr">
        <is>
          <t>Dallas Fort Worth International Airport</t>
        </is>
      </c>
      <c r="G1568" t="inlineStr">
        <is>
          <t>Submitted</t>
        </is>
      </c>
      <c r="H1568" t="inlineStr">
        <is>
          <t>No</t>
        </is>
      </c>
      <c r="J1568" s="96" t="n">
        <v>45891</v>
      </c>
      <c r="K1568" s="96" t="n">
        <v>45891</v>
      </c>
      <c r="L1568" t="n">
        <v>14999</v>
      </c>
      <c r="M1568" t="inlineStr">
        <is>
          <t>Audits and Assessment</t>
        </is>
      </c>
      <c r="N1568" t="inlineStr">
        <is>
          <t>Portal</t>
        </is>
      </c>
      <c r="O1568" t="inlineStr">
        <is>
          <t>Madhav Mitruka</t>
        </is>
      </c>
      <c r="Y1568" s="96" t="n">
        <v>45888</v>
      </c>
      <c r="Z1568" t="inlineStr">
        <is>
          <t>https://app.hubspot.com/contacts/243046792/record/0-3/142851070677</t>
        </is>
      </c>
    </row>
    <row r="1569">
      <c r="A1569" t="n">
        <v>1568</v>
      </c>
      <c r="B1569" t="inlineStr">
        <is>
          <t>142851074788</t>
        </is>
      </c>
      <c r="C1569" t="inlineStr">
        <is>
          <t>RFQ-DH-1394</t>
        </is>
      </c>
      <c r="D1569" t="inlineStr">
        <is>
          <t>Metropolitan Water District of Southern California - ON-CALL INFORMATION TECHNOLOGY INFRASTRUCTURE SERVICES</t>
        </is>
      </c>
      <c r="E1569" t="inlineStr">
        <is>
          <t>Metropolitan Water District of Southern California</t>
        </is>
      </c>
      <c r="F1569" t="inlineStr">
        <is>
          <t>California</t>
        </is>
      </c>
      <c r="G1569" t="inlineStr">
        <is>
          <t>Closed Won</t>
        </is>
      </c>
      <c r="H1569" t="inlineStr">
        <is>
          <t>No</t>
        </is>
      </c>
      <c r="J1569" s="96" t="n">
        <v>45743</v>
      </c>
      <c r="M1569" t="inlineStr">
        <is>
          <t>Staff Augmentation</t>
        </is>
      </c>
      <c r="N1569" t="inlineStr">
        <is>
          <t>Portal</t>
        </is>
      </c>
      <c r="O1569" t="inlineStr">
        <is>
          <t>Jyothsna Nanda kishore</t>
        </is>
      </c>
      <c r="U1569" s="96" t="n">
        <v>45863</v>
      </c>
      <c r="Y1569" s="96" t="n">
        <v>45888</v>
      </c>
      <c r="Z1569" t="inlineStr">
        <is>
          <t>https://app.hubspot.com/contacts/243046792/record/0-3/142851074788</t>
        </is>
      </c>
    </row>
    <row r="1570">
      <c r="A1570" t="n">
        <v>1569</v>
      </c>
      <c r="B1570" t="inlineStr">
        <is>
          <t>143996929749</t>
        </is>
      </c>
      <c r="C1570" t="inlineStr">
        <is>
          <t>RFQ1766443S</t>
        </is>
      </c>
      <c r="D1570" t="inlineStr">
        <is>
          <t>IT Project &amp; Change Management and Training Services for IT Systems Operational Support</t>
        </is>
      </c>
      <c r="E1570" t="inlineStr">
        <is>
          <t>New York City Department of Education (NYCDOE)</t>
        </is>
      </c>
      <c r="F1570" t="inlineStr">
        <is>
          <t>New York</t>
        </is>
      </c>
      <c r="G1570" t="inlineStr">
        <is>
          <t>Submitted</t>
        </is>
      </c>
      <c r="H1570" t="inlineStr">
        <is>
          <t>No</t>
        </is>
      </c>
      <c r="J1570" s="96" t="n">
        <v>45898</v>
      </c>
      <c r="K1570" s="96" t="n">
        <v>45898</v>
      </c>
      <c r="O1570" t="inlineStr">
        <is>
          <t>Jyothsna Nanda kishore</t>
        </is>
      </c>
      <c r="Y1570" s="96" t="n">
        <v>45888</v>
      </c>
      <c r="Z1570" t="inlineStr">
        <is>
          <t>https://app.hubspot.com/contacts/243046792/record/0-3/143996929749</t>
        </is>
      </c>
    </row>
    <row r="1571">
      <c r="A1571" t="n">
        <v>1570</v>
      </c>
      <c r="B1571" t="inlineStr">
        <is>
          <t>144128142029</t>
        </is>
      </c>
      <c r="C1571" t="inlineStr">
        <is>
          <t>RFQ1775363</t>
        </is>
      </c>
      <c r="D1571" t="inlineStr">
        <is>
          <t>USAFA Admissions Salesforce Support</t>
        </is>
      </c>
      <c r="G1571" t="inlineStr">
        <is>
          <t>Closed Lost</t>
        </is>
      </c>
      <c r="H1571" t="inlineStr">
        <is>
          <t>No</t>
        </is>
      </c>
      <c r="J1571" s="96" t="n">
        <v>45926</v>
      </c>
      <c r="K1571" s="96" t="n">
        <v>45895</v>
      </c>
      <c r="M1571" t="inlineStr">
        <is>
          <t>Support &amp; Maintenance</t>
        </is>
      </c>
      <c r="N1571" t="inlineStr">
        <is>
          <t>Email;Portal</t>
        </is>
      </c>
      <c r="O1571" t="inlineStr">
        <is>
          <t>Jyothsna Nanda kishore</t>
        </is>
      </c>
      <c r="Y1571" s="96" t="n">
        <v>45888</v>
      </c>
      <c r="Z1571" t="inlineStr">
        <is>
          <t>https://app.hubspot.com/contacts/243046792/record/0-3/144128142029</t>
        </is>
      </c>
    </row>
    <row r="1572">
      <c r="A1572" t="n">
        <v>1571</v>
      </c>
      <c r="B1572" t="inlineStr">
        <is>
          <t>144196281078</t>
        </is>
      </c>
      <c r="C1572" t="inlineStr">
        <is>
          <t>0000396202</t>
        </is>
      </c>
      <c r="D1572" t="inlineStr">
        <is>
          <t>Microsoft 365 Subscriptions, Genesee County Road Commission</t>
        </is>
      </c>
      <c r="E1572" t="inlineStr">
        <is>
          <t>Genesee County Road Commission</t>
        </is>
      </c>
      <c r="F1572" t="inlineStr">
        <is>
          <t>Michigan</t>
        </is>
      </c>
      <c r="G1572" t="inlineStr">
        <is>
          <t>Submitted</t>
        </is>
      </c>
      <c r="H1572" t="inlineStr">
        <is>
          <t>No</t>
        </is>
      </c>
      <c r="J1572" s="96" t="n">
        <v>45902</v>
      </c>
      <c r="K1572" s="96" t="n">
        <v>45889</v>
      </c>
      <c r="M1572" t="inlineStr">
        <is>
          <t>Reseller</t>
        </is>
      </c>
      <c r="N1572" t="inlineStr">
        <is>
          <t>Portal</t>
        </is>
      </c>
      <c r="O1572" t="inlineStr">
        <is>
          <t>Jyothsna Nanda kishore</t>
        </is>
      </c>
      <c r="Y1572" s="96" t="n">
        <v>45889</v>
      </c>
      <c r="Z1572" t="inlineStr">
        <is>
          <t>https://app.hubspot.com/contacts/243046792/record/0-3/144196281078</t>
        </is>
      </c>
    </row>
    <row r="1573">
      <c r="A1573" t="n">
        <v>1572</v>
      </c>
      <c r="B1573" t="inlineStr">
        <is>
          <t>144196288201</t>
        </is>
      </c>
      <c r="C1573" t="inlineStr">
        <is>
          <t>RFP BDEAL 25-544-002</t>
        </is>
      </c>
      <c r="D1573" t="inlineStr">
        <is>
          <t>IT Management and Support Services</t>
        </is>
      </c>
      <c r="E1573" t="inlineStr">
        <is>
          <t>Board of Dental Examiners of Alabama</t>
        </is>
      </c>
      <c r="G1573" t="inlineStr">
        <is>
          <t>Submitted</t>
        </is>
      </c>
      <c r="H1573" t="inlineStr">
        <is>
          <t>No</t>
        </is>
      </c>
      <c r="J1573" s="96" t="n">
        <v>45910</v>
      </c>
      <c r="K1573" s="96" t="n">
        <v>45910</v>
      </c>
      <c r="M1573" t="inlineStr">
        <is>
          <t>Managed Services (MSP)</t>
        </is>
      </c>
      <c r="N1573" t="inlineStr">
        <is>
          <t>Email</t>
        </is>
      </c>
      <c r="O1573" t="inlineStr">
        <is>
          <t>Madhav Mitruka</t>
        </is>
      </c>
      <c r="Y1573" s="96" t="n">
        <v>45889</v>
      </c>
      <c r="Z1573" t="inlineStr">
        <is>
          <t>https://app.hubspot.com/contacts/243046792/record/0-3/144196288201</t>
        </is>
      </c>
    </row>
    <row r="1574">
      <c r="A1574" t="n">
        <v>1573</v>
      </c>
      <c r="B1574" t="inlineStr">
        <is>
          <t>144610544368</t>
        </is>
      </c>
      <c r="D1574" t="inlineStr">
        <is>
          <t>Information Technology Consulting &amp; Management Services</t>
        </is>
      </c>
      <c r="E1574" t="inlineStr">
        <is>
          <t>Brigantine City</t>
        </is>
      </c>
      <c r="G1574" t="inlineStr">
        <is>
          <t>Submitted</t>
        </is>
      </c>
      <c r="H1574" t="inlineStr">
        <is>
          <t>No</t>
        </is>
      </c>
      <c r="J1574" s="96" t="n">
        <v>45924</v>
      </c>
      <c r="K1574" s="96" t="n">
        <v>45925</v>
      </c>
      <c r="M1574" t="inlineStr">
        <is>
          <t>Consulting</t>
        </is>
      </c>
      <c r="N1574" t="inlineStr">
        <is>
          <t>Offline</t>
        </is>
      </c>
      <c r="O1574" t="inlineStr">
        <is>
          <t>Madhav Mitruka</t>
        </is>
      </c>
      <c r="Y1574" s="96" t="n">
        <v>45890</v>
      </c>
      <c r="Z1574" t="inlineStr">
        <is>
          <t>https://app.hubspot.com/contacts/243046792/record/0-3/144610544368</t>
        </is>
      </c>
    </row>
    <row r="1575">
      <c r="A1575" t="n">
        <v>1574</v>
      </c>
      <c r="B1575" t="inlineStr">
        <is>
          <t>144610545339</t>
        </is>
      </c>
      <c r="C1575" t="inlineStr">
        <is>
          <t>25-060</t>
        </is>
      </c>
      <c r="D1575" t="inlineStr">
        <is>
          <t>CYBER SECURITY AND INCIDENT PLANNING</t>
        </is>
      </c>
      <c r="E1575" t="inlineStr">
        <is>
          <t>Galveston County</t>
        </is>
      </c>
      <c r="G1575" t="inlineStr">
        <is>
          <t>Submitted</t>
        </is>
      </c>
      <c r="H1575" t="inlineStr">
        <is>
          <t>No</t>
        </is>
      </c>
      <c r="J1575" s="96" t="n">
        <v>45917</v>
      </c>
      <c r="K1575" s="96" t="n">
        <v>45918</v>
      </c>
      <c r="M1575" t="inlineStr">
        <is>
          <t>Consulting</t>
        </is>
      </c>
      <c r="N1575" t="inlineStr">
        <is>
          <t>Portal</t>
        </is>
      </c>
      <c r="O1575" t="inlineStr">
        <is>
          <t>Madhav Mitruka</t>
        </is>
      </c>
      <c r="Y1575" s="96" t="n">
        <v>45890</v>
      </c>
      <c r="Z1575" t="inlineStr">
        <is>
          <t>https://app.hubspot.com/contacts/243046792/record/0-3/144610545339</t>
        </is>
      </c>
    </row>
    <row r="1576">
      <c r="A1576" t="n">
        <v>1575</v>
      </c>
      <c r="B1576" t="inlineStr">
        <is>
          <t>144655912644</t>
        </is>
      </c>
      <c r="C1576" t="inlineStr">
        <is>
          <t>2025-0001</t>
        </is>
      </c>
      <c r="D1576" t="inlineStr">
        <is>
          <t>IT Needs Assessment</t>
        </is>
      </c>
      <c r="E1576" t="inlineStr">
        <is>
          <t>Port of Stockton, California</t>
        </is>
      </c>
      <c r="G1576" t="inlineStr">
        <is>
          <t>Submitted</t>
        </is>
      </c>
      <c r="H1576" t="inlineStr">
        <is>
          <t>No</t>
        </is>
      </c>
      <c r="J1576" s="96" t="n">
        <v>45923</v>
      </c>
      <c r="K1576" s="96" t="n">
        <v>45923</v>
      </c>
      <c r="N1576" t="inlineStr">
        <is>
          <t>Offline</t>
        </is>
      </c>
      <c r="O1576" t="inlineStr">
        <is>
          <t>Madhav Mitruka</t>
        </is>
      </c>
      <c r="Y1576" s="96" t="n">
        <v>45890</v>
      </c>
      <c r="Z1576" t="inlineStr">
        <is>
          <t>https://app.hubspot.com/contacts/243046792/record/0-3/144655912644</t>
        </is>
      </c>
    </row>
    <row r="1577">
      <c r="A1577" t="n">
        <v>1576</v>
      </c>
      <c r="B1577" t="inlineStr">
        <is>
          <t>144655913665</t>
        </is>
      </c>
      <c r="D1577" t="inlineStr">
        <is>
          <t>DMH - SAP Enterprise Maintenance and Support Renewal (SRC0000032664)</t>
        </is>
      </c>
      <c r="E1577" t="inlineStr">
        <is>
          <t>The State of Ohio - Department of Mental Health and Addiction Services</t>
        </is>
      </c>
      <c r="G1577" t="inlineStr">
        <is>
          <t>Submitted</t>
        </is>
      </c>
      <c r="H1577" t="inlineStr">
        <is>
          <t>No</t>
        </is>
      </c>
      <c r="J1577" s="96" t="n">
        <v>45890</v>
      </c>
      <c r="K1577" s="96" t="n">
        <v>45890</v>
      </c>
      <c r="O1577" t="inlineStr">
        <is>
          <t>Jyothsna Nanda kishore</t>
        </is>
      </c>
      <c r="Y1577" s="96" t="n">
        <v>45890</v>
      </c>
      <c r="Z1577" t="inlineStr">
        <is>
          <t>https://app.hubspot.com/contacts/243046792/record/0-3/144655913665</t>
        </is>
      </c>
    </row>
    <row r="1578">
      <c r="A1578" t="n">
        <v>1577</v>
      </c>
      <c r="B1578" t="inlineStr">
        <is>
          <t>144610556611</t>
        </is>
      </c>
      <c r="C1578" t="inlineStr">
        <is>
          <t>2025-2</t>
        </is>
      </c>
      <c r="D1578" t="inlineStr">
        <is>
          <t>IT Services Provider</t>
        </is>
      </c>
      <c r="E1578" t="inlineStr">
        <is>
          <t>Buffalo County, Wisconsin</t>
        </is>
      </c>
      <c r="G1578" t="inlineStr">
        <is>
          <t>Submitted</t>
        </is>
      </c>
      <c r="H1578" t="inlineStr">
        <is>
          <t>No</t>
        </is>
      </c>
      <c r="J1578" s="96" t="n">
        <v>45904</v>
      </c>
      <c r="K1578" s="96" t="n">
        <v>45897</v>
      </c>
      <c r="M1578" t="inlineStr">
        <is>
          <t>Managed Services (MSP)</t>
        </is>
      </c>
      <c r="N1578" t="inlineStr">
        <is>
          <t>Email</t>
        </is>
      </c>
      <c r="O1578" t="inlineStr">
        <is>
          <t>Jyothsna Nanda kishore</t>
        </is>
      </c>
      <c r="Y1578" s="96" t="n">
        <v>45890</v>
      </c>
      <c r="Z1578" t="inlineStr">
        <is>
          <t>https://app.hubspot.com/contacts/243046792/record/0-3/144610556611</t>
        </is>
      </c>
    </row>
    <row r="1579">
      <c r="A1579" t="n">
        <v>1578</v>
      </c>
      <c r="B1579" t="inlineStr">
        <is>
          <t>144658793180</t>
        </is>
      </c>
      <c r="C1579" t="inlineStr">
        <is>
          <t>IFB25000346</t>
        </is>
      </c>
      <c r="D1579" t="inlineStr">
        <is>
          <t>CONSULTANT SERVICES FOR UTILITY ALLOCATION SOFTWARE</t>
        </is>
      </c>
      <c r="E1579" t="inlineStr">
        <is>
          <t>Anne Arundel County</t>
        </is>
      </c>
      <c r="G1579" t="inlineStr">
        <is>
          <t>Submitted</t>
        </is>
      </c>
      <c r="H1579" t="inlineStr">
        <is>
          <t>No</t>
        </is>
      </c>
      <c r="J1579" s="96" t="n">
        <v>45888</v>
      </c>
      <c r="K1579" s="96" t="n">
        <v>45888</v>
      </c>
      <c r="L1579" t="n">
        <v>307822.9</v>
      </c>
      <c r="M1579" t="inlineStr">
        <is>
          <t>Consulting</t>
        </is>
      </c>
      <c r="N1579" t="inlineStr">
        <is>
          <t>Portal</t>
        </is>
      </c>
      <c r="O1579" t="inlineStr">
        <is>
          <t>Jyothsna Nanda kishore</t>
        </is>
      </c>
      <c r="Y1579" s="96" t="n">
        <v>45890</v>
      </c>
      <c r="Z1579" t="inlineStr">
        <is>
          <t>https://app.hubspot.com/contacts/243046792/record/0-3/144658793180</t>
        </is>
      </c>
    </row>
    <row r="1580">
      <c r="A1580" t="n">
        <v>1579</v>
      </c>
      <c r="B1580" t="inlineStr">
        <is>
          <t>144659518200</t>
        </is>
      </c>
      <c r="C1580" t="inlineStr">
        <is>
          <t>26-07</t>
        </is>
      </c>
      <c r="D1580" t="inlineStr">
        <is>
          <t>Data Consultant Services</t>
        </is>
      </c>
      <c r="E1580" t="inlineStr">
        <is>
          <t>City of Gresham</t>
        </is>
      </c>
      <c r="G1580" t="inlineStr">
        <is>
          <t>Submitted</t>
        </is>
      </c>
      <c r="H1580" t="inlineStr">
        <is>
          <t>No</t>
        </is>
      </c>
      <c r="J1580" s="96" t="n">
        <v>45903</v>
      </c>
      <c r="K1580" s="96" t="n">
        <v>45900</v>
      </c>
      <c r="L1580" t="n">
        <v>95456</v>
      </c>
      <c r="M1580" t="inlineStr">
        <is>
          <t>Managed Services (MSP)</t>
        </is>
      </c>
      <c r="N1580" t="inlineStr">
        <is>
          <t>Email</t>
        </is>
      </c>
      <c r="O1580" t="inlineStr">
        <is>
          <t>Jyothsna Nanda kishore</t>
        </is>
      </c>
      <c r="Y1580" s="96" t="n">
        <v>45890</v>
      </c>
      <c r="Z1580" t="inlineStr">
        <is>
          <t>https://app.hubspot.com/contacts/243046792/record/0-3/144659518200</t>
        </is>
      </c>
    </row>
    <row r="1581">
      <c r="A1581" t="n">
        <v>1580</v>
      </c>
      <c r="B1581" t="inlineStr">
        <is>
          <t>144659614430</t>
        </is>
      </c>
      <c r="C1581" t="inlineStr">
        <is>
          <t>CRFQ DMV260000000</t>
        </is>
      </c>
      <c r="D1581" t="inlineStr">
        <is>
          <t>Mainframe Application Programmer Technical Staffing Services</t>
        </is>
      </c>
      <c r="E1581" t="inlineStr">
        <is>
          <t>West Virginia Department of Motor Vehicles</t>
        </is>
      </c>
      <c r="G1581" t="inlineStr">
        <is>
          <t>Submitted</t>
        </is>
      </c>
      <c r="H1581" t="inlineStr">
        <is>
          <t>No</t>
        </is>
      </c>
      <c r="J1581" s="96" t="n">
        <v>45918</v>
      </c>
      <c r="K1581" s="96" t="n">
        <v>45918</v>
      </c>
      <c r="L1581" t="n">
        <v>174720</v>
      </c>
      <c r="N1581" t="inlineStr">
        <is>
          <t>Portal</t>
        </is>
      </c>
      <c r="O1581" t="inlineStr">
        <is>
          <t>Jyothsna Nanda kishore</t>
        </is>
      </c>
      <c r="Y1581" s="96" t="n">
        <v>45891</v>
      </c>
      <c r="Z1581" t="inlineStr">
        <is>
          <t>https://app.hubspot.com/contacts/243046792/record/0-3/144659614430</t>
        </is>
      </c>
    </row>
    <row r="1582">
      <c r="A1582" t="n">
        <v>1581</v>
      </c>
      <c r="B1582" t="inlineStr">
        <is>
          <t>144653134524</t>
        </is>
      </c>
      <c r="C1582" t="inlineStr">
        <is>
          <t>25289</t>
        </is>
      </c>
      <c r="D1582" t="inlineStr">
        <is>
          <t>Artificial Intelligence Implementation and Integration of Services</t>
        </is>
      </c>
      <c r="E1582" t="inlineStr">
        <is>
          <t>Lake County Purchasing</t>
        </is>
      </c>
      <c r="G1582" t="inlineStr">
        <is>
          <t>Submitted</t>
        </is>
      </c>
      <c r="H1582" t="inlineStr">
        <is>
          <t>No</t>
        </is>
      </c>
      <c r="J1582" s="96" t="n">
        <v>45915</v>
      </c>
      <c r="K1582" s="96" t="n">
        <v>45915</v>
      </c>
      <c r="L1582" t="n">
        <v>96760</v>
      </c>
      <c r="M1582" t="inlineStr">
        <is>
          <t>Consulting;Training;Audits and Assessment</t>
        </is>
      </c>
      <c r="N1582" t="inlineStr">
        <is>
          <t>Portal</t>
        </is>
      </c>
      <c r="O1582" t="inlineStr">
        <is>
          <t>Jyothsna Nanda kishore</t>
        </is>
      </c>
      <c r="Y1582" s="96" t="n">
        <v>45891</v>
      </c>
      <c r="Z1582" t="inlineStr">
        <is>
          <t>https://app.hubspot.com/contacts/243046792/record/0-3/144653134524</t>
        </is>
      </c>
    </row>
    <row r="1583">
      <c r="A1583" t="n">
        <v>1582</v>
      </c>
      <c r="B1583" t="inlineStr">
        <is>
          <t>144659615418</t>
        </is>
      </c>
      <c r="C1583" t="inlineStr">
        <is>
          <t>25-00183-AHAC</t>
        </is>
      </c>
      <c r="D1583" t="inlineStr">
        <is>
          <t>SAP Support Services Provider</t>
        </is>
      </c>
      <c r="E1583" t="inlineStr">
        <is>
          <t>Southeastern Pennsylvania Transportation Authority</t>
        </is>
      </c>
      <c r="F1583" t="inlineStr">
        <is>
          <t>Pennsylvania</t>
        </is>
      </c>
      <c r="G1583" t="inlineStr">
        <is>
          <t>Submitted</t>
        </is>
      </c>
      <c r="H1583" t="inlineStr">
        <is>
          <t>No</t>
        </is>
      </c>
      <c r="J1583" s="96" t="n">
        <v>45902</v>
      </c>
      <c r="K1583" s="96" t="n">
        <v>45898</v>
      </c>
      <c r="N1583" t="inlineStr">
        <is>
          <t>Offline</t>
        </is>
      </c>
      <c r="O1583" t="inlineStr">
        <is>
          <t>Jyothsna Nanda kishore</t>
        </is>
      </c>
      <c r="Y1583" s="96" t="n">
        <v>45891</v>
      </c>
      <c r="Z1583" t="inlineStr">
        <is>
          <t>https://app.hubspot.com/contacts/243046792/record/0-3/144659615418</t>
        </is>
      </c>
    </row>
    <row r="1584">
      <c r="A1584" t="n">
        <v>1583</v>
      </c>
      <c r="B1584" t="inlineStr">
        <is>
          <t>144653147876</t>
        </is>
      </c>
      <c r="D1584" t="inlineStr">
        <is>
          <t>Temporary Information Technology Staffing Services</t>
        </is>
      </c>
      <c r="E1584" t="inlineStr">
        <is>
          <t>City of Pigeon Forge</t>
        </is>
      </c>
      <c r="G1584" t="inlineStr">
        <is>
          <t>Submitted</t>
        </is>
      </c>
      <c r="H1584" t="inlineStr">
        <is>
          <t>No</t>
        </is>
      </c>
      <c r="J1584" s="96" t="n">
        <v>45915</v>
      </c>
      <c r="K1584" s="96" t="n">
        <v>45912</v>
      </c>
      <c r="M1584" t="inlineStr">
        <is>
          <t>Staff Augmentation</t>
        </is>
      </c>
      <c r="N1584" t="inlineStr">
        <is>
          <t>Offline</t>
        </is>
      </c>
      <c r="O1584" t="inlineStr">
        <is>
          <t>Madhav Mitruka</t>
        </is>
      </c>
      <c r="Y1584" s="96" t="n">
        <v>45891</v>
      </c>
      <c r="Z1584" t="inlineStr">
        <is>
          <t>https://app.hubspot.com/contacts/243046792/record/0-3/144653147876</t>
        </is>
      </c>
    </row>
    <row r="1585">
      <c r="A1585" t="n">
        <v>1584</v>
      </c>
      <c r="B1585" t="inlineStr">
        <is>
          <t>144659629780</t>
        </is>
      </c>
      <c r="C1585" t="inlineStr">
        <is>
          <t>02805095</t>
        </is>
      </c>
      <c r="D1585" t="inlineStr">
        <is>
          <t>St. Johns County - Veeam VBR Enterprise Basic Maintenance License Renew</t>
        </is>
      </c>
      <c r="E1585" t="inlineStr">
        <is>
          <t>St. Johns County</t>
        </is>
      </c>
      <c r="F1585" t="inlineStr">
        <is>
          <t>Florida</t>
        </is>
      </c>
      <c r="G1585" t="inlineStr">
        <is>
          <t>Closed Won</t>
        </is>
      </c>
      <c r="H1585" t="inlineStr">
        <is>
          <t>No</t>
        </is>
      </c>
      <c r="J1585" s="96" t="n">
        <v>45910</v>
      </c>
      <c r="K1585" s="96" t="n">
        <v>45891</v>
      </c>
      <c r="L1585" t="n">
        <v>15712</v>
      </c>
      <c r="M1585" t="inlineStr">
        <is>
          <t>Reseller</t>
        </is>
      </c>
      <c r="N1585" t="inlineStr">
        <is>
          <t>Email</t>
        </is>
      </c>
      <c r="O1585" t="inlineStr">
        <is>
          <t>Madhav Mitruka</t>
        </is>
      </c>
      <c r="U1585" s="96" t="n">
        <v>45922</v>
      </c>
      <c r="Y1585" s="96" t="n">
        <v>45891</v>
      </c>
      <c r="Z1585" t="inlineStr">
        <is>
          <t>https://app.hubspot.com/contacts/243046792/record/0-3/144659629780</t>
        </is>
      </c>
    </row>
    <row r="1586">
      <c r="A1586" t="n">
        <v>1585</v>
      </c>
      <c r="B1586" t="inlineStr">
        <is>
          <t>145550210752</t>
        </is>
      </c>
      <c r="C1586" t="inlineStr">
        <is>
          <t>P-3281</t>
        </is>
      </c>
      <c r="D1586" t="inlineStr">
        <is>
          <t>Temporary Staffing Services</t>
        </is>
      </c>
      <c r="E1586" t="inlineStr">
        <is>
          <t>Milwaukee Metropolitan Sewerage District</t>
        </is>
      </c>
      <c r="G1586" t="inlineStr">
        <is>
          <t>Submitted</t>
        </is>
      </c>
      <c r="H1586" t="inlineStr">
        <is>
          <t>No</t>
        </is>
      </c>
      <c r="J1586" s="96" t="n">
        <v>45923</v>
      </c>
      <c r="K1586" s="96" t="n">
        <v>45923</v>
      </c>
      <c r="M1586" t="inlineStr">
        <is>
          <t>Staff Augmentation</t>
        </is>
      </c>
      <c r="N1586" t="inlineStr">
        <is>
          <t>Email;Portal</t>
        </is>
      </c>
      <c r="O1586" t="inlineStr">
        <is>
          <t>Madhav Mitruka</t>
        </is>
      </c>
      <c r="Y1586" s="96" t="n">
        <v>45894</v>
      </c>
      <c r="Z1586" t="inlineStr">
        <is>
          <t>https://app.hubspot.com/contacts/243046792/record/0-3/145550210752</t>
        </is>
      </c>
    </row>
    <row r="1587">
      <c r="A1587" t="n">
        <v>1586</v>
      </c>
      <c r="B1587" t="inlineStr">
        <is>
          <t>145550210789</t>
        </is>
      </c>
      <c r="D1587" t="inlineStr">
        <is>
          <t>Production Support for Oracle Cloud ERP</t>
        </is>
      </c>
      <c r="E1587" t="inlineStr">
        <is>
          <t>Pennsylvania Liquor Control Board (PLCB)</t>
        </is>
      </c>
      <c r="G1587" t="inlineStr">
        <is>
          <t>Submitted</t>
        </is>
      </c>
      <c r="H1587" t="inlineStr">
        <is>
          <t>No</t>
        </is>
      </c>
      <c r="J1587" s="96" t="n">
        <v>45922</v>
      </c>
      <c r="K1587" s="96" t="n">
        <v>45922</v>
      </c>
      <c r="M1587" t="inlineStr">
        <is>
          <t>Platform Implementation (ERP, CRMs)</t>
        </is>
      </c>
      <c r="O1587" t="inlineStr">
        <is>
          <t>Madhav Mitruka</t>
        </is>
      </c>
      <c r="Y1587" s="96" t="n">
        <v>45894</v>
      </c>
      <c r="Z1587" t="inlineStr">
        <is>
          <t>https://app.hubspot.com/contacts/243046792/record/0-3/145550210789</t>
        </is>
      </c>
    </row>
    <row r="1588">
      <c r="A1588" t="n">
        <v>1587</v>
      </c>
      <c r="B1588" t="inlineStr">
        <is>
          <t>145081115354</t>
        </is>
      </c>
      <c r="C1588" t="inlineStr">
        <is>
          <t>2025-Vendor List-189</t>
        </is>
      </c>
      <c r="D1588" t="inlineStr">
        <is>
          <t>General Vendor List Application Fiscal Year 2025-2026</t>
        </is>
      </c>
      <c r="G1588" t="inlineStr">
        <is>
          <t>Submitted</t>
        </is>
      </c>
      <c r="H1588" t="inlineStr">
        <is>
          <t>No</t>
        </is>
      </c>
      <c r="J1588" s="96" t="n">
        <v>45905</v>
      </c>
      <c r="M1588" t="inlineStr">
        <is>
          <t>Consulting</t>
        </is>
      </c>
      <c r="N1588" t="inlineStr">
        <is>
          <t>Portal</t>
        </is>
      </c>
      <c r="O1588" t="inlineStr">
        <is>
          <t>Madhav Mitruka</t>
        </is>
      </c>
      <c r="Y1588" s="96" t="n">
        <v>45894</v>
      </c>
      <c r="Z1588" t="inlineStr">
        <is>
          <t>https://app.hubspot.com/contacts/243046792/record/0-3/145081115354</t>
        </is>
      </c>
    </row>
    <row r="1589">
      <c r="A1589" t="n">
        <v>1588</v>
      </c>
      <c r="B1589" t="inlineStr">
        <is>
          <t>145081119424</t>
        </is>
      </c>
      <c r="D1589" t="inlineStr">
        <is>
          <t>Sharegate Desktop for Nintex Subscription</t>
        </is>
      </c>
      <c r="E1589" t="inlineStr">
        <is>
          <t>Orange County Transportation Authority</t>
        </is>
      </c>
      <c r="F1589" t="inlineStr">
        <is>
          <t>California</t>
        </is>
      </c>
      <c r="G1589" t="inlineStr">
        <is>
          <t>Closed Lost</t>
        </is>
      </c>
      <c r="H1589" t="inlineStr">
        <is>
          <t>No</t>
        </is>
      </c>
      <c r="J1589" s="96" t="n">
        <v>45924</v>
      </c>
      <c r="K1589" s="96" t="n">
        <v>45896</v>
      </c>
      <c r="L1589" t="n">
        <v>11500</v>
      </c>
      <c r="M1589" t="inlineStr">
        <is>
          <t>Reseller</t>
        </is>
      </c>
      <c r="N1589" t="inlineStr">
        <is>
          <t>Portal</t>
        </is>
      </c>
      <c r="O1589" t="inlineStr">
        <is>
          <t>Madhav Mitruka</t>
        </is>
      </c>
      <c r="Y1589" s="96" t="n">
        <v>45894</v>
      </c>
      <c r="Z1589" t="inlineStr">
        <is>
          <t>https://app.hubspot.com/contacts/243046792/record/0-3/145081119424</t>
        </is>
      </c>
    </row>
    <row r="1590">
      <c r="A1590" t="n">
        <v>1589</v>
      </c>
      <c r="B1590" t="inlineStr">
        <is>
          <t>146097900223</t>
        </is>
      </c>
      <c r="D1590" t="inlineStr">
        <is>
          <t>Microsoft Dynamics 365 Finance and Operations Managed Services</t>
        </is>
      </c>
      <c r="E1590" t="inlineStr">
        <is>
          <t>City of Redmond</t>
        </is>
      </c>
      <c r="G1590" t="inlineStr">
        <is>
          <t>Submitted</t>
        </is>
      </c>
      <c r="H1590" t="inlineStr">
        <is>
          <t>No</t>
        </is>
      </c>
      <c r="J1590" s="96" t="n">
        <v>45908</v>
      </c>
      <c r="K1590" s="96" t="n">
        <v>45908</v>
      </c>
      <c r="N1590" t="inlineStr">
        <is>
          <t>Portal</t>
        </is>
      </c>
      <c r="O1590" t="inlineStr">
        <is>
          <t>Madhav Mitruka</t>
        </is>
      </c>
      <c r="Y1590" s="96" t="n">
        <v>45895</v>
      </c>
      <c r="Z1590" t="inlineStr">
        <is>
          <t>https://app.hubspot.com/contacts/243046792/record/0-3/146097900223</t>
        </is>
      </c>
    </row>
    <row r="1591">
      <c r="A1591" t="n">
        <v>1590</v>
      </c>
      <c r="B1591" t="inlineStr">
        <is>
          <t>145845264086</t>
        </is>
      </c>
      <c r="D1591" t="inlineStr">
        <is>
          <t>City of Olmos Park - Information Technology Services</t>
        </is>
      </c>
      <c r="E1591" t="inlineStr">
        <is>
          <t>City of Olmos Park</t>
        </is>
      </c>
      <c r="G1591" t="inlineStr">
        <is>
          <t>Closed Won</t>
        </is>
      </c>
      <c r="H1591" t="inlineStr">
        <is>
          <t>No</t>
        </is>
      </c>
      <c r="J1591" s="96" t="n">
        <v>45918</v>
      </c>
      <c r="K1591" s="96" t="n">
        <v>45911</v>
      </c>
      <c r="L1591" t="n">
        <v>184400</v>
      </c>
      <c r="M1591" t="inlineStr">
        <is>
          <t>Managed Services (MSP)</t>
        </is>
      </c>
      <c r="N1591" t="inlineStr">
        <is>
          <t>Offline</t>
        </is>
      </c>
      <c r="O1591" t="inlineStr">
        <is>
          <t>Arshdeep Kaur</t>
        </is>
      </c>
      <c r="U1591" s="96" t="n">
        <v>45946</v>
      </c>
      <c r="Y1591" s="96" t="n">
        <v>45895</v>
      </c>
      <c r="Z1591" t="inlineStr">
        <is>
          <t>https://app.hubspot.com/contacts/243046792/record/0-3/145845264086</t>
        </is>
      </c>
    </row>
    <row r="1592">
      <c r="A1592" t="n">
        <v>1591</v>
      </c>
      <c r="B1592" t="inlineStr">
        <is>
          <t>146097907426</t>
        </is>
      </c>
      <c r="D1592" t="inlineStr">
        <is>
          <t>Colorado Oil &amp; Gas Information System (COGIS) Modernization</t>
        </is>
      </c>
      <c r="G1592" t="inlineStr">
        <is>
          <t>Submitted</t>
        </is>
      </c>
      <c r="H1592" t="inlineStr">
        <is>
          <t>No</t>
        </is>
      </c>
      <c r="J1592" s="96" t="n">
        <v>45930</v>
      </c>
      <c r="K1592" s="96" t="n">
        <v>45930</v>
      </c>
      <c r="O1592" t="inlineStr">
        <is>
          <t>Jyothsna Nanda kishore</t>
        </is>
      </c>
      <c r="Y1592" s="96" t="n">
        <v>45895</v>
      </c>
      <c r="Z1592" t="inlineStr">
        <is>
          <t>https://app.hubspot.com/contacts/243046792/record/0-3/146097907426</t>
        </is>
      </c>
    </row>
    <row r="1593">
      <c r="A1593" t="n">
        <v>1592</v>
      </c>
      <c r="B1593" t="inlineStr">
        <is>
          <t>146097907437</t>
        </is>
      </c>
      <c r="C1593" t="inlineStr">
        <is>
          <t>CFF 7752</t>
        </is>
      </c>
      <c r="D1593" t="inlineStr">
        <is>
          <t>CFF 7752 IT Tech and Support Services</t>
        </is>
      </c>
      <c r="E1593" t="inlineStr">
        <is>
          <t>First 5 California</t>
        </is>
      </c>
      <c r="G1593" t="inlineStr">
        <is>
          <t>Submitted</t>
        </is>
      </c>
      <c r="H1593" t="inlineStr">
        <is>
          <t>No</t>
        </is>
      </c>
      <c r="J1593" s="96" t="n">
        <v>45912</v>
      </c>
      <c r="K1593" s="96" t="n">
        <v>45912</v>
      </c>
      <c r="M1593" t="inlineStr">
        <is>
          <t>Support &amp; Maintenance</t>
        </is>
      </c>
      <c r="N1593" t="inlineStr">
        <is>
          <t>Email</t>
        </is>
      </c>
      <c r="O1593" t="inlineStr">
        <is>
          <t>Jyothsna Nanda kishore</t>
        </is>
      </c>
      <c r="Y1593" s="96" t="n">
        <v>45895</v>
      </c>
      <c r="Z1593" t="inlineStr">
        <is>
          <t>https://app.hubspot.com/contacts/243046792/record/0-3/146097907437</t>
        </is>
      </c>
    </row>
    <row r="1594">
      <c r="A1594" t="n">
        <v>1593</v>
      </c>
      <c r="B1594" t="inlineStr">
        <is>
          <t>146728102624</t>
        </is>
      </c>
      <c r="D1594" t="inlineStr">
        <is>
          <t>MDR SOC Integrations</t>
        </is>
      </c>
      <c r="E1594" t="inlineStr">
        <is>
          <t>Grandview School District No. 200</t>
        </is>
      </c>
      <c r="G1594" t="inlineStr">
        <is>
          <t>Submitted</t>
        </is>
      </c>
      <c r="H1594" t="inlineStr">
        <is>
          <t>No</t>
        </is>
      </c>
      <c r="J1594" s="96" t="n">
        <v>45915</v>
      </c>
      <c r="K1594" s="96" t="n">
        <v>45915</v>
      </c>
      <c r="O1594" t="inlineStr">
        <is>
          <t>Madhav Mitruka</t>
        </is>
      </c>
      <c r="Y1594" s="96" t="n">
        <v>45896</v>
      </c>
      <c r="Z1594" t="inlineStr">
        <is>
          <t>https://app.hubspot.com/contacts/243046792/record/0-3/146728102624</t>
        </is>
      </c>
    </row>
    <row r="1595">
      <c r="A1595" t="n">
        <v>1594</v>
      </c>
      <c r="B1595" t="inlineStr">
        <is>
          <t>146729542361</t>
        </is>
      </c>
      <c r="D1595" t="inlineStr">
        <is>
          <t>Task Order 1 - MS Data Management (South Dakota award)</t>
        </is>
      </c>
      <c r="E1595" t="inlineStr">
        <is>
          <t>State of South Dakota Department of Social Services</t>
        </is>
      </c>
      <c r="G1595" t="inlineStr">
        <is>
          <t>Submitted</t>
        </is>
      </c>
      <c r="H1595" t="inlineStr">
        <is>
          <t>No</t>
        </is>
      </c>
      <c r="J1595" s="96" t="n">
        <v>45923</v>
      </c>
      <c r="K1595" s="96" t="n">
        <v>45923</v>
      </c>
      <c r="M1595" t="inlineStr">
        <is>
          <t>Staff Augmentation</t>
        </is>
      </c>
      <c r="N1595" t="inlineStr">
        <is>
          <t>Email</t>
        </is>
      </c>
      <c r="O1595" t="inlineStr">
        <is>
          <t>Madhav Mitruka</t>
        </is>
      </c>
      <c r="Y1595" s="96" t="n">
        <v>45896</v>
      </c>
      <c r="Z1595" t="inlineStr">
        <is>
          <t>https://app.hubspot.com/contacts/243046792/record/0-3/146729542361</t>
        </is>
      </c>
    </row>
    <row r="1596">
      <c r="A1596" t="n">
        <v>1595</v>
      </c>
      <c r="B1596" t="inlineStr">
        <is>
          <t>146982530801</t>
        </is>
      </c>
      <c r="C1596" t="inlineStr">
        <is>
          <t>RC0000030389</t>
        </is>
      </c>
      <c r="D1596" t="inlineStr">
        <is>
          <t>CWHS - Cloud, EIM, Consulting, Training</t>
        </is>
      </c>
      <c r="E1596" t="inlineStr">
        <is>
          <t>State of Alabama Office of Chief Procurement Officer</t>
        </is>
      </c>
      <c r="G1596" t="inlineStr">
        <is>
          <t>Submitted</t>
        </is>
      </c>
      <c r="H1596" t="inlineStr">
        <is>
          <t>No</t>
        </is>
      </c>
      <c r="J1596" s="96" t="n">
        <v>45902</v>
      </c>
      <c r="K1596" s="96" t="n">
        <v>45898</v>
      </c>
      <c r="M1596" t="inlineStr">
        <is>
          <t>Consulting;Training;Support &amp; Maintenance</t>
        </is>
      </c>
      <c r="N1596" t="inlineStr">
        <is>
          <t>Portal</t>
        </is>
      </c>
      <c r="O1596" t="inlineStr">
        <is>
          <t>Jyothsna Nanda kishore</t>
        </is>
      </c>
      <c r="Y1596" s="96" t="n">
        <v>45897</v>
      </c>
      <c r="Z1596" t="inlineStr">
        <is>
          <t>https://app.hubspot.com/contacts/243046792/record/0-3/146982530801</t>
        </is>
      </c>
    </row>
    <row r="1597">
      <c r="A1597" t="n">
        <v>1596</v>
      </c>
      <c r="B1597" t="inlineStr">
        <is>
          <t>148302305012</t>
        </is>
      </c>
      <c r="D1597" t="inlineStr">
        <is>
          <t>Municipal Information Technology (IT) Services</t>
        </is>
      </c>
      <c r="E1597" t="inlineStr">
        <is>
          <t>Town of Winchester – City of Winsted</t>
        </is>
      </c>
      <c r="G1597" t="inlineStr">
        <is>
          <t>Submitted</t>
        </is>
      </c>
      <c r="H1597" t="inlineStr">
        <is>
          <t>No</t>
        </is>
      </c>
      <c r="J1597" s="96" t="n">
        <v>45915</v>
      </c>
      <c r="K1597" s="96" t="n">
        <v>45915</v>
      </c>
      <c r="N1597" t="inlineStr">
        <is>
          <t>Offline</t>
        </is>
      </c>
      <c r="O1597" t="inlineStr">
        <is>
          <t>Madhav Mitruka</t>
        </is>
      </c>
      <c r="Y1597" s="96" t="n">
        <v>45898</v>
      </c>
      <c r="Z1597" t="inlineStr">
        <is>
          <t>https://app.hubspot.com/contacts/243046792/record/0-3/148302305012</t>
        </is>
      </c>
    </row>
    <row r="1598">
      <c r="A1598" t="n">
        <v>1597</v>
      </c>
      <c r="B1598" t="inlineStr">
        <is>
          <t>148301586128</t>
        </is>
      </c>
      <c r="D1598" t="inlineStr">
        <is>
          <t>Managed IT Services</t>
        </is>
      </c>
      <c r="E1598" t="inlineStr">
        <is>
          <t>The City of Jackson</t>
        </is>
      </c>
      <c r="G1598" t="inlineStr">
        <is>
          <t>Submitted</t>
        </is>
      </c>
      <c r="H1598" t="inlineStr">
        <is>
          <t>No</t>
        </is>
      </c>
      <c r="J1598" s="96" t="n">
        <v>45925</v>
      </c>
      <c r="K1598" s="96" t="n">
        <v>45925</v>
      </c>
      <c r="N1598" t="inlineStr">
        <is>
          <t>Offline</t>
        </is>
      </c>
      <c r="O1598" t="inlineStr">
        <is>
          <t>Madhav Mitruka</t>
        </is>
      </c>
      <c r="Y1598" s="96" t="n">
        <v>45898</v>
      </c>
      <c r="Z1598" t="inlineStr">
        <is>
          <t>https://app.hubspot.com/contacts/243046792/record/0-3/148301586128</t>
        </is>
      </c>
    </row>
    <row r="1599">
      <c r="A1599" t="n">
        <v>1598</v>
      </c>
      <c r="B1599" t="inlineStr">
        <is>
          <t>148302308062</t>
        </is>
      </c>
      <c r="C1599" t="inlineStr">
        <is>
          <t>BD-26-1142-143-143-120207</t>
        </is>
      </c>
      <c r="D1599" t="inlineStr">
        <is>
          <t>Technical Procurement Services</t>
        </is>
      </c>
      <c r="E1599" t="inlineStr">
        <is>
          <t>The City of Boston</t>
        </is>
      </c>
      <c r="F1599" t="inlineStr">
        <is>
          <t>Massachusetts</t>
        </is>
      </c>
      <c r="G1599" t="inlineStr">
        <is>
          <t>Submitted</t>
        </is>
      </c>
      <c r="H1599" t="inlineStr">
        <is>
          <t>No</t>
        </is>
      </c>
      <c r="J1599" s="96" t="n">
        <v>45915</v>
      </c>
      <c r="K1599" s="96" t="n">
        <v>45898</v>
      </c>
      <c r="O1599" t="inlineStr">
        <is>
          <t>Jyothsna Nanda kishore</t>
        </is>
      </c>
      <c r="Y1599" s="96" t="n">
        <v>45898</v>
      </c>
      <c r="Z1599" t="inlineStr">
        <is>
          <t>https://app.hubspot.com/contacts/243046792/record/0-3/148302308062</t>
        </is>
      </c>
    </row>
    <row r="1600">
      <c r="A1600" t="n">
        <v>1599</v>
      </c>
      <c r="B1600" t="inlineStr">
        <is>
          <t>153102678720</t>
        </is>
      </c>
      <c r="C1600" t="inlineStr">
        <is>
          <t>FY26-03</t>
        </is>
      </c>
      <c r="D1600" t="inlineStr">
        <is>
          <t>IT ServicesID: 66212 WAYCROSS, PE-66212-NONST-2026-000000022 • State: Georgia</t>
        </is>
      </c>
      <c r="E1600" t="inlineStr">
        <is>
          <t>City of Waycross</t>
        </is>
      </c>
      <c r="G1600" t="inlineStr">
        <is>
          <t>Submitted</t>
        </is>
      </c>
      <c r="H1600" t="inlineStr">
        <is>
          <t>No</t>
        </is>
      </c>
      <c r="J1600" s="96" t="n">
        <v>45930</v>
      </c>
      <c r="K1600" s="96" t="n">
        <v>45926</v>
      </c>
      <c r="L1600" t="n">
        <v>6300</v>
      </c>
      <c r="N1600" t="inlineStr">
        <is>
          <t>Offline</t>
        </is>
      </c>
      <c r="O1600" t="inlineStr">
        <is>
          <t>Jyothsna Nanda kishore</t>
        </is>
      </c>
      <c r="Y1600" s="96" t="n">
        <v>45902</v>
      </c>
      <c r="Z1600" t="inlineStr">
        <is>
          <t>https://app.hubspot.com/contacts/243046792/record/0-3/153102678720</t>
        </is>
      </c>
    </row>
    <row r="1601">
      <c r="A1601" t="n">
        <v>1600</v>
      </c>
      <c r="B1601" t="inlineStr">
        <is>
          <t>154767152865</t>
        </is>
      </c>
      <c r="D1601" t="inlineStr">
        <is>
          <t>Salesforce Professional Services</t>
        </is>
      </c>
      <c r="E1601" t="inlineStr">
        <is>
          <t>GOVERNMENT OF THE DISTRICT OF COLUMBIA</t>
        </is>
      </c>
      <c r="G1601" t="inlineStr">
        <is>
          <t>Submitted</t>
        </is>
      </c>
      <c r="H1601" t="inlineStr">
        <is>
          <t>No</t>
        </is>
      </c>
      <c r="J1601" s="96" t="n">
        <v>45904</v>
      </c>
      <c r="K1601" s="96" t="n">
        <v>45904</v>
      </c>
      <c r="O1601" t="inlineStr">
        <is>
          <t>Jyothsna Nanda kishore</t>
        </is>
      </c>
      <c r="Y1601" s="96" t="n">
        <v>45903</v>
      </c>
      <c r="Z1601" t="inlineStr">
        <is>
          <t>https://app.hubspot.com/contacts/243046792/record/0-3/154767152865</t>
        </is>
      </c>
    </row>
    <row r="1602">
      <c r="A1602" t="n">
        <v>1601</v>
      </c>
      <c r="B1602" t="inlineStr">
        <is>
          <t>154541043416</t>
        </is>
      </c>
      <c r="D1602" t="inlineStr">
        <is>
          <t>Customer Communication Application</t>
        </is>
      </c>
      <c r="E1602" t="inlineStr">
        <is>
          <t>Cleveland County</t>
        </is>
      </c>
      <c r="G1602" t="inlineStr">
        <is>
          <t>Submitted</t>
        </is>
      </c>
      <c r="H1602" t="inlineStr">
        <is>
          <t>No</t>
        </is>
      </c>
      <c r="J1602" s="96" t="n">
        <v>45925</v>
      </c>
      <c r="K1602" s="96" t="n">
        <v>45924</v>
      </c>
      <c r="M1602" t="inlineStr">
        <is>
          <t>Consulting</t>
        </is>
      </c>
      <c r="N1602" t="inlineStr">
        <is>
          <t>Offline</t>
        </is>
      </c>
      <c r="O1602" t="inlineStr">
        <is>
          <t>Jyothsna Nanda kishore</t>
        </is>
      </c>
      <c r="Y1602" s="96" t="n">
        <v>45903</v>
      </c>
      <c r="Z1602" t="inlineStr">
        <is>
          <t>https://app.hubspot.com/contacts/243046792/record/0-3/154541043416</t>
        </is>
      </c>
    </row>
    <row r="1603">
      <c r="A1603" t="n">
        <v>1602</v>
      </c>
      <c r="B1603" t="inlineStr">
        <is>
          <t>154541044428</t>
        </is>
      </c>
      <c r="D1603" t="inlineStr">
        <is>
          <t>2841 AI Solutions for Higher Education</t>
        </is>
      </c>
      <c r="E1603" t="inlineStr">
        <is>
          <t>Colorado Mesa University</t>
        </is>
      </c>
      <c r="G1603" t="inlineStr">
        <is>
          <t>Submitted</t>
        </is>
      </c>
      <c r="H1603" t="inlineStr">
        <is>
          <t>No</t>
        </is>
      </c>
      <c r="J1603" s="96" t="n">
        <v>45930</v>
      </c>
      <c r="K1603" s="96" t="n">
        <v>45924</v>
      </c>
      <c r="N1603" t="inlineStr">
        <is>
          <t>Portal</t>
        </is>
      </c>
      <c r="O1603" t="inlineStr">
        <is>
          <t>Jyothsna Nanda kishore</t>
        </is>
      </c>
      <c r="Y1603" s="96" t="n">
        <v>45903</v>
      </c>
      <c r="Z1603" t="inlineStr">
        <is>
          <t>https://app.hubspot.com/contacts/243046792/record/0-3/154541044428</t>
        </is>
      </c>
    </row>
    <row r="1604">
      <c r="A1604" t="n">
        <v>1603</v>
      </c>
      <c r="B1604" t="inlineStr">
        <is>
          <t>154767872743</t>
        </is>
      </c>
      <c r="D1604" t="inlineStr">
        <is>
          <t>Constituent Relationship Management Software Services</t>
        </is>
      </c>
      <c r="E1604" t="inlineStr">
        <is>
          <t>Kern County</t>
        </is>
      </c>
      <c r="G1604" t="inlineStr">
        <is>
          <t>Submitted</t>
        </is>
      </c>
      <c r="H1604" t="inlineStr">
        <is>
          <t>No</t>
        </is>
      </c>
      <c r="J1604" s="96" t="n">
        <v>45929</v>
      </c>
      <c r="M1604" t="inlineStr">
        <is>
          <t>Support &amp; Maintenance</t>
        </is>
      </c>
      <c r="N1604" t="inlineStr">
        <is>
          <t>Offline</t>
        </is>
      </c>
      <c r="O1604" t="inlineStr">
        <is>
          <t>Jyothsna Nanda kishore</t>
        </is>
      </c>
      <c r="Y1604" s="96" t="n">
        <v>45903</v>
      </c>
      <c r="Z1604" t="inlineStr">
        <is>
          <t>https://app.hubspot.com/contacts/243046792/record/0-3/154767872743</t>
        </is>
      </c>
    </row>
    <row r="1605">
      <c r="A1605" t="n">
        <v>1604</v>
      </c>
      <c r="B1605" t="inlineStr">
        <is>
          <t>154767873722</t>
        </is>
      </c>
      <c r="C1605" t="inlineStr">
        <is>
          <t>2026-RFP-00063</t>
        </is>
      </c>
      <c r="D1605" t="inlineStr">
        <is>
          <t>Technology Needs and Opportunities Assessment</t>
        </is>
      </c>
      <c r="E1605" t="inlineStr">
        <is>
          <t>County of San Mateo</t>
        </is>
      </c>
      <c r="F1605" t="inlineStr">
        <is>
          <t>California</t>
        </is>
      </c>
      <c r="G1605" t="inlineStr">
        <is>
          <t>Submitted</t>
        </is>
      </c>
      <c r="H1605" t="inlineStr">
        <is>
          <t>No</t>
        </is>
      </c>
      <c r="J1605" s="96" t="n">
        <v>45926</v>
      </c>
      <c r="K1605" s="96" t="n">
        <v>45926</v>
      </c>
      <c r="L1605" t="n">
        <v>85320</v>
      </c>
      <c r="M1605" t="inlineStr">
        <is>
          <t>Audits and Assessment</t>
        </is>
      </c>
      <c r="N1605" t="inlineStr">
        <is>
          <t>Portal</t>
        </is>
      </c>
      <c r="O1605" t="inlineStr">
        <is>
          <t>Jyothsna Nanda kishore</t>
        </is>
      </c>
      <c r="Y1605" s="96" t="n">
        <v>45903</v>
      </c>
      <c r="Z1605" t="inlineStr">
        <is>
          <t>https://app.hubspot.com/contacts/243046792/record/0-3/154767873722</t>
        </is>
      </c>
    </row>
    <row r="1606">
      <c r="A1606" t="n">
        <v>1605</v>
      </c>
      <c r="B1606" t="inlineStr">
        <is>
          <t>155028391616</t>
        </is>
      </c>
      <c r="D1606" t="inlineStr">
        <is>
          <t>Epic AP - Cisco Products</t>
        </is>
      </c>
      <c r="E1606" t="inlineStr">
        <is>
          <t>Chickasaw Business Network</t>
        </is>
      </c>
      <c r="G1606" t="inlineStr">
        <is>
          <t>Submitted</t>
        </is>
      </c>
      <c r="H1606" t="inlineStr">
        <is>
          <t>No</t>
        </is>
      </c>
      <c r="J1606" s="96" t="n">
        <v>45905</v>
      </c>
      <c r="K1606" s="96" t="n">
        <v>45903</v>
      </c>
      <c r="L1606" t="n">
        <v>9680</v>
      </c>
      <c r="M1606" t="inlineStr">
        <is>
          <t>Reseller</t>
        </is>
      </c>
      <c r="N1606" t="inlineStr">
        <is>
          <t>Portal</t>
        </is>
      </c>
      <c r="O1606" t="inlineStr">
        <is>
          <t>Madhav Mitruka</t>
        </is>
      </c>
      <c r="Y1606" s="96" t="n">
        <v>45903</v>
      </c>
      <c r="Z1606" t="inlineStr">
        <is>
          <t>https://app.hubspot.com/contacts/243046792/record/0-3/155028391616</t>
        </is>
      </c>
    </row>
    <row r="1607">
      <c r="A1607" t="n">
        <v>1606</v>
      </c>
      <c r="B1607" t="inlineStr">
        <is>
          <t>155025238759</t>
        </is>
      </c>
      <c r="C1607" t="inlineStr">
        <is>
          <t>P-1525</t>
        </is>
      </c>
      <c r="D1607" t="inlineStr">
        <is>
          <t>NEORSD ITSM and ITAM Selection and Implementation Project (Cherwell Replacement)</t>
        </is>
      </c>
      <c r="E1607" t="inlineStr">
        <is>
          <t>Northeast Ohio Regional Sewer District</t>
        </is>
      </c>
      <c r="G1607" t="inlineStr">
        <is>
          <t>Closed Lost</t>
        </is>
      </c>
      <c r="H1607" t="inlineStr">
        <is>
          <t>No</t>
        </is>
      </c>
      <c r="J1607" s="96" t="n">
        <v>45929</v>
      </c>
      <c r="K1607" s="96" t="n">
        <v>45905</v>
      </c>
      <c r="L1607" t="n">
        <v>346556</v>
      </c>
      <c r="N1607" t="inlineStr">
        <is>
          <t>Email</t>
        </is>
      </c>
      <c r="O1607" t="inlineStr">
        <is>
          <t>Jyothsna Nanda kishore</t>
        </is>
      </c>
      <c r="Y1607" s="96" t="n">
        <v>45903</v>
      </c>
      <c r="Z1607" t="inlineStr">
        <is>
          <t>https://app.hubspot.com/contacts/243046792/record/0-3/155025238759</t>
        </is>
      </c>
    </row>
    <row r="1608">
      <c r="A1608" t="n">
        <v>1607</v>
      </c>
      <c r="B1608" t="inlineStr">
        <is>
          <t>155514378959</t>
        </is>
      </c>
      <c r="C1608" t="inlineStr">
        <is>
          <t>RFQ1771689S</t>
        </is>
      </c>
      <c r="D1608" t="inlineStr">
        <is>
          <t>Primary Data Center (PDC) Project Management Quality Assurance (PMQA) Project</t>
        </is>
      </c>
      <c r="E1608" t="inlineStr">
        <is>
          <t>New York City Department of Education (NYCDOE)</t>
        </is>
      </c>
      <c r="F1608" t="inlineStr">
        <is>
          <t>New York</t>
        </is>
      </c>
      <c r="G1608" t="inlineStr">
        <is>
          <t>Submitted</t>
        </is>
      </c>
      <c r="H1608" t="inlineStr">
        <is>
          <t>No</t>
        </is>
      </c>
      <c r="J1608" s="96" t="n">
        <v>45905</v>
      </c>
      <c r="K1608" s="96" t="n">
        <v>45905</v>
      </c>
      <c r="N1608" t="inlineStr">
        <is>
          <t>Email</t>
        </is>
      </c>
      <c r="O1608" t="inlineStr">
        <is>
          <t>Jyothsna Nanda kishore</t>
        </is>
      </c>
      <c r="Y1608" s="96" t="n">
        <v>45904</v>
      </c>
      <c r="Z1608" t="inlineStr">
        <is>
          <t>https://app.hubspot.com/contacts/243046792/record/0-3/155514378959</t>
        </is>
      </c>
    </row>
    <row r="1609">
      <c r="A1609" t="n">
        <v>1608</v>
      </c>
      <c r="B1609" t="inlineStr">
        <is>
          <t>155366526712</t>
        </is>
      </c>
      <c r="D1609" t="inlineStr">
        <is>
          <t>Managed Information Technology (IT) Support Services</t>
        </is>
      </c>
      <c r="E1609" t="inlineStr">
        <is>
          <t>Aging and Disability Resource Center of Central Wisconsin (ADRC-CW)</t>
        </is>
      </c>
      <c r="G1609" t="inlineStr">
        <is>
          <t>Submitted</t>
        </is>
      </c>
      <c r="H1609" t="inlineStr">
        <is>
          <t>No</t>
        </is>
      </c>
      <c r="J1609" s="96" t="n">
        <v>45925</v>
      </c>
      <c r="K1609" s="96" t="n">
        <v>45926</v>
      </c>
      <c r="L1609" t="n">
        <v>178000</v>
      </c>
      <c r="N1609" t="inlineStr">
        <is>
          <t>Email</t>
        </is>
      </c>
      <c r="O1609" t="inlineStr">
        <is>
          <t>Madhav Mitruka</t>
        </is>
      </c>
      <c r="Y1609" s="96" t="n">
        <v>45904</v>
      </c>
      <c r="Z1609" t="inlineStr">
        <is>
          <t>https://app.hubspot.com/contacts/243046792/record/0-3/155366526712</t>
        </is>
      </c>
    </row>
    <row r="1610">
      <c r="A1610" t="n">
        <v>1609</v>
      </c>
      <c r="B1610" t="inlineStr">
        <is>
          <t>155514420952</t>
        </is>
      </c>
      <c r="D1610" t="inlineStr">
        <is>
          <t>IT Support Services</t>
        </is>
      </c>
      <c r="E1610" t="inlineStr">
        <is>
          <t>Milwaukee Public Schools</t>
        </is>
      </c>
      <c r="G1610" t="inlineStr">
        <is>
          <t>Submitted</t>
        </is>
      </c>
      <c r="H1610" t="inlineStr">
        <is>
          <t>No</t>
        </is>
      </c>
      <c r="J1610" s="96" t="n">
        <v>45930</v>
      </c>
      <c r="K1610" s="96" t="n">
        <v>45929</v>
      </c>
      <c r="M1610" t="inlineStr">
        <is>
          <t>Managed Services (MSP)</t>
        </is>
      </c>
      <c r="N1610" t="inlineStr">
        <is>
          <t>Portal</t>
        </is>
      </c>
      <c r="O1610" t="inlineStr">
        <is>
          <t>Madhav Mitruka</t>
        </is>
      </c>
      <c r="Y1610" s="96" t="n">
        <v>45904</v>
      </c>
      <c r="Z1610" t="inlineStr">
        <is>
          <t>https://app.hubspot.com/contacts/243046792/record/0-3/155514420952</t>
        </is>
      </c>
    </row>
    <row r="1611">
      <c r="A1611" t="n">
        <v>1610</v>
      </c>
      <c r="B1611" t="inlineStr">
        <is>
          <t>156473552588</t>
        </is>
      </c>
      <c r="D1611" t="inlineStr">
        <is>
          <t>IT SUPPORT SERVICES IN SACRAMENTO</t>
        </is>
      </c>
      <c r="E1611" t="inlineStr">
        <is>
          <t>LA County- Internal Services Department</t>
        </is>
      </c>
      <c r="F1611" t="inlineStr">
        <is>
          <t>California</t>
        </is>
      </c>
      <c r="G1611" t="inlineStr">
        <is>
          <t>Submitted</t>
        </is>
      </c>
      <c r="H1611" t="inlineStr">
        <is>
          <t>No</t>
        </is>
      </c>
      <c r="J1611" s="96" t="n">
        <v>45904</v>
      </c>
      <c r="K1611" s="96" t="n">
        <v>45904</v>
      </c>
      <c r="M1611" t="inlineStr">
        <is>
          <t>Support &amp; Maintenance</t>
        </is>
      </c>
      <c r="O1611" t="inlineStr">
        <is>
          <t>Jyothsna Nanda kishore</t>
        </is>
      </c>
      <c r="Y1611" s="96" t="n">
        <v>45905</v>
      </c>
      <c r="Z1611" t="inlineStr">
        <is>
          <t>https://app.hubspot.com/contacts/243046792/record/0-3/156473552588</t>
        </is>
      </c>
    </row>
    <row r="1612">
      <c r="A1612" t="n">
        <v>1611</v>
      </c>
      <c r="B1612" t="inlineStr">
        <is>
          <t>156444760782</t>
        </is>
      </c>
      <c r="C1612" t="inlineStr">
        <is>
          <t>PennBid: 198803</t>
        </is>
      </c>
      <c r="D1612" t="inlineStr">
        <is>
          <t>Information Technology Services</t>
        </is>
      </c>
      <c r="E1612" t="inlineStr">
        <is>
          <t>Lower Nazareth Township</t>
        </is>
      </c>
      <c r="G1612" t="inlineStr">
        <is>
          <t>Submitted</t>
        </is>
      </c>
      <c r="H1612" t="inlineStr">
        <is>
          <t>No</t>
        </is>
      </c>
      <c r="J1612" s="96" t="n">
        <v>45912</v>
      </c>
      <c r="K1612" s="96" t="n">
        <v>45910</v>
      </c>
      <c r="M1612" t="inlineStr">
        <is>
          <t>Managed Services (MSP)</t>
        </is>
      </c>
      <c r="O1612" t="inlineStr">
        <is>
          <t>Madhav Mitruka</t>
        </is>
      </c>
      <c r="Y1612" s="96" t="n">
        <v>45905</v>
      </c>
      <c r="Z1612" t="inlineStr">
        <is>
          <t>https://app.hubspot.com/contacts/243046792/record/0-3/156444760782</t>
        </is>
      </c>
    </row>
    <row r="1613">
      <c r="A1613" t="n">
        <v>1612</v>
      </c>
      <c r="B1613" t="inlineStr">
        <is>
          <t>157264850618</t>
        </is>
      </c>
      <c r="C1613" t="inlineStr">
        <is>
          <t>8541-W6</t>
        </is>
      </c>
      <c r="D1613" t="inlineStr">
        <is>
          <t>Consultant – AI / MCRWB</t>
        </is>
      </c>
      <c r="E1613" t="inlineStr">
        <is>
          <t>City of Worchester</t>
        </is>
      </c>
      <c r="G1613" t="inlineStr">
        <is>
          <t>Submitted</t>
        </is>
      </c>
      <c r="H1613" t="inlineStr">
        <is>
          <t>No</t>
        </is>
      </c>
      <c r="J1613" s="96" t="n">
        <v>45923</v>
      </c>
      <c r="K1613" s="96" t="n">
        <v>45922</v>
      </c>
      <c r="L1613" t="n">
        <v>19500</v>
      </c>
      <c r="M1613" t="inlineStr">
        <is>
          <t>Consulting</t>
        </is>
      </c>
      <c r="N1613" t="inlineStr">
        <is>
          <t>Email</t>
        </is>
      </c>
      <c r="O1613" t="inlineStr">
        <is>
          <t>Madhav Mitruka</t>
        </is>
      </c>
      <c r="Y1613" s="96" t="n">
        <v>45908</v>
      </c>
      <c r="Z1613" t="inlineStr">
        <is>
          <t>https://app.hubspot.com/contacts/243046792/record/0-3/157264850618</t>
        </is>
      </c>
    </row>
    <row r="1614">
      <c r="A1614" t="n">
        <v>1613</v>
      </c>
      <c r="B1614" t="inlineStr">
        <is>
          <t>156444958409</t>
        </is>
      </c>
      <c r="D1614" t="inlineStr">
        <is>
          <t>Boggy Creek Network Refresh</t>
        </is>
      </c>
      <c r="E1614" t="inlineStr">
        <is>
          <t>Chickasaw Business Network</t>
        </is>
      </c>
      <c r="G1614" t="inlineStr">
        <is>
          <t>Submitted</t>
        </is>
      </c>
      <c r="H1614" t="inlineStr">
        <is>
          <t>No</t>
        </is>
      </c>
      <c r="J1614" s="96" t="n">
        <v>45909</v>
      </c>
      <c r="K1614" s="96" t="n">
        <v>45909</v>
      </c>
      <c r="L1614" t="n">
        <v>9100</v>
      </c>
      <c r="N1614" t="inlineStr">
        <is>
          <t>Portal</t>
        </is>
      </c>
      <c r="O1614" t="inlineStr">
        <is>
          <t>Madhav Mitruka</t>
        </is>
      </c>
      <c r="Y1614" s="96" t="n">
        <v>45908</v>
      </c>
      <c r="Z1614" t="inlineStr">
        <is>
          <t>https://app.hubspot.com/contacts/243046792/record/0-3/156444958409</t>
        </is>
      </c>
    </row>
    <row r="1615">
      <c r="A1615" t="n">
        <v>1614</v>
      </c>
      <c r="B1615" t="inlineStr">
        <is>
          <t>156444958433</t>
        </is>
      </c>
      <c r="D1615" t="inlineStr">
        <is>
          <t>Washita Casino Network Refresh</t>
        </is>
      </c>
      <c r="E1615" t="inlineStr">
        <is>
          <t>Chickasaw Business Network</t>
        </is>
      </c>
      <c r="G1615" t="inlineStr">
        <is>
          <t>Submitted</t>
        </is>
      </c>
      <c r="H1615" t="inlineStr">
        <is>
          <t>No</t>
        </is>
      </c>
      <c r="J1615" s="96" t="n">
        <v>45909</v>
      </c>
      <c r="K1615" s="96" t="n">
        <v>45909</v>
      </c>
      <c r="L1615" t="n">
        <v>17200</v>
      </c>
      <c r="M1615" t="inlineStr">
        <is>
          <t>Reseller</t>
        </is>
      </c>
      <c r="N1615" t="inlineStr">
        <is>
          <t>Portal</t>
        </is>
      </c>
      <c r="O1615" t="inlineStr">
        <is>
          <t>Madhav Mitruka</t>
        </is>
      </c>
      <c r="Y1615" s="96" t="n">
        <v>45908</v>
      </c>
      <c r="Z1615" t="inlineStr">
        <is>
          <t>https://app.hubspot.com/contacts/243046792/record/0-3/156444958433</t>
        </is>
      </c>
    </row>
    <row r="1616">
      <c r="A1616" t="n">
        <v>1615</v>
      </c>
      <c r="B1616" t="inlineStr">
        <is>
          <t>156444958451</t>
        </is>
      </c>
      <c r="D1616" t="inlineStr">
        <is>
          <t>Pauls Vally Refresh</t>
        </is>
      </c>
      <c r="E1616" t="inlineStr">
        <is>
          <t>Chickasaw Business Network</t>
        </is>
      </c>
      <c r="G1616" t="inlineStr">
        <is>
          <t>Submitted</t>
        </is>
      </c>
      <c r="H1616" t="inlineStr">
        <is>
          <t>No</t>
        </is>
      </c>
      <c r="J1616" s="96" t="n">
        <v>45909</v>
      </c>
      <c r="K1616" s="96" t="n">
        <v>45909</v>
      </c>
      <c r="L1616" t="n">
        <v>17700</v>
      </c>
      <c r="N1616" t="inlineStr">
        <is>
          <t>Portal</t>
        </is>
      </c>
      <c r="O1616" t="inlineStr">
        <is>
          <t>Madhav Mitruka</t>
        </is>
      </c>
      <c r="Y1616" s="96" t="n">
        <v>45908</v>
      </c>
      <c r="Z1616" t="inlineStr">
        <is>
          <t>https://app.hubspot.com/contacts/243046792/record/0-3/156444958451</t>
        </is>
      </c>
    </row>
    <row r="1617">
      <c r="A1617" t="n">
        <v>1616</v>
      </c>
      <c r="B1617" t="inlineStr">
        <is>
          <t>157345531640</t>
        </is>
      </c>
      <c r="D1617" t="inlineStr">
        <is>
          <t>RFO 5000003282 Project Managers</t>
        </is>
      </c>
      <c r="E1617" t="inlineStr">
        <is>
          <t>California State Teachers' Retirement System</t>
        </is>
      </c>
      <c r="F1617" t="inlineStr">
        <is>
          <t>California</t>
        </is>
      </c>
      <c r="G1617" t="inlineStr">
        <is>
          <t>Submitted</t>
        </is>
      </c>
      <c r="H1617" t="inlineStr">
        <is>
          <t>No</t>
        </is>
      </c>
      <c r="J1617" s="96" t="n">
        <v>45919</v>
      </c>
      <c r="K1617" s="96" t="n">
        <v>45919</v>
      </c>
      <c r="M1617" t="inlineStr">
        <is>
          <t>Staff Augmentation</t>
        </is>
      </c>
      <c r="O1617" t="inlineStr">
        <is>
          <t>Jyothsna Nanda kishore</t>
        </is>
      </c>
      <c r="Y1617" s="96" t="n">
        <v>45908</v>
      </c>
      <c r="Z1617" t="inlineStr">
        <is>
          <t>https://app.hubspot.com/contacts/243046792/record/0-3/157345531640</t>
        </is>
      </c>
    </row>
    <row r="1618">
      <c r="A1618" t="n">
        <v>1617</v>
      </c>
      <c r="B1618" t="inlineStr">
        <is>
          <t>157948070605</t>
        </is>
      </c>
      <c r="C1618" t="inlineStr">
        <is>
          <t>5000003293</t>
        </is>
      </c>
      <c r="D1618" t="inlineStr">
        <is>
          <t>Power BI Developer</t>
        </is>
      </c>
      <c r="E1618" t="inlineStr">
        <is>
          <t>California State Teachers' Retirement System</t>
        </is>
      </c>
      <c r="F1618" t="inlineStr">
        <is>
          <t>California</t>
        </is>
      </c>
      <c r="G1618" t="inlineStr">
        <is>
          <t>Submitted</t>
        </is>
      </c>
      <c r="H1618" t="inlineStr">
        <is>
          <t>No</t>
        </is>
      </c>
      <c r="J1618" s="96" t="n">
        <v>45909</v>
      </c>
      <c r="K1618" s="96" t="n">
        <v>45909</v>
      </c>
      <c r="M1618" t="inlineStr">
        <is>
          <t>Staff Augmentation</t>
        </is>
      </c>
      <c r="N1618" t="inlineStr">
        <is>
          <t>Email</t>
        </is>
      </c>
      <c r="O1618" t="inlineStr">
        <is>
          <t>Madhav Mitruka</t>
        </is>
      </c>
      <c r="Y1618" s="96" t="n">
        <v>45909</v>
      </c>
      <c r="Z1618" t="inlineStr">
        <is>
          <t>https://app.hubspot.com/contacts/243046792/record/0-3/157948070605</t>
        </is>
      </c>
    </row>
    <row r="1619">
      <c r="A1619" t="n">
        <v>1618</v>
      </c>
      <c r="B1619" t="inlineStr">
        <is>
          <t>158110622399</t>
        </is>
      </c>
      <c r="D1619" t="inlineStr">
        <is>
          <t>INFORMATION TECHNOLOGY (IT) SUPPORT SERVICES</t>
        </is>
      </c>
      <c r="E1619" t="inlineStr">
        <is>
          <t>San Bernardino County Transportation Authority</t>
        </is>
      </c>
      <c r="F1619" t="inlineStr">
        <is>
          <t>California</t>
        </is>
      </c>
      <c r="G1619" t="inlineStr">
        <is>
          <t>Closed Lost</t>
        </is>
      </c>
      <c r="H1619" t="inlineStr">
        <is>
          <t>No</t>
        </is>
      </c>
      <c r="J1619" s="96" t="n">
        <v>45909</v>
      </c>
      <c r="O1619" t="inlineStr">
        <is>
          <t>Madhav Mitruka</t>
        </is>
      </c>
      <c r="Y1619" s="96" t="n">
        <v>45909</v>
      </c>
      <c r="Z1619" t="inlineStr">
        <is>
          <t>https://app.hubspot.com/contacts/243046792/record/0-3/158110622399</t>
        </is>
      </c>
    </row>
    <row r="1620">
      <c r="A1620" t="n">
        <v>1619</v>
      </c>
      <c r="B1620" t="inlineStr">
        <is>
          <t>158113558225</t>
        </is>
      </c>
      <c r="D1620" t="inlineStr">
        <is>
          <t>Co-Managed IT Model</t>
        </is>
      </c>
      <c r="E1620" t="inlineStr">
        <is>
          <t>City of Fernley</t>
        </is>
      </c>
      <c r="G1620" t="inlineStr">
        <is>
          <t>Submitted</t>
        </is>
      </c>
      <c r="H1620" t="inlineStr">
        <is>
          <t>No</t>
        </is>
      </c>
      <c r="J1620" s="96" t="n">
        <v>45925</v>
      </c>
      <c r="K1620" s="96" t="n">
        <v>45925</v>
      </c>
      <c r="M1620" t="inlineStr">
        <is>
          <t>Managed Services (MSP);Consulting;Training</t>
        </is>
      </c>
      <c r="O1620" t="inlineStr">
        <is>
          <t>Madhav Mitruka</t>
        </is>
      </c>
      <c r="Y1620" s="96" t="n">
        <v>45910</v>
      </c>
      <c r="Z1620" t="inlineStr">
        <is>
          <t>https://app.hubspot.com/contacts/243046792/record/0-3/158113558225</t>
        </is>
      </c>
    </row>
    <row r="1621">
      <c r="A1621" t="n">
        <v>1620</v>
      </c>
      <c r="B1621" t="inlineStr">
        <is>
          <t>158191708868</t>
        </is>
      </c>
      <c r="D1621" t="inlineStr">
        <is>
          <t>Managed IT Services</t>
        </is>
      </c>
      <c r="E1621" t="inlineStr">
        <is>
          <t>Town of Warren</t>
        </is>
      </c>
      <c r="G1621" t="inlineStr">
        <is>
          <t>Submitted</t>
        </is>
      </c>
      <c r="H1621" t="inlineStr">
        <is>
          <t>No</t>
        </is>
      </c>
      <c r="J1621" s="96" t="n">
        <v>45925</v>
      </c>
      <c r="K1621" s="96" t="n">
        <v>45925</v>
      </c>
      <c r="L1621" t="n">
        <v>2124</v>
      </c>
      <c r="M1621" t="inlineStr">
        <is>
          <t>Managed Services (MSP)</t>
        </is>
      </c>
      <c r="N1621" t="inlineStr">
        <is>
          <t>Email</t>
        </is>
      </c>
      <c r="O1621" t="inlineStr">
        <is>
          <t>Jyothsna Nanda kishore</t>
        </is>
      </c>
      <c r="Y1621" s="96" t="n">
        <v>45910</v>
      </c>
      <c r="Z1621" t="inlineStr">
        <is>
          <t>https://app.hubspot.com/contacts/243046792/record/0-3/158191708868</t>
        </is>
      </c>
    </row>
    <row r="1622">
      <c r="A1622" t="n">
        <v>1621</v>
      </c>
      <c r="B1622" t="inlineStr">
        <is>
          <t>158113566410</t>
        </is>
      </c>
      <c r="D1622" t="inlineStr">
        <is>
          <t>Village of Fox River Grove, Information Technology Services</t>
        </is>
      </c>
      <c r="G1622" t="inlineStr">
        <is>
          <t>Submitted</t>
        </is>
      </c>
      <c r="H1622" t="inlineStr">
        <is>
          <t>No</t>
        </is>
      </c>
      <c r="J1622" s="96" t="n">
        <v>45915</v>
      </c>
      <c r="K1622" s="96" t="n">
        <v>45915</v>
      </c>
      <c r="M1622" t="inlineStr">
        <is>
          <t>Managed Services (MSP)</t>
        </is>
      </c>
      <c r="N1622" t="inlineStr">
        <is>
          <t>Email</t>
        </is>
      </c>
      <c r="O1622" t="inlineStr">
        <is>
          <t>Jyothsna Nanda kishore</t>
        </is>
      </c>
      <c r="Y1622" s="96" t="n">
        <v>45910</v>
      </c>
      <c r="Z1622" t="inlineStr">
        <is>
          <t>https://app.hubspot.com/contacts/243046792/record/0-3/158113566410</t>
        </is>
      </c>
    </row>
    <row r="1623">
      <c r="A1623" t="n">
        <v>1622</v>
      </c>
      <c r="B1623" t="inlineStr">
        <is>
          <t>158775167695</t>
        </is>
      </c>
      <c r="C1623" t="inlineStr">
        <is>
          <t>25/26-103</t>
        </is>
      </c>
      <c r="D1623" t="inlineStr">
        <is>
          <t>Veeam Data Platform Advanced Universal Subscription</t>
        </is>
      </c>
      <c r="E1623" t="inlineStr">
        <is>
          <t>City of Rancho Cucamonga</t>
        </is>
      </c>
      <c r="F1623" t="inlineStr">
        <is>
          <t>California</t>
        </is>
      </c>
      <c r="G1623" t="inlineStr">
        <is>
          <t>Closed Lost</t>
        </is>
      </c>
      <c r="H1623" t="inlineStr">
        <is>
          <t>No</t>
        </is>
      </c>
      <c r="J1623" s="96" t="n">
        <v>45925</v>
      </c>
      <c r="K1623" s="96" t="n">
        <v>45922</v>
      </c>
      <c r="L1623" t="n">
        <v>66992.41</v>
      </c>
      <c r="M1623" t="inlineStr">
        <is>
          <t>Reseller</t>
        </is>
      </c>
      <c r="N1623" t="inlineStr">
        <is>
          <t>Portal</t>
        </is>
      </c>
      <c r="O1623" t="inlineStr">
        <is>
          <t>Madhav Mitruka</t>
        </is>
      </c>
      <c r="Y1623" s="96" t="n">
        <v>45911</v>
      </c>
      <c r="Z1623" t="inlineStr">
        <is>
          <t>https://app.hubspot.com/contacts/243046792/record/0-3/158775167695</t>
        </is>
      </c>
    </row>
    <row r="1624">
      <c r="A1624" t="n">
        <v>1623</v>
      </c>
      <c r="B1624" t="inlineStr">
        <is>
          <t>158775168707</t>
        </is>
      </c>
      <c r="D1624" t="inlineStr">
        <is>
          <t>INFORMATION TECHNOLOGY SUPPORT SERVICES</t>
        </is>
      </c>
      <c r="E1624" t="inlineStr">
        <is>
          <t>City of Kalama</t>
        </is>
      </c>
      <c r="G1624" t="inlineStr">
        <is>
          <t>Submitted</t>
        </is>
      </c>
      <c r="H1624" t="inlineStr">
        <is>
          <t>No</t>
        </is>
      </c>
      <c r="J1624" s="96" t="n">
        <v>45930</v>
      </c>
      <c r="K1624" s="96" t="n">
        <v>45930</v>
      </c>
      <c r="M1624" t="inlineStr">
        <is>
          <t>Managed Services (MSP)</t>
        </is>
      </c>
      <c r="O1624" t="inlineStr">
        <is>
          <t>Madhav Mitruka</t>
        </is>
      </c>
      <c r="Y1624" s="96" t="n">
        <v>45911</v>
      </c>
      <c r="Z1624" t="inlineStr">
        <is>
          <t>https://app.hubspot.com/contacts/243046792/record/0-3/158775168707</t>
        </is>
      </c>
    </row>
    <row r="1625">
      <c r="A1625" t="n">
        <v>1624</v>
      </c>
      <c r="B1625" t="inlineStr">
        <is>
          <t>158454902477</t>
        </is>
      </c>
      <c r="C1625" t="inlineStr">
        <is>
          <t>857</t>
        </is>
      </c>
      <c r="D1625" t="inlineStr">
        <is>
          <t>Assessor &amp; Treasurer Software Purchase Professional Project Management Services</t>
        </is>
      </c>
      <c r="E1625" t="inlineStr">
        <is>
          <t>Routt County</t>
        </is>
      </c>
      <c r="G1625" t="inlineStr">
        <is>
          <t>Submitted</t>
        </is>
      </c>
      <c r="H1625" t="inlineStr">
        <is>
          <t>No</t>
        </is>
      </c>
      <c r="J1625" s="96" t="n">
        <v>45923</v>
      </c>
      <c r="K1625" s="96" t="n">
        <v>45924</v>
      </c>
      <c r="L1625" t="n">
        <v>37000</v>
      </c>
      <c r="N1625" t="inlineStr">
        <is>
          <t>Portal</t>
        </is>
      </c>
      <c r="O1625" t="inlineStr">
        <is>
          <t>Jyothsna Nanda kishore</t>
        </is>
      </c>
      <c r="Y1625" s="96" t="n">
        <v>45911</v>
      </c>
      <c r="Z1625" t="inlineStr">
        <is>
          <t>https://app.hubspot.com/contacts/243046792/record/0-3/158454902477</t>
        </is>
      </c>
    </row>
    <row r="1626">
      <c r="A1626" t="n">
        <v>1625</v>
      </c>
      <c r="B1626" t="inlineStr">
        <is>
          <t>158907283151</t>
        </is>
      </c>
      <c r="C1626" t="inlineStr">
        <is>
          <t>PUR0825-059</t>
        </is>
      </c>
      <c r="D1626" t="inlineStr">
        <is>
          <t>Ad-Hoc Network Services</t>
        </is>
      </c>
      <c r="E1626" t="inlineStr">
        <is>
          <t>City of Cedar Rapids</t>
        </is>
      </c>
      <c r="G1626" t="inlineStr">
        <is>
          <t>Submitted</t>
        </is>
      </c>
      <c r="H1626" t="inlineStr">
        <is>
          <t>No</t>
        </is>
      </c>
      <c r="J1626" s="96" t="n">
        <v>45919</v>
      </c>
      <c r="K1626" s="96" t="n">
        <v>45919</v>
      </c>
      <c r="N1626" t="inlineStr">
        <is>
          <t>Portal</t>
        </is>
      </c>
      <c r="O1626" t="inlineStr">
        <is>
          <t>Jyothsna Nanda kishore</t>
        </is>
      </c>
      <c r="Y1626" s="96" t="n">
        <v>45911</v>
      </c>
      <c r="Z1626" t="inlineStr">
        <is>
          <t>https://app.hubspot.com/contacts/243046792/record/0-3/158907283151</t>
        </is>
      </c>
    </row>
    <row r="1627">
      <c r="A1627" t="n">
        <v>1626</v>
      </c>
      <c r="B1627" t="inlineStr">
        <is>
          <t>159502266093</t>
        </is>
      </c>
      <c r="C1627" t="inlineStr">
        <is>
          <t>RFI1780561</t>
        </is>
      </c>
      <c r="D1627" t="inlineStr">
        <is>
          <t>Artificial Intelligence Enhanced Legal Solutions - MRAS</t>
        </is>
      </c>
      <c r="E1627" t="inlineStr">
        <is>
          <t>GSA OGC</t>
        </is>
      </c>
      <c r="G1627" t="inlineStr">
        <is>
          <t>Submitted</t>
        </is>
      </c>
      <c r="H1627" t="inlineStr">
        <is>
          <t>No</t>
        </is>
      </c>
      <c r="J1627" s="96" t="n">
        <v>45917</v>
      </c>
      <c r="K1627" s="96" t="n">
        <v>45917</v>
      </c>
      <c r="N1627" t="inlineStr">
        <is>
          <t>Email</t>
        </is>
      </c>
      <c r="O1627" t="inlineStr">
        <is>
          <t>Madhav Mitruka</t>
        </is>
      </c>
      <c r="Y1627" s="96" t="n">
        <v>45912</v>
      </c>
      <c r="Z1627" t="inlineStr">
        <is>
          <t>https://app.hubspot.com/contacts/243046792/record/0-3/159502266093</t>
        </is>
      </c>
    </row>
    <row r="1628">
      <c r="A1628" t="n">
        <v>1627</v>
      </c>
      <c r="B1628" t="inlineStr">
        <is>
          <t>162087458528</t>
        </is>
      </c>
      <c r="C1628" t="inlineStr">
        <is>
          <t>RFQ1781841</t>
        </is>
      </c>
      <c r="D1628" t="inlineStr">
        <is>
          <t>Jira Service Desk and Confluence Data Center Remote Administration Support</t>
        </is>
      </c>
      <c r="E1628" t="inlineStr">
        <is>
          <t>Department of Justice, Bureau of Prisons</t>
        </is>
      </c>
      <c r="G1628" t="inlineStr">
        <is>
          <t>Submitted</t>
        </is>
      </c>
      <c r="H1628" t="inlineStr">
        <is>
          <t>No</t>
        </is>
      </c>
      <c r="J1628" s="96" t="n">
        <v>45917</v>
      </c>
      <c r="K1628" s="96" t="n">
        <v>45917</v>
      </c>
      <c r="N1628" t="inlineStr">
        <is>
          <t>Portal</t>
        </is>
      </c>
      <c r="O1628" t="inlineStr">
        <is>
          <t>Madhav Mitruka</t>
        </is>
      </c>
      <c r="Y1628" s="96" t="n">
        <v>45915</v>
      </c>
      <c r="Z1628" t="inlineStr">
        <is>
          <t>https://app.hubspot.com/contacts/243046792/record/0-3/162087458528</t>
        </is>
      </c>
    </row>
    <row r="1629">
      <c r="A1629" t="n">
        <v>1628</v>
      </c>
      <c r="B1629" t="inlineStr">
        <is>
          <t>162089053919</t>
        </is>
      </c>
      <c r="C1629" t="inlineStr">
        <is>
          <t>0920252293</t>
        </is>
      </c>
      <c r="D1629" t="inlineStr">
        <is>
          <t>Modern Data Platform</t>
        </is>
      </c>
      <c r="E1629" t="inlineStr">
        <is>
          <t>Miami University</t>
        </is>
      </c>
      <c r="F1629" t="inlineStr">
        <is>
          <t>Ohio</t>
        </is>
      </c>
      <c r="G1629" t="inlineStr">
        <is>
          <t>Submitted</t>
        </is>
      </c>
      <c r="H1629" t="inlineStr">
        <is>
          <t>No</t>
        </is>
      </c>
      <c r="J1629" s="96" t="n">
        <v>45926</v>
      </c>
      <c r="K1629" s="96" t="n">
        <v>45926</v>
      </c>
      <c r="M1629" t="inlineStr">
        <is>
          <t>Modernization / Migration</t>
        </is>
      </c>
      <c r="O1629" t="inlineStr">
        <is>
          <t>Jyothsna Nanda kishore</t>
        </is>
      </c>
      <c r="Y1629" s="96" t="n">
        <v>45916</v>
      </c>
      <c r="Z1629" t="inlineStr">
        <is>
          <t>https://app.hubspot.com/contacts/243046792/record/0-3/162089053919</t>
        </is>
      </c>
    </row>
    <row r="1630">
      <c r="A1630" t="n">
        <v>1629</v>
      </c>
      <c r="B1630" t="inlineStr">
        <is>
          <t>162089313008</t>
        </is>
      </c>
      <c r="C1630" t="inlineStr">
        <is>
          <t>RFQ #2025-122</t>
        </is>
      </c>
      <c r="D1630" t="inlineStr">
        <is>
          <t>Workforce Data Integration Application Programming Interface (API)</t>
        </is>
      </c>
      <c r="E1630" t="inlineStr">
        <is>
          <t>North Central Texas Council of Governments</t>
        </is>
      </c>
      <c r="F1630" t="inlineStr">
        <is>
          <t>TEXAS</t>
        </is>
      </c>
      <c r="G1630" t="inlineStr">
        <is>
          <t>Submitted</t>
        </is>
      </c>
      <c r="H1630" t="inlineStr">
        <is>
          <t>No</t>
        </is>
      </c>
      <c r="J1630" s="96" t="n">
        <v>45929</v>
      </c>
      <c r="K1630" s="96" t="n">
        <v>45930</v>
      </c>
      <c r="O1630" t="inlineStr">
        <is>
          <t>Madhav Mitruka</t>
        </is>
      </c>
      <c r="Y1630" s="96" t="n">
        <v>45918</v>
      </c>
      <c r="Z1630" t="inlineStr">
        <is>
          <t>https://app.hubspot.com/contacts/243046792/record/0-3/162089313008</t>
        </is>
      </c>
    </row>
    <row r="1631">
      <c r="A1631" t="n">
        <v>1630</v>
      </c>
      <c r="B1631" t="inlineStr">
        <is>
          <t>169111068380</t>
        </is>
      </c>
      <c r="C1631" t="inlineStr">
        <is>
          <t>6000002328</t>
        </is>
      </c>
      <c r="D1631" t="inlineStr">
        <is>
          <t>Port Authority of New York New Jersey - Performance of Expert Professional Airport Information Technology and Innovation Consulting Services</t>
        </is>
      </c>
      <c r="E1631" t="inlineStr">
        <is>
          <t>Port Authority of New York New Jersey</t>
        </is>
      </c>
      <c r="F1631" t="inlineStr">
        <is>
          <t>New York</t>
        </is>
      </c>
      <c r="G1631" t="inlineStr">
        <is>
          <t>Closed Won</t>
        </is>
      </c>
      <c r="H1631" t="inlineStr">
        <is>
          <t>No</t>
        </is>
      </c>
      <c r="J1631" s="96" t="n">
        <v>45924</v>
      </c>
      <c r="K1631" s="96" t="n">
        <v>45580</v>
      </c>
      <c r="L1631" t="n">
        <v>0</v>
      </c>
      <c r="M1631" t="inlineStr">
        <is>
          <t>Staff Augmentation</t>
        </is>
      </c>
      <c r="O1631" t="inlineStr">
        <is>
          <t>Yashaswini Gautam</t>
        </is>
      </c>
      <c r="U1631" s="96" t="n">
        <v>45938</v>
      </c>
      <c r="Y1631" s="96" t="n">
        <v>45924</v>
      </c>
      <c r="Z1631" t="inlineStr">
        <is>
          <t>https://app.hubspot.com/contacts/243046792/record/0-3/169111068380</t>
        </is>
      </c>
    </row>
    <row r="1632">
      <c r="A1632" t="n">
        <v>1631</v>
      </c>
      <c r="B1632" t="inlineStr">
        <is>
          <t>168988159693</t>
        </is>
      </c>
      <c r="C1632" t="inlineStr">
        <is>
          <t>6000002323</t>
        </is>
      </c>
      <c r="D1632" t="inlineStr">
        <is>
          <t>Port Authority of New York New Jersey - Performance of Expert Professional Airport Data Analysis and Business Intelligence Consulting Services during 2025 through 2029</t>
        </is>
      </c>
      <c r="E1632" t="inlineStr">
        <is>
          <t>Port Authority of New York New Jersey</t>
        </is>
      </c>
      <c r="F1632" t="inlineStr">
        <is>
          <t>New York</t>
        </is>
      </c>
      <c r="G1632" t="inlineStr">
        <is>
          <t>Closed Won</t>
        </is>
      </c>
      <c r="H1632" t="inlineStr">
        <is>
          <t>No</t>
        </is>
      </c>
      <c r="J1632" s="96" t="n">
        <v>45924</v>
      </c>
      <c r="K1632" s="96" t="n">
        <v>45580</v>
      </c>
      <c r="L1632" t="n">
        <v>0</v>
      </c>
      <c r="M1632" t="inlineStr">
        <is>
          <t>Staff Augmentation</t>
        </is>
      </c>
      <c r="O1632" t="inlineStr">
        <is>
          <t>Yashaswini Gautam</t>
        </is>
      </c>
      <c r="U1632" s="96" t="n">
        <v>45938</v>
      </c>
      <c r="Y1632" s="96" t="n">
        <v>45924</v>
      </c>
      <c r="Z1632" t="inlineStr">
        <is>
          <t>https://app.hubspot.com/contacts/243046792/record/0-3/168988159693</t>
        </is>
      </c>
    </row>
    <row r="1633">
      <c r="A1633" t="n">
        <v>1632</v>
      </c>
      <c r="B1633" t="inlineStr">
        <is>
          <t>169108930291</t>
        </is>
      </c>
      <c r="C1633" t="inlineStr">
        <is>
          <t>RFQ-AR-1399</t>
        </is>
      </c>
      <c r="D1633" t="inlineStr">
        <is>
          <t>Metropolitan Water District of Southern California - ON-CALL INFORMATION TECHNOLOGY SOFTWARE ASSET MANAGEMENT SERVICES</t>
        </is>
      </c>
      <c r="E1633" t="inlineStr">
        <is>
          <t>Metropolitan Water District of Southern California</t>
        </is>
      </c>
      <c r="F1633" t="inlineStr">
        <is>
          <t>California</t>
        </is>
      </c>
      <c r="G1633" t="inlineStr">
        <is>
          <t>Closed Won</t>
        </is>
      </c>
      <c r="H1633" t="inlineStr">
        <is>
          <t>No</t>
        </is>
      </c>
      <c r="J1633" s="96" t="n">
        <v>45924</v>
      </c>
      <c r="M1633" t="inlineStr">
        <is>
          <t>Consulting</t>
        </is>
      </c>
      <c r="O1633" t="inlineStr">
        <is>
          <t>Madhav Mitruka</t>
        </is>
      </c>
      <c r="U1633" s="96" t="n">
        <v>45924</v>
      </c>
      <c r="Y1633" s="96" t="n">
        <v>45924</v>
      </c>
      <c r="Z1633" t="inlineStr">
        <is>
          <t>https://app.hubspot.com/contacts/243046792/record/0-3/169108930291</t>
        </is>
      </c>
    </row>
    <row r="1634">
      <c r="A1634" t="n">
        <v>1633</v>
      </c>
      <c r="B1634" t="inlineStr">
        <is>
          <t>171849404117</t>
        </is>
      </c>
      <c r="C1634" t="inlineStr">
        <is>
          <t>15DDHQ25Q00000089</t>
        </is>
      </c>
      <c r="D1634" t="inlineStr">
        <is>
          <t>Modernization Support Services</t>
        </is>
      </c>
      <c r="E1634" t="inlineStr">
        <is>
          <t xml:space="preserve">DRUG ENFORCEMENT ADMINISTRATION - Office of Inspection </t>
        </is>
      </c>
      <c r="G1634" t="inlineStr">
        <is>
          <t>Closed Lost</t>
        </is>
      </c>
      <c r="H1634" t="inlineStr">
        <is>
          <t>No</t>
        </is>
      </c>
      <c r="J1634" s="96" t="n">
        <v>45929</v>
      </c>
      <c r="K1634" s="96" t="n">
        <v>45909</v>
      </c>
      <c r="M1634" t="inlineStr">
        <is>
          <t>Consulting</t>
        </is>
      </c>
      <c r="O1634" t="inlineStr">
        <is>
          <t>Jyothsna Nanda kishore</t>
        </is>
      </c>
      <c r="Y1634" s="96" t="n">
        <v>45929</v>
      </c>
      <c r="Z1634" t="inlineStr">
        <is>
          <t>https://app.hubspot.com/contacts/243046792/record/0-3/171849404117</t>
        </is>
      </c>
    </row>
    <row r="1635">
      <c r="A1635" t="n">
        <v>1634</v>
      </c>
      <c r="B1635" t="inlineStr">
        <is>
          <t>181172764367</t>
        </is>
      </c>
      <c r="D1635" t="inlineStr">
        <is>
          <t>Monroe County - Temporary Personnel Services for Information Technology</t>
        </is>
      </c>
      <c r="E1635" t="inlineStr">
        <is>
          <t>Monroe County</t>
        </is>
      </c>
      <c r="G1635" t="inlineStr">
        <is>
          <t>Closed Won</t>
        </is>
      </c>
      <c r="H1635" t="inlineStr">
        <is>
          <t>No</t>
        </is>
      </c>
      <c r="J1635" s="96" t="n">
        <v>45835</v>
      </c>
      <c r="K1635" s="96" t="n">
        <v>45833</v>
      </c>
      <c r="M1635" t="inlineStr">
        <is>
          <t>Platform Implementation (ERP, CRMs);Support &amp; Maintenance</t>
        </is>
      </c>
      <c r="N1635" t="inlineStr">
        <is>
          <t>Email</t>
        </is>
      </c>
      <c r="O1635" t="inlineStr">
        <is>
          <t>Jyothsna Nanda kishore</t>
        </is>
      </c>
      <c r="U1635" s="96" t="n">
        <v>45938</v>
      </c>
      <c r="Y1635" s="96" t="n">
        <v>45938</v>
      </c>
      <c r="Z1635" t="inlineStr">
        <is>
          <t>https://app.hubspot.com/contacts/243046792/record/0-3/181172764367</t>
        </is>
      </c>
    </row>
    <row r="1636">
      <c r="A1636" t="n">
        <v>1635</v>
      </c>
      <c r="B1636" t="inlineStr">
        <is>
          <t>186570653428</t>
        </is>
      </c>
      <c r="C1636" t="inlineStr">
        <is>
          <t>405 24R0019168C</t>
        </is>
      </c>
      <c r="D1636" t="inlineStr">
        <is>
          <t>Texas Department of Public Safety - Cherwell Professional Services</t>
        </is>
      </c>
      <c r="E1636" t="inlineStr">
        <is>
          <t>Texas Department of Public Safety</t>
        </is>
      </c>
      <c r="G1636" t="inlineStr">
        <is>
          <t>Closed Won</t>
        </is>
      </c>
      <c r="H1636" t="inlineStr">
        <is>
          <t>No</t>
        </is>
      </c>
      <c r="J1636" s="96" t="n">
        <v>45791</v>
      </c>
      <c r="K1636" s="96" t="n">
        <v>45790</v>
      </c>
      <c r="L1636" t="n">
        <v>148500</v>
      </c>
      <c r="M1636" t="inlineStr">
        <is>
          <t>Managed Services (MSP)</t>
        </is>
      </c>
      <c r="N1636" t="inlineStr">
        <is>
          <t>Email</t>
        </is>
      </c>
      <c r="O1636" t="inlineStr">
        <is>
          <t>Ashley Lamaniya</t>
        </is>
      </c>
      <c r="U1636" s="96" t="n">
        <v>45947</v>
      </c>
      <c r="Y1636" s="96" t="n">
        <v>45943</v>
      </c>
      <c r="Z1636" t="inlineStr">
        <is>
          <t>https://app.hubspot.com/contacts/243046792/record/0-3/186570653428</t>
        </is>
      </c>
    </row>
    <row r="1637">
      <c r="A1637" t="n">
        <v>1636</v>
      </c>
      <c r="B1637" t="inlineStr">
        <is>
          <t>269389012723</t>
        </is>
      </c>
      <c r="C1637" t="inlineStr">
        <is>
          <t>COVB-25-101486</t>
        </is>
      </c>
      <c r="D1637" t="inlineStr">
        <is>
          <t>City of Virginia Beach - IT Services</t>
        </is>
      </c>
      <c r="E1637" t="inlineStr">
        <is>
          <t xml:space="preserve">City of Virginia Beach </t>
        </is>
      </c>
      <c r="F1637" t="inlineStr">
        <is>
          <t>Virginia</t>
        </is>
      </c>
      <c r="G1637" t="inlineStr">
        <is>
          <t>Closed Won</t>
        </is>
      </c>
      <c r="H1637" t="inlineStr">
        <is>
          <t>No</t>
        </is>
      </c>
      <c r="J1637" s="96" t="n">
        <v>45713</v>
      </c>
      <c r="K1637" s="96" t="n">
        <v>45713</v>
      </c>
      <c r="L1637" t="n">
        <v>0</v>
      </c>
      <c r="M1637" t="inlineStr">
        <is>
          <t>Staff Augmentation</t>
        </is>
      </c>
      <c r="N1637" t="inlineStr">
        <is>
          <t>Portal</t>
        </is>
      </c>
      <c r="O1637" t="inlineStr">
        <is>
          <t>Ashutosh Chauhan</t>
        </is>
      </c>
      <c r="U1637" s="96" t="n">
        <v>46147</v>
      </c>
      <c r="Y1637" s="96" t="n">
        <v>46042</v>
      </c>
      <c r="Z1637" t="inlineStr">
        <is>
          <t>https://app.hubspot.com/contacts/243046792/record/0-3/269389012723</t>
        </is>
      </c>
    </row>
    <row r="1638">
      <c r="A1638" t="n">
        <v>1637</v>
      </c>
      <c r="B1638" t="inlineStr">
        <is>
          <t>324940331731</t>
        </is>
      </c>
      <c r="D1638" t="inlineStr">
        <is>
          <t>Oracle PeopleSoft Annual Support Services</t>
        </is>
      </c>
      <c r="E1638" t="inlineStr">
        <is>
          <t>Hampton Roads Transit</t>
        </is>
      </c>
      <c r="F1638" t="inlineStr">
        <is>
          <t>Virginia</t>
        </is>
      </c>
      <c r="G1638" t="inlineStr">
        <is>
          <t>Terminated</t>
        </is>
      </c>
      <c r="H1638" t="inlineStr">
        <is>
          <t>No</t>
        </is>
      </c>
      <c r="J1638" s="96" t="n">
        <v>45798</v>
      </c>
      <c r="M1638" t="inlineStr">
        <is>
          <t>Reseller</t>
        </is>
      </c>
      <c r="O1638" t="inlineStr">
        <is>
          <t>Ashley Lamaniya</t>
        </is>
      </c>
      <c r="Y1638" s="96" t="n">
        <v>46154</v>
      </c>
      <c r="Z1638" t="inlineStr">
        <is>
          <t>https://app.hubspot.com/contacts/243046792/record/0-3/324940331731</t>
        </is>
      </c>
    </row>
    <row r="1639">
      <c r="A1639" t="n">
        <v>1638</v>
      </c>
      <c r="B1639" t="inlineStr">
        <is>
          <t>327055384298</t>
        </is>
      </c>
      <c r="D1639" t="inlineStr">
        <is>
          <t xml:space="preserve">Madison Metropolitan Sewerage District - QA Tester - SOW 3 </t>
        </is>
      </c>
      <c r="E1639" t="inlineStr">
        <is>
          <t>Madison Metropolitan Sewerage District</t>
        </is>
      </c>
      <c r="F1639" t="inlineStr">
        <is>
          <t>Wisconsin</t>
        </is>
      </c>
      <c r="G1639" t="inlineStr">
        <is>
          <t>Closed Won</t>
        </is>
      </c>
      <c r="H1639" t="inlineStr">
        <is>
          <t>No</t>
        </is>
      </c>
      <c r="J1639" s="96" t="n">
        <v>46287</v>
      </c>
      <c r="K1639" s="96" t="n">
        <v>46115</v>
      </c>
      <c r="L1639" t="n">
        <v>134400</v>
      </c>
      <c r="M1639" t="inlineStr">
        <is>
          <t>Managed Services (MSP)</t>
        </is>
      </c>
      <c r="O1639" t="inlineStr">
        <is>
          <t>Amber Soni</t>
        </is>
      </c>
      <c r="U1639" s="96" t="n">
        <v>46118</v>
      </c>
      <c r="Y1639" s="96" t="n">
        <v>46169</v>
      </c>
      <c r="Z1639" t="inlineStr">
        <is>
          <t>https://app.hubspot.com/contacts/243046792/record/0-3/327055384298</t>
        </is>
      </c>
    </row>
    <row r="1640">
      <c r="A1640" t="n">
        <v>1639</v>
      </c>
      <c r="B1640" t="inlineStr">
        <is>
          <t>339687315155</t>
        </is>
      </c>
      <c r="C1640" t="inlineStr">
        <is>
          <t>IT-26-112</t>
        </is>
      </c>
      <c r="D1640" t="inlineStr">
        <is>
          <t>Oracle EBS Implementation Health Check</t>
        </is>
      </c>
      <c r="E1640" t="inlineStr">
        <is>
          <t>Universal Service Administrative Company ( USAC )</t>
        </is>
      </c>
      <c r="G1640" t="inlineStr">
        <is>
          <t>Submitted</t>
        </is>
      </c>
      <c r="H1640" t="inlineStr">
        <is>
          <t>No</t>
        </is>
      </c>
      <c r="J1640" s="96" t="n">
        <v>46262</v>
      </c>
      <c r="O1640" t="inlineStr">
        <is>
          <t>Ashutosh Chauhan</t>
        </is>
      </c>
      <c r="Y1640" s="96" t="n">
        <v>46234</v>
      </c>
      <c r="Z1640" t="inlineStr">
        <is>
          <t>https://app.hubspot.com/contacts/243046792/record/0-3/339687315155</t>
        </is>
      </c>
    </row>
    <row r="1641">
      <c r="A1641" t="n">
        <v>1640</v>
      </c>
      <c r="B1641" t="inlineStr">
        <is>
          <t>339869899464</t>
        </is>
      </c>
      <c r="D1641" t="inlineStr">
        <is>
          <t>Consultant Services - Technology Solution Development</t>
        </is>
      </c>
      <c r="E1641" t="inlineStr">
        <is>
          <t>The Community Group</t>
        </is>
      </c>
      <c r="G1641" t="inlineStr">
        <is>
          <t>Submitted</t>
        </is>
      </c>
      <c r="H1641" t="inlineStr">
        <is>
          <t>No</t>
        </is>
      </c>
      <c r="J1641" s="96" t="n">
        <v>46282</v>
      </c>
      <c r="K1641" s="96" t="n">
        <v>46282</v>
      </c>
      <c r="L1641" t="n">
        <v>53818</v>
      </c>
      <c r="M1641" t="inlineStr">
        <is>
          <t>Consulting;Custom development</t>
        </is>
      </c>
      <c r="N1641" t="inlineStr">
        <is>
          <t>Email</t>
        </is>
      </c>
      <c r="O1641" t="inlineStr">
        <is>
          <t>Hrithik Srivastava</t>
        </is>
      </c>
      <c r="Y1641" s="96" t="n">
        <v>46235</v>
      </c>
      <c r="Z1641" t="inlineStr">
        <is>
          <t>https://app.hubspot.com/contacts/243046792/record/0-3/339869899464</t>
        </is>
      </c>
    </row>
    <row r="1642">
      <c r="A1642" t="n">
        <v>1641</v>
      </c>
      <c r="B1642" t="inlineStr">
        <is>
          <t>343126599359</t>
        </is>
      </c>
      <c r="C1642" t="inlineStr">
        <is>
          <t>ITB-AP-86-0-2026/CB</t>
        </is>
      </c>
      <c r="D1642" t="inlineStr">
        <is>
          <t>IT &amp; Website Support Services</t>
        </is>
      </c>
      <c r="E1642" t="inlineStr">
        <is>
          <t xml:space="preserve">ASBURY PARK HOUSING AUTHORITY </t>
        </is>
      </c>
      <c r="G1642" t="inlineStr">
        <is>
          <t>Submitted</t>
        </is>
      </c>
      <c r="H1642" t="inlineStr">
        <is>
          <t>No</t>
        </is>
      </c>
      <c r="J1642" s="96" t="n">
        <v>46295</v>
      </c>
      <c r="K1642" s="96" t="n">
        <v>46295</v>
      </c>
      <c r="L1642" t="n">
        <v>155200</v>
      </c>
      <c r="M1642" t="inlineStr">
        <is>
          <t>Managed Services (MSP)</t>
        </is>
      </c>
      <c r="O1642" t="inlineStr">
        <is>
          <t>Hrithik Srivastava</t>
        </is>
      </c>
      <c r="Y1642" s="96" t="n">
        <v>46258</v>
      </c>
      <c r="Z1642" t="inlineStr">
        <is>
          <t>https://app.hubspot.com/contacts/243046792/record/0-3/343126599359</t>
        </is>
      </c>
    </row>
    <row r="1643">
      <c r="A1643" t="n">
        <v>1642</v>
      </c>
      <c r="B1643" t="inlineStr">
        <is>
          <t>345158151906</t>
        </is>
      </c>
      <c r="D1643" t="inlineStr">
        <is>
          <t>New Hampshire Water Infrastructure Funding Dashboard</t>
        </is>
      </c>
      <c r="E1643" t="inlineStr">
        <is>
          <t xml:space="preserve">New Hampshire Department of Environmental Services (NHDES) </t>
        </is>
      </c>
      <c r="G1643" t="inlineStr">
        <is>
          <t>Submitted</t>
        </is>
      </c>
      <c r="H1643" t="inlineStr">
        <is>
          <t>No</t>
        </is>
      </c>
      <c r="J1643" s="96" t="n">
        <v>46304</v>
      </c>
      <c r="O1643" t="inlineStr">
        <is>
          <t>Ashutosh Chauhan</t>
        </is>
      </c>
      <c r="Y1643" s="96" t="n">
        <v>46267</v>
      </c>
      <c r="Z1643" t="inlineStr">
        <is>
          <t>https://app.hubspot.com/contacts/243046792/record/0-3/345158151906</t>
        </is>
      </c>
    </row>
    <row r="1644">
      <c r="A1644" t="n">
        <v>1643</v>
      </c>
      <c r="B1644" t="inlineStr">
        <is>
          <t>345391509233</t>
        </is>
      </c>
      <c r="D1644" t="inlineStr">
        <is>
          <t>On-Call Professional Information Technology Services</t>
        </is>
      </c>
      <c r="E1644" t="inlineStr">
        <is>
          <t>Port of Long Beach</t>
        </is>
      </c>
      <c r="F1644" t="inlineStr">
        <is>
          <t>California</t>
        </is>
      </c>
      <c r="G1644" t="inlineStr">
        <is>
          <t>Submitted</t>
        </is>
      </c>
      <c r="H1644" t="inlineStr">
        <is>
          <t>No</t>
        </is>
      </c>
      <c r="J1644" s="96" t="n">
        <v>46308</v>
      </c>
      <c r="M1644" t="inlineStr">
        <is>
          <t>Staff Augmentation</t>
        </is>
      </c>
      <c r="O1644" t="inlineStr">
        <is>
          <t>Hrithik Srivastava</t>
        </is>
      </c>
      <c r="Y1644" s="96" t="n">
        <v>46267</v>
      </c>
      <c r="Z1644" t="inlineStr">
        <is>
          <t>https://app.hubspot.com/contacts/243046792/record/0-3/345391509233</t>
        </is>
      </c>
    </row>
    <row r="1645">
      <c r="A1645" t="n">
        <v>1644</v>
      </c>
      <c r="B1645" t="inlineStr">
        <is>
          <t>345470190325</t>
        </is>
      </c>
      <c r="C1645" t="inlineStr">
        <is>
          <t>https://www.rfpmart.com/1166620-usa-south-dakota-it-services-rfp.html</t>
        </is>
      </c>
      <c r="D1645" t="inlineStr">
        <is>
          <t>IT SERVICES</t>
        </is>
      </c>
      <c r="E1645" t="inlineStr">
        <is>
          <t>Tribal Land Enterprises</t>
        </is>
      </c>
      <c r="G1645" t="inlineStr">
        <is>
          <t>Submitted</t>
        </is>
      </c>
      <c r="H1645" t="inlineStr">
        <is>
          <t>No</t>
        </is>
      </c>
      <c r="J1645" s="96" t="n">
        <v>46276</v>
      </c>
      <c r="K1645" s="96" t="n">
        <v>46276</v>
      </c>
      <c r="M1645" t="inlineStr">
        <is>
          <t>Managed Services (MSP)</t>
        </is>
      </c>
      <c r="O1645" t="inlineStr">
        <is>
          <t>Yash More</t>
        </is>
      </c>
      <c r="Y1645" s="96" t="n">
        <v>46267</v>
      </c>
      <c r="Z1645" t="inlineStr">
        <is>
          <t>https://app.hubspot.com/contacts/243046792/record/0-3/345470190325</t>
        </is>
      </c>
    </row>
    <row r="1646">
      <c r="A1646" t="n">
        <v>1645</v>
      </c>
      <c r="B1646" t="inlineStr">
        <is>
          <t>347392514808</t>
        </is>
      </c>
      <c r="D1646" t="inlineStr">
        <is>
          <t>OFFLINE - Cybersecurity Consulting and Assessment Services</t>
        </is>
      </c>
      <c r="E1646" t="inlineStr">
        <is>
          <t>City of Cortland</t>
        </is>
      </c>
      <c r="F1646" t="inlineStr">
        <is>
          <t>New York</t>
        </is>
      </c>
      <c r="G1646" t="inlineStr">
        <is>
          <t>Submitted</t>
        </is>
      </c>
      <c r="H1646" t="inlineStr">
        <is>
          <t>No</t>
        </is>
      </c>
      <c r="J1646" s="96" t="n">
        <v>46290</v>
      </c>
      <c r="K1646" s="96" t="n">
        <v>46289</v>
      </c>
      <c r="M1646" t="inlineStr">
        <is>
          <t>Audits and Assessment</t>
        </is>
      </c>
      <c r="N1646" t="inlineStr">
        <is>
          <t>Offline</t>
        </is>
      </c>
      <c r="O1646" t="inlineStr">
        <is>
          <t>Yash More</t>
        </is>
      </c>
      <c r="Y1646" s="96" t="n">
        <v>46275</v>
      </c>
      <c r="Z1646" t="inlineStr">
        <is>
          <t>https://app.hubspot.com/contacts/243046792/record/0-3/347392514808</t>
        </is>
      </c>
    </row>
    <row r="1647">
      <c r="A1647" t="n">
        <v>1646</v>
      </c>
      <c r="B1647" t="inlineStr">
        <is>
          <t>348350314227</t>
        </is>
      </c>
      <c r="D1647" t="inlineStr">
        <is>
          <t>OFF - RFP IT MANAGED SERVICES</t>
        </is>
      </c>
      <c r="E1647" t="inlineStr">
        <is>
          <t>City of McCleary</t>
        </is>
      </c>
      <c r="G1647" t="inlineStr">
        <is>
          <t>RFx Cancelled</t>
        </is>
      </c>
      <c r="H1647" t="inlineStr">
        <is>
          <t>No</t>
        </is>
      </c>
      <c r="J1647" s="96" t="n">
        <v>46293</v>
      </c>
      <c r="O1647" t="inlineStr">
        <is>
          <t>Ashutosh Chauhan</t>
        </is>
      </c>
      <c r="Y1647" s="96" t="n">
        <v>46279</v>
      </c>
      <c r="Z1647" t="inlineStr">
        <is>
          <t>https://app.hubspot.com/contacts/243046792/record/0-3/348350314227</t>
        </is>
      </c>
    </row>
    <row r="1648">
      <c r="A1648" t="n">
        <v>1647</v>
      </c>
      <c r="B1648" t="inlineStr">
        <is>
          <t>348354628294</t>
        </is>
      </c>
      <c r="D1648" t="inlineStr">
        <is>
          <t>[Offline] IT Services</t>
        </is>
      </c>
      <c r="E1648" t="inlineStr">
        <is>
          <t xml:space="preserve">Town of Newfane </t>
        </is>
      </c>
      <c r="G1648" t="inlineStr">
        <is>
          <t>Submitted</t>
        </is>
      </c>
      <c r="H1648" t="inlineStr">
        <is>
          <t>No</t>
        </is>
      </c>
      <c r="J1648" s="96" t="n">
        <v>46300</v>
      </c>
      <c r="K1648" s="96" t="n">
        <v>46295</v>
      </c>
      <c r="L1648" t="n">
        <v>5280</v>
      </c>
      <c r="M1648" t="inlineStr">
        <is>
          <t>Managed Services (MSP);Support &amp; Maintenance</t>
        </is>
      </c>
      <c r="N1648" t="inlineStr">
        <is>
          <t>Offline</t>
        </is>
      </c>
      <c r="O1648" t="inlineStr">
        <is>
          <t>Hrithik Srivastava</t>
        </is>
      </c>
      <c r="Y1648" s="96" t="n">
        <v>46280</v>
      </c>
      <c r="Z1648" t="inlineStr">
        <is>
          <t>https://app.hubspot.com/contacts/243046792/record/0-3/348354628294</t>
        </is>
      </c>
    </row>
    <row r="1649">
      <c r="A1649" t="n">
        <v>1648</v>
      </c>
      <c r="B1649" t="inlineStr">
        <is>
          <t>348946514680</t>
        </is>
      </c>
      <c r="D1649" t="inlineStr">
        <is>
          <t xml:space="preserve">IT Services </t>
        </is>
      </c>
      <c r="E1649" t="inlineStr">
        <is>
          <t>Housing Authority of the City of New Smyrna Beach</t>
        </is>
      </c>
      <c r="G1649" t="inlineStr">
        <is>
          <t>RFx Cancelled</t>
        </is>
      </c>
      <c r="H1649" t="inlineStr">
        <is>
          <t>No</t>
        </is>
      </c>
      <c r="J1649" s="96" t="n">
        <v>46296</v>
      </c>
      <c r="O1649" t="inlineStr">
        <is>
          <t>Hrithik Srivastava</t>
        </is>
      </c>
      <c r="Y1649" s="96" t="n">
        <v>46282</v>
      </c>
      <c r="Z1649" t="inlineStr">
        <is>
          <t>https://app.hubspot.com/contacts/243046792/record/0-3/348946514680</t>
        </is>
      </c>
    </row>
    <row r="1650">
      <c r="A1650" t="n">
        <v>1649</v>
      </c>
      <c r="B1650" t="inlineStr">
        <is>
          <t>350071113448</t>
        </is>
      </c>
      <c r="C1650" t="inlineStr">
        <is>
          <t>DPARC-0679</t>
        </is>
      </c>
      <c r="D1650" t="inlineStr">
        <is>
          <t>RFQ #DPARC-0679 - DEPARTMENT OF PUBLIC SOCIAL SERVICES (DPSS) COMPREHENSIVE QUALITY ASSURANCE CASE MANAGEMENT SOFTWARE, MAINTENANCE AND SUPPORT</t>
        </is>
      </c>
      <c r="E1650" t="inlineStr">
        <is>
          <t>County of Riverside</t>
        </is>
      </c>
      <c r="G1650" t="inlineStr">
        <is>
          <t>RFx Cancelled</t>
        </is>
      </c>
      <c r="H1650" t="inlineStr">
        <is>
          <t>No</t>
        </is>
      </c>
      <c r="J1650" s="96" t="n">
        <v>46301</v>
      </c>
      <c r="O1650" t="inlineStr">
        <is>
          <t>Hrithik Srivastava</t>
        </is>
      </c>
      <c r="Y1650" s="96" t="n">
        <v>46287</v>
      </c>
      <c r="Z1650" t="inlineStr">
        <is>
          <t>https://app.hubspot.com/contacts/243046792/record/0-3/350071113448</t>
        </is>
      </c>
    </row>
    <row r="1651">
      <c r="A1651" t="n">
        <v>1650</v>
      </c>
      <c r="B1651" t="inlineStr">
        <is>
          <t>350065788625</t>
        </is>
      </c>
      <c r="D1651" t="inlineStr">
        <is>
          <t>Enterprise System for Asset Management, Work Orders, and CIP Project Management</t>
        </is>
      </c>
      <c r="E1651" t="inlineStr">
        <is>
          <t>City of San Carlos</t>
        </is>
      </c>
      <c r="F1651" t="inlineStr">
        <is>
          <t>California</t>
        </is>
      </c>
      <c r="G1651" t="inlineStr">
        <is>
          <t>Submitted</t>
        </is>
      </c>
      <c r="H1651" t="inlineStr">
        <is>
          <t>No</t>
        </is>
      </c>
      <c r="J1651" s="96" t="n">
        <v>46317</v>
      </c>
      <c r="M1651" t="inlineStr">
        <is>
          <t>Platform Implementation (ERP, CRMs);Reseller</t>
        </is>
      </c>
      <c r="N1651" t="inlineStr">
        <is>
          <t>Email</t>
        </is>
      </c>
      <c r="O1651" t="inlineStr">
        <is>
          <t>Hrithik Srivastava</t>
        </is>
      </c>
      <c r="Y1651" s="96" t="n">
        <v>46287</v>
      </c>
      <c r="Z1651" t="inlineStr">
        <is>
          <t>https://app.hubspot.com/contacts/243046792/record/0-3/350065788625</t>
        </is>
      </c>
    </row>
    <row r="1652">
      <c r="A1652" t="n">
        <v>1651</v>
      </c>
      <c r="B1652" t="inlineStr">
        <is>
          <t>350193789656</t>
        </is>
      </c>
      <c r="C1652" t="inlineStr">
        <is>
          <t>27-14</t>
        </is>
      </c>
      <c r="D1652" t="inlineStr">
        <is>
          <t>Cyber Security</t>
        </is>
      </c>
      <c r="E1652" t="inlineStr">
        <is>
          <t>Edmond Public Schools</t>
        </is>
      </c>
      <c r="G1652" t="inlineStr">
        <is>
          <t>Submitted</t>
        </is>
      </c>
      <c r="H1652" t="inlineStr">
        <is>
          <t>No</t>
        </is>
      </c>
      <c r="J1652" s="96" t="n">
        <v>46301</v>
      </c>
      <c r="O1652" t="inlineStr">
        <is>
          <t>Hrithik Srivastava</t>
        </is>
      </c>
      <c r="Y1652" s="96" t="n">
        <v>46288</v>
      </c>
      <c r="Z1652" t="inlineStr">
        <is>
          <t>https://app.hubspot.com/contacts/243046792/record/0-3/350193789656</t>
        </is>
      </c>
    </row>
    <row r="1653">
      <c r="A1653" t="n">
        <v>1652</v>
      </c>
      <c r="B1653" t="inlineStr">
        <is>
          <t>351712137955</t>
        </is>
      </c>
      <c r="C1653" t="inlineStr">
        <is>
          <t>RFP 27-01</t>
        </is>
      </c>
      <c r="D1653" t="inlineStr">
        <is>
          <t>Data Lakehouse Platform and Related Services</t>
        </is>
      </c>
      <c r="E1653" t="inlineStr">
        <is>
          <t>Montclair State University</t>
        </is>
      </c>
      <c r="G1653" t="inlineStr">
        <is>
          <t>Submitted</t>
        </is>
      </c>
      <c r="H1653" t="inlineStr">
        <is>
          <t>No</t>
        </is>
      </c>
      <c r="J1653" s="96" t="n">
        <v>46309</v>
      </c>
      <c r="O1653" t="inlineStr">
        <is>
          <t>Ashutosh Chauhan</t>
        </is>
      </c>
      <c r="Y1653" s="96" t="n">
        <v>46295</v>
      </c>
      <c r="Z1653" t="inlineStr">
        <is>
          <t>https://app.hubspot.com/contacts/243046792/record/0-3/351712137955</t>
        </is>
      </c>
    </row>
    <row r="1654">
      <c r="A1654" t="n">
        <v>1653</v>
      </c>
      <c r="B1654" t="inlineStr">
        <is>
          <t>351700025029</t>
        </is>
      </c>
      <c r="D1654" t="inlineStr">
        <is>
          <t>Kodiak Island Borough - Test Environment Configuration Services - CO 1</t>
        </is>
      </c>
      <c r="E1654" t="inlineStr">
        <is>
          <t>Kodiak Island Borough</t>
        </is>
      </c>
      <c r="F1654" t="inlineStr">
        <is>
          <t>Alaska</t>
        </is>
      </c>
      <c r="G1654" t="inlineStr">
        <is>
          <t>Submitted</t>
        </is>
      </c>
      <c r="H1654" t="inlineStr">
        <is>
          <t>No</t>
        </is>
      </c>
      <c r="K1654" s="96" t="n">
        <v>46268</v>
      </c>
      <c r="L1654" t="n">
        <v>840</v>
      </c>
      <c r="O1654" t="inlineStr">
        <is>
          <t>Ashutosh Chauhan</t>
        </is>
      </c>
      <c r="Y1654" s="96" t="n">
        <v>46295</v>
      </c>
      <c r="Z1654" t="inlineStr">
        <is>
          <t>https://app.hubspot.com/contacts/243046792/record/0-3/351700025029</t>
        </is>
      </c>
    </row>
  </sheetData>
  <autoFilter ref="A1:AA687"/>
  <dataValidations count="1">
    <dataValidation sqref="AA2:AA627" showDropDown="0" showInputMessage="1" showErrorMessage="1" allowBlank="1" errorTitle="Invalid value" error="Please select Yes or No only." promptTitle="Delivery Required" prompt="Select Yes if delivery is required for this RFP, otherwise No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50" customWidth="1" min="4" max="4"/>
    <col width="35" customWidth="1" min="5" max="5"/>
    <col width="14" customWidth="1" min="6" max="6"/>
    <col width="16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  <col width="28" customWidth="1" min="13" max="13"/>
    <col width="16" customWidth="1" min="14" max="14"/>
    <col width="22" customWidth="1" min="15" max="15"/>
    <col width="22" customWidth="1" min="16" max="16"/>
    <col width="16" customWidth="1" min="17" max="17"/>
    <col width="14" customWidth="1" min="18" max="18"/>
    <col width="18" customWidth="1" min="19" max="19"/>
    <col width="22" customWidth="1" min="20" max="20"/>
    <col width="14" customWidth="1" min="21" max="21"/>
    <col width="16" customWidth="1" min="22" max="22"/>
    <col width="30" customWidth="1" min="23" max="23"/>
    <col width="30" customWidth="1" min="24" max="24"/>
    <col width="14" customWidth="1" min="25" max="25"/>
    <col width="60" customWidth="1" min="26" max="26"/>
    <col width="14" customWidth="1" min="27" max="27"/>
  </cols>
  <sheetData>
    <row r="1" ht="30" customHeight="1">
      <c r="A1" s="97" t="inlineStr">
        <is>
          <t>S.No.</t>
        </is>
      </c>
      <c r="B1" s="97" t="inlineStr">
        <is>
          <t>HubSpot ID</t>
        </is>
      </c>
      <c r="C1" s="97" t="inlineStr">
        <is>
          <t>RFP Number</t>
        </is>
      </c>
      <c r="D1" s="97" t="inlineStr">
        <is>
          <t>Deal Name</t>
        </is>
      </c>
      <c r="E1" s="97" t="inlineStr">
        <is>
          <t>Agency</t>
        </is>
      </c>
      <c r="F1" s="97" t="inlineStr">
        <is>
          <t>Agency State</t>
        </is>
      </c>
      <c r="G1" s="97" t="inlineStr">
        <is>
          <t>Stage</t>
        </is>
      </c>
      <c r="H1" s="97" t="inlineStr">
        <is>
          <t>Interview Flag</t>
        </is>
      </c>
      <c r="I1" s="97" t="inlineStr">
        <is>
          <t>Interview Subcategory</t>
        </is>
      </c>
      <c r="J1" s="97" t="inlineStr">
        <is>
          <t>Bid Closing Date</t>
        </is>
      </c>
      <c r="K1" s="97" t="inlineStr">
        <is>
          <t>Submission Date</t>
        </is>
      </c>
      <c r="L1" s="97" t="inlineStr">
        <is>
          <t>Amount ($)</t>
        </is>
      </c>
      <c r="M1" s="97" t="inlineStr">
        <is>
          <t>Service Category</t>
        </is>
      </c>
      <c r="N1" s="97" t="inlineStr">
        <is>
          <t>Submission Mode</t>
        </is>
      </c>
      <c r="O1" s="97" t="inlineStr">
        <is>
          <t>Owner</t>
        </is>
      </c>
      <c r="P1" s="97" t="inlineStr">
        <is>
          <t>Interview Type</t>
        </is>
      </c>
      <c r="Q1" s="97" t="inlineStr">
        <is>
          <t>Interview Date</t>
        </is>
      </c>
      <c r="R1" s="97" t="inlineStr">
        <is>
          <t>BAFO Date</t>
        </is>
      </c>
      <c r="S1" s="97" t="inlineStr">
        <is>
          <t>Intent to Award Date</t>
        </is>
      </c>
      <c r="T1" s="97" t="inlineStr">
        <is>
          <t>Tentatively Awarded Date</t>
        </is>
      </c>
      <c r="U1" s="97" t="inlineStr">
        <is>
          <t>Awarded Date</t>
        </is>
      </c>
      <c r="V1" s="97" t="inlineStr">
        <is>
          <t>Award Status</t>
        </is>
      </c>
      <c r="W1" s="97" t="inlineStr">
        <is>
          <t>Won Reason</t>
        </is>
      </c>
      <c r="X1" s="97" t="inlineStr">
        <is>
          <t>Lost Reason</t>
        </is>
      </c>
      <c r="Y1" s="97" t="inlineStr">
        <is>
          <t>Created Date</t>
        </is>
      </c>
      <c r="Z1" s="97" t="inlineStr">
        <is>
          <t>HubSpot Link</t>
        </is>
      </c>
      <c r="AA1" s="97" t="inlineStr">
        <is>
          <t>Delivery Required</t>
        </is>
      </c>
    </row>
    <row r="2">
      <c r="A2" t="n">
        <v>1</v>
      </c>
      <c r="B2" t="inlineStr">
        <is>
          <t>126592758469</t>
        </is>
      </c>
      <c r="C2" t="inlineStr">
        <is>
          <t>(RFQ) #T000599</t>
        </is>
      </c>
      <c r="D2" t="inlineStr">
        <is>
          <t>New York Department of Financial Services - Data Governance Training</t>
        </is>
      </c>
      <c r="E2" t="inlineStr">
        <is>
          <t>New York Department of Financial Services</t>
        </is>
      </c>
      <c r="F2" t="inlineStr">
        <is>
          <t>New York</t>
        </is>
      </c>
      <c r="G2" t="inlineStr">
        <is>
          <t>Closed Won</t>
        </is>
      </c>
      <c r="H2" t="inlineStr">
        <is>
          <t>No</t>
        </is>
      </c>
      <c r="J2" s="96" t="n">
        <v>45526</v>
      </c>
      <c r="K2" s="96" t="n">
        <v>45527</v>
      </c>
      <c r="L2" s="65" t="n">
        <v>5800</v>
      </c>
      <c r="M2" t="inlineStr">
        <is>
          <t>Training</t>
        </is>
      </c>
      <c r="N2" t="inlineStr">
        <is>
          <t>Email</t>
        </is>
      </c>
      <c r="O2" t="inlineStr">
        <is>
          <t>Jyothsna Nanda kishore</t>
        </is>
      </c>
      <c r="S2" t="inlineStr">
        <is>
          <t>2024-11-07</t>
        </is>
      </c>
      <c r="U2" s="96" t="n">
        <v>45663</v>
      </c>
      <c r="V2" t="inlineStr">
        <is>
          <t>In Process</t>
        </is>
      </c>
      <c r="Y2" t="inlineStr">
        <is>
          <t>2025-07-21</t>
        </is>
      </c>
      <c r="Z2" t="inlineStr">
        <is>
          <t>https://app.hubspot.com/contacts/243046792/record/0-3/126592758469</t>
        </is>
      </c>
      <c r="AA2" t="inlineStr">
        <is>
          <t>Yes</t>
        </is>
      </c>
    </row>
    <row r="3">
      <c r="A3" t="n">
        <v>2</v>
      </c>
      <c r="B3" t="inlineStr">
        <is>
          <t>127482765027</t>
        </is>
      </c>
      <c r="C3" t="inlineStr">
        <is>
          <t>SW1025</t>
        </is>
      </c>
      <c r="D3" t="inlineStr">
        <is>
          <t>Office of Management &amp; Enterprise Services - IT Staffing</t>
        </is>
      </c>
      <c r="E3" t="inlineStr">
        <is>
          <t>Office of Management &amp; Enterprise Services</t>
        </is>
      </c>
      <c r="F3" t="inlineStr">
        <is>
          <t>Oklahoma</t>
        </is>
      </c>
      <c r="G3" t="inlineStr">
        <is>
          <t>Closed Won</t>
        </is>
      </c>
      <c r="H3" t="inlineStr">
        <is>
          <t>No</t>
        </is>
      </c>
      <c r="J3" s="96" t="n">
        <v>45596</v>
      </c>
      <c r="K3" s="96" t="n">
        <v>45596</v>
      </c>
      <c r="M3" t="inlineStr">
        <is>
          <t>Staff Augmentation</t>
        </is>
      </c>
      <c r="N3" t="inlineStr">
        <is>
          <t>Portal</t>
        </is>
      </c>
      <c r="O3" t="inlineStr">
        <is>
          <t>Jyothsna Nanda kishore</t>
        </is>
      </c>
      <c r="Y3" t="inlineStr">
        <is>
          <t>2025-07-23</t>
        </is>
      </c>
      <c r="Z3" t="inlineStr">
        <is>
          <t>https://app.hubspot.com/contacts/243046792/record/0-3/127482765027</t>
        </is>
      </c>
      <c r="AA3" t="inlineStr">
        <is>
          <t>No</t>
        </is>
      </c>
    </row>
    <row r="4">
      <c r="A4" t="n">
        <v>3</v>
      </c>
      <c r="B4" t="inlineStr">
        <is>
          <t>116521161421</t>
        </is>
      </c>
      <c r="D4" t="inlineStr">
        <is>
          <t>NACCHO - CUSTOM JAVASCRIPT PROGRAMMING</t>
        </is>
      </c>
      <c r="E4" t="inlineStr">
        <is>
          <t>NACCHO</t>
        </is>
      </c>
      <c r="F4" t="inlineStr">
        <is>
          <t>D.C.</t>
        </is>
      </c>
      <c r="G4" t="inlineStr">
        <is>
          <t>Closed Won</t>
        </is>
      </c>
      <c r="H4" t="inlineStr">
        <is>
          <t>No</t>
        </is>
      </c>
      <c r="J4" s="96" t="n">
        <v>45614</v>
      </c>
      <c r="K4" s="96" t="n">
        <v>45614</v>
      </c>
      <c r="L4" s="65" t="n">
        <v>9225</v>
      </c>
      <c r="M4" t="inlineStr">
        <is>
          <t>Consulting</t>
        </is>
      </c>
      <c r="N4" t="inlineStr">
        <is>
          <t>Email</t>
        </is>
      </c>
      <c r="O4" t="inlineStr">
        <is>
          <t>Jyothsna Nanda kishore</t>
        </is>
      </c>
      <c r="S4" t="inlineStr">
        <is>
          <t>2024-12-13</t>
        </is>
      </c>
      <c r="U4" s="96" t="n">
        <v>45346</v>
      </c>
      <c r="Y4" t="inlineStr">
        <is>
          <t>2025-07-09</t>
        </is>
      </c>
      <c r="Z4" t="inlineStr">
        <is>
          <t>https://app.hubspot.com/contacts/243046792/record/0-3/116521161421</t>
        </is>
      </c>
      <c r="AA4" t="inlineStr">
        <is>
          <t>Yes</t>
        </is>
      </c>
    </row>
    <row r="5">
      <c r="A5" t="n">
        <v>4</v>
      </c>
      <c r="B5" t="inlineStr">
        <is>
          <t>127482767062</t>
        </is>
      </c>
      <c r="C5" t="inlineStr">
        <is>
          <t>2024-013</t>
        </is>
      </c>
      <c r="D5" t="inlineStr">
        <is>
          <t>Marin Housing Authority- Managed IT Services, CIO and Cybersecurity Services</t>
        </is>
      </c>
      <c r="E5" t="inlineStr">
        <is>
          <t>Marin Housing Authority</t>
        </is>
      </c>
      <c r="F5" t="inlineStr">
        <is>
          <t>California</t>
        </is>
      </c>
      <c r="G5" t="inlineStr">
        <is>
          <t>Closed Won</t>
        </is>
      </c>
      <c r="H5" t="inlineStr">
        <is>
          <t>No</t>
        </is>
      </c>
      <c r="J5" s="96" t="n">
        <v>45632</v>
      </c>
      <c r="K5" s="96" t="n">
        <v>45632</v>
      </c>
      <c r="L5" s="65" t="n">
        <v>838500</v>
      </c>
      <c r="M5" t="inlineStr">
        <is>
          <t>Managed Services (MSP)</t>
        </is>
      </c>
      <c r="N5" t="inlineStr">
        <is>
          <t>Portal</t>
        </is>
      </c>
      <c r="O5" t="inlineStr">
        <is>
          <t>Jyothsna Nanda kishore</t>
        </is>
      </c>
      <c r="S5" t="inlineStr">
        <is>
          <t>2024-12-26</t>
        </is>
      </c>
      <c r="U5" s="96" t="n">
        <v>45661</v>
      </c>
      <c r="Y5" t="inlineStr">
        <is>
          <t>2025-07-23</t>
        </is>
      </c>
      <c r="Z5" t="inlineStr">
        <is>
          <t>https://app.hubspot.com/contacts/243046792/record/0-3/127482767062</t>
        </is>
      </c>
      <c r="AA5" t="inlineStr">
        <is>
          <t>Yes</t>
        </is>
      </c>
    </row>
    <row r="6">
      <c r="A6" t="n">
        <v>5</v>
      </c>
      <c r="B6" t="inlineStr">
        <is>
          <t>126590238401</t>
        </is>
      </c>
      <c r="C6" t="inlineStr">
        <is>
          <t>RFQ #01-25</t>
        </is>
      </c>
      <c r="D6" t="inlineStr">
        <is>
          <t>Macomb County - Microsoft 365 Migration</t>
        </is>
      </c>
      <c r="E6" t="inlineStr">
        <is>
          <t>Macomb County</t>
        </is>
      </c>
      <c r="F6" t="inlineStr">
        <is>
          <t>Michigan</t>
        </is>
      </c>
      <c r="G6" t="inlineStr">
        <is>
          <t>Closed Won</t>
        </is>
      </c>
      <c r="H6" t="inlineStr">
        <is>
          <t>Yes</t>
        </is>
      </c>
      <c r="I6" t="inlineStr">
        <is>
          <t>Interview</t>
        </is>
      </c>
      <c r="J6" s="96" t="n">
        <v>45701</v>
      </c>
      <c r="K6" s="96" t="n">
        <v>45670</v>
      </c>
      <c r="L6" s="65" t="n">
        <v>404900</v>
      </c>
      <c r="M6" t="inlineStr">
        <is>
          <t>Modernization / Migration</t>
        </is>
      </c>
      <c r="N6" t="inlineStr">
        <is>
          <t>Offline</t>
        </is>
      </c>
      <c r="O6" t="inlineStr">
        <is>
          <t>Jyothsna Nanda kishore</t>
        </is>
      </c>
      <c r="P6" t="inlineStr">
        <is>
          <t>Interview Scheduled</t>
        </is>
      </c>
      <c r="Q6" t="inlineStr">
        <is>
          <t>2025-03-07</t>
        </is>
      </c>
      <c r="S6" t="inlineStr">
        <is>
          <t>2025-04-23</t>
        </is>
      </c>
      <c r="U6" s="96" t="n">
        <v>45812</v>
      </c>
      <c r="V6" t="inlineStr">
        <is>
          <t>In Process</t>
        </is>
      </c>
      <c r="Y6" t="inlineStr">
        <is>
          <t>2025-07-21</t>
        </is>
      </c>
      <c r="Z6" t="inlineStr">
        <is>
          <t>https://app.hubspot.com/contacts/243046792/record/0-3/126590238401</t>
        </is>
      </c>
      <c r="AA6" t="inlineStr">
        <is>
          <t>Yes</t>
        </is>
      </c>
    </row>
    <row r="7">
      <c r="A7" t="n">
        <v>6</v>
      </c>
      <c r="B7" t="inlineStr">
        <is>
          <t>127701416677</t>
        </is>
      </c>
      <c r="C7" t="inlineStr">
        <is>
          <t>RFP- 282503</t>
        </is>
      </c>
      <c r="D7" t="inlineStr">
        <is>
          <t>Arizona State University - Digital Accessibility Services</t>
        </is>
      </c>
      <c r="E7" t="inlineStr">
        <is>
          <t>Arizona State University</t>
        </is>
      </c>
      <c r="F7" t="inlineStr">
        <is>
          <t>Arizona</t>
        </is>
      </c>
      <c r="G7" t="inlineStr">
        <is>
          <t>Closed Won</t>
        </is>
      </c>
      <c r="H7" t="inlineStr">
        <is>
          <t>No</t>
        </is>
      </c>
      <c r="J7" s="96" t="n">
        <v>45679</v>
      </c>
      <c r="K7" s="96" t="n">
        <v>45679</v>
      </c>
      <c r="M7" t="inlineStr">
        <is>
          <t>Consulting;Training;Audits and Assessment</t>
        </is>
      </c>
      <c r="N7" t="inlineStr">
        <is>
          <t>Portal</t>
        </is>
      </c>
      <c r="O7" t="inlineStr">
        <is>
          <t>Jyothsna Nanda kishore</t>
        </is>
      </c>
      <c r="S7" t="inlineStr">
        <is>
          <t>2025-07-16</t>
        </is>
      </c>
      <c r="U7" s="96" t="n">
        <v>45912</v>
      </c>
      <c r="Y7" t="inlineStr">
        <is>
          <t>2025-07-23</t>
        </is>
      </c>
      <c r="Z7" t="inlineStr">
        <is>
          <t>https://app.hubspot.com/contacts/243046792/record/0-3/127701416677</t>
        </is>
      </c>
      <c r="AA7" t="inlineStr">
        <is>
          <t>No</t>
        </is>
      </c>
    </row>
    <row r="8">
      <c r="A8" t="n">
        <v>7</v>
      </c>
      <c r="B8" t="inlineStr">
        <is>
          <t>127482766020</t>
        </is>
      </c>
      <c r="D8" t="inlineStr">
        <is>
          <t>San Mateo County - Contingency Health IT Staffing</t>
        </is>
      </c>
      <c r="E8" t="inlineStr">
        <is>
          <t>County of San Mateo</t>
        </is>
      </c>
      <c r="F8" t="inlineStr">
        <is>
          <t>California</t>
        </is>
      </c>
      <c r="G8" t="inlineStr">
        <is>
          <t>Closed Won</t>
        </is>
      </c>
      <c r="H8" t="inlineStr">
        <is>
          <t>No</t>
        </is>
      </c>
      <c r="J8" s="96" t="n">
        <v>45719</v>
      </c>
      <c r="K8" s="96" t="n">
        <v>45716</v>
      </c>
      <c r="M8" t="inlineStr">
        <is>
          <t>Staff Augmentation</t>
        </is>
      </c>
      <c r="N8" t="inlineStr">
        <is>
          <t>Portal</t>
        </is>
      </c>
      <c r="O8" t="inlineStr">
        <is>
          <t>Arshdeep Kaur</t>
        </is>
      </c>
      <c r="S8" t="inlineStr">
        <is>
          <t>2025-03-05</t>
        </is>
      </c>
      <c r="U8" s="96" t="n">
        <v>45797</v>
      </c>
      <c r="Y8" t="inlineStr">
        <is>
          <t>2025-07-23</t>
        </is>
      </c>
      <c r="Z8" t="inlineStr">
        <is>
          <t>https://app.hubspot.com/contacts/243046792/record/0-3/127482766020</t>
        </is>
      </c>
      <c r="AA8" t="inlineStr">
        <is>
          <t>No</t>
        </is>
      </c>
    </row>
    <row r="9">
      <c r="A9" t="n">
        <v>8</v>
      </c>
      <c r="B9" t="inlineStr">
        <is>
          <t>127685792505</t>
        </is>
      </c>
      <c r="C9" t="inlineStr">
        <is>
          <t>EVT00010112</t>
        </is>
      </c>
      <c r="D9" t="inlineStr">
        <is>
          <t>Kansas Dept. of Administration - Temporary Staffing Services</t>
        </is>
      </c>
      <c r="E9" t="inlineStr">
        <is>
          <t xml:space="preserve">Kansas Department of Administration </t>
        </is>
      </c>
      <c r="F9" t="inlineStr">
        <is>
          <t>Kansas</t>
        </is>
      </c>
      <c r="G9" t="inlineStr">
        <is>
          <t>Closed Won</t>
        </is>
      </c>
      <c r="H9" t="inlineStr">
        <is>
          <t>No</t>
        </is>
      </c>
      <c r="J9" s="96" t="n">
        <v>45737</v>
      </c>
      <c r="K9" s="96" t="n">
        <v>45737</v>
      </c>
      <c r="M9" t="inlineStr">
        <is>
          <t>Staff Augmentation</t>
        </is>
      </c>
      <c r="O9" t="inlineStr">
        <is>
          <t>Arshdeep Kaur</t>
        </is>
      </c>
      <c r="S9" t="inlineStr">
        <is>
          <t>2025-04-23</t>
        </is>
      </c>
      <c r="U9" s="96" t="n">
        <v>45772</v>
      </c>
      <c r="Y9" t="inlineStr">
        <is>
          <t>2025-07-23</t>
        </is>
      </c>
      <c r="Z9" t="inlineStr">
        <is>
          <t>https://app.hubspot.com/contacts/243046792/record/0-3/127685792505</t>
        </is>
      </c>
      <c r="AA9" t="inlineStr">
        <is>
          <t>No</t>
        </is>
      </c>
    </row>
    <row r="10">
      <c r="A10" t="n">
        <v>9</v>
      </c>
      <c r="B10" t="inlineStr">
        <is>
          <t>127690112742</t>
        </is>
      </c>
      <c r="D10" t="inlineStr">
        <is>
          <t>Illinois Department of Public Health- Data Literacy Training</t>
        </is>
      </c>
      <c r="E10" t="inlineStr">
        <is>
          <t>Illinois Department of Public Health</t>
        </is>
      </c>
      <c r="F10" t="inlineStr">
        <is>
          <t>Illinios</t>
        </is>
      </c>
      <c r="G10" t="inlineStr">
        <is>
          <t>Closed Won</t>
        </is>
      </c>
      <c r="H10" t="inlineStr">
        <is>
          <t>No</t>
        </is>
      </c>
      <c r="J10" s="96" t="n">
        <v>45743</v>
      </c>
      <c r="K10" s="96" t="n">
        <v>45743</v>
      </c>
      <c r="L10" s="65" t="n">
        <v>18499</v>
      </c>
      <c r="M10" t="inlineStr">
        <is>
          <t>Training</t>
        </is>
      </c>
      <c r="N10" t="inlineStr">
        <is>
          <t>Portal</t>
        </is>
      </c>
      <c r="O10" t="inlineStr">
        <is>
          <t>Jyothsna Nanda kishore</t>
        </is>
      </c>
      <c r="S10" t="inlineStr">
        <is>
          <t>2025-05-05</t>
        </is>
      </c>
      <c r="U10" s="96" t="n">
        <v>45868</v>
      </c>
      <c r="V10" t="inlineStr">
        <is>
          <t>In Process</t>
        </is>
      </c>
      <c r="Y10" t="inlineStr">
        <is>
          <t>2025-07-23</t>
        </is>
      </c>
      <c r="Z10" t="inlineStr">
        <is>
          <t>https://app.hubspot.com/contacts/243046792/record/0-3/127690112742</t>
        </is>
      </c>
      <c r="AA10" t="inlineStr">
        <is>
          <t>Yes</t>
        </is>
      </c>
    </row>
    <row r="11">
      <c r="A11" t="n">
        <v>10</v>
      </c>
      <c r="B11" t="inlineStr">
        <is>
          <t>127482769082</t>
        </is>
      </c>
      <c r="D11" t="inlineStr">
        <is>
          <t>Ohio Department of Natural Resources- H2O PROJECT MANAGEMENTTASK TACKING TOOLENHANCEMENTS-SALESFORCE DEVELOPER</t>
        </is>
      </c>
      <c r="E11" t="inlineStr">
        <is>
          <t>Ohio Department of Natural Resources</t>
        </is>
      </c>
      <c r="F11" t="inlineStr">
        <is>
          <t>Ohio</t>
        </is>
      </c>
      <c r="G11" t="inlineStr">
        <is>
          <t>Closed Won</t>
        </is>
      </c>
      <c r="H11" t="inlineStr">
        <is>
          <t>No</t>
        </is>
      </c>
      <c r="J11" s="96" t="n">
        <v>45747</v>
      </c>
      <c r="K11" s="96" t="n">
        <v>45747</v>
      </c>
      <c r="L11" s="65" t="n">
        <v>11275</v>
      </c>
      <c r="M11" t="inlineStr">
        <is>
          <t>Platform Implementation (ERP, CRMs)</t>
        </is>
      </c>
      <c r="N11" t="inlineStr">
        <is>
          <t>Portal</t>
        </is>
      </c>
      <c r="O11" t="inlineStr">
        <is>
          <t>Jyothsna Nanda kishore</t>
        </is>
      </c>
      <c r="S11" t="inlineStr">
        <is>
          <t>2025-04-03</t>
        </is>
      </c>
      <c r="U11" s="96" t="n">
        <v>45764</v>
      </c>
      <c r="V11" t="inlineStr">
        <is>
          <t>Completed</t>
        </is>
      </c>
      <c r="Y11" t="inlineStr">
        <is>
          <t>2025-07-23</t>
        </is>
      </c>
      <c r="Z11" t="inlineStr">
        <is>
          <t>https://app.hubspot.com/contacts/243046792/record/0-3/127482769082</t>
        </is>
      </c>
      <c r="AA11" t="inlineStr">
        <is>
          <t>Yes</t>
        </is>
      </c>
    </row>
    <row r="12">
      <c r="A12" t="n">
        <v>11</v>
      </c>
      <c r="B12" t="inlineStr">
        <is>
          <t>114864632563</t>
        </is>
      </c>
      <c r="C12" t="inlineStr">
        <is>
          <t>IT1638-25</t>
        </is>
      </c>
      <c r="D12" t="inlineStr">
        <is>
          <t>Marion County - Oracle Support Services</t>
        </is>
      </c>
      <c r="E12" t="inlineStr">
        <is>
          <t>Marion County</t>
        </is>
      </c>
      <c r="F12" t="inlineStr">
        <is>
          <t>Oregon</t>
        </is>
      </c>
      <c r="G12" t="inlineStr">
        <is>
          <t>Closed Won</t>
        </is>
      </c>
      <c r="H12" t="inlineStr">
        <is>
          <t>No</t>
        </is>
      </c>
      <c r="J12" s="96" t="n">
        <v>45750</v>
      </c>
      <c r="K12" s="96" t="n">
        <v>45750</v>
      </c>
      <c r="L12" s="65" t="n">
        <v>100000</v>
      </c>
      <c r="M12" t="inlineStr">
        <is>
          <t>Support &amp; Maintenance</t>
        </is>
      </c>
      <c r="N12" t="inlineStr">
        <is>
          <t>Portal</t>
        </is>
      </c>
      <c r="O12" t="inlineStr">
        <is>
          <t>Jyothsna Nanda kishore</t>
        </is>
      </c>
      <c r="S12" t="inlineStr">
        <is>
          <t>2025-05-19</t>
        </is>
      </c>
      <c r="U12" s="96" t="n">
        <v>45819</v>
      </c>
      <c r="V12" t="inlineStr">
        <is>
          <t>In Process</t>
        </is>
      </c>
      <c r="Y12" t="inlineStr">
        <is>
          <t>2025-07-09</t>
        </is>
      </c>
      <c r="Z12" t="inlineStr">
        <is>
          <t>https://app.hubspot.com/contacts/243046792/record/0-3/114864632563</t>
        </is>
      </c>
      <c r="AA12" t="inlineStr">
        <is>
          <t>Yes</t>
        </is>
      </c>
    </row>
    <row r="13">
      <c r="A13" t="n">
        <v>12</v>
      </c>
      <c r="B13" t="inlineStr">
        <is>
          <t>127482750660</t>
        </is>
      </c>
      <c r="D13" t="inlineStr">
        <is>
          <t>Metropolitan Water District of Southern California - ON-CALL INFORMATION TECHNOLOGY (IT) QUALITY ASSURANCE AND CONTROL, PROJECT MANAGEMENT, AND BUSINESS ANALYSIS SUPPORT SERVICES (RFQ-MN-1395)</t>
        </is>
      </c>
      <c r="E13" t="inlineStr">
        <is>
          <t>Metropolitan Water District of Southern California</t>
        </is>
      </c>
      <c r="F13" t="inlineStr">
        <is>
          <t>California</t>
        </is>
      </c>
      <c r="G13" t="inlineStr">
        <is>
          <t>Closed Won</t>
        </is>
      </c>
      <c r="H13" t="inlineStr">
        <is>
          <t>No</t>
        </is>
      </c>
      <c r="J13" s="96" t="n">
        <v>45755</v>
      </c>
      <c r="K13" s="96" t="n">
        <v>45755</v>
      </c>
      <c r="M13" t="inlineStr">
        <is>
          <t>Staff Augmentation</t>
        </is>
      </c>
      <c r="N13" t="inlineStr">
        <is>
          <t>Portal</t>
        </is>
      </c>
      <c r="O13" t="inlineStr">
        <is>
          <t>Madhav Mitruka</t>
        </is>
      </c>
      <c r="S13" t="inlineStr">
        <is>
          <t>2025-07-22</t>
        </is>
      </c>
      <c r="U13" s="96" t="n">
        <v>45860</v>
      </c>
      <c r="Y13" t="inlineStr">
        <is>
          <t>2025-07-23</t>
        </is>
      </c>
      <c r="Z13" t="inlineStr">
        <is>
          <t>https://app.hubspot.com/contacts/243046792/record/0-3/127482750660</t>
        </is>
      </c>
      <c r="AA13" t="inlineStr">
        <is>
          <t>No</t>
        </is>
      </c>
    </row>
    <row r="14">
      <c r="A14" t="n">
        <v>13</v>
      </c>
      <c r="B14" t="inlineStr">
        <is>
          <t>126600317675</t>
        </is>
      </c>
      <c r="C14" t="inlineStr">
        <is>
          <t>RFP S24262</t>
        </is>
      </c>
      <c r="D14" t="inlineStr">
        <is>
          <t>SCVTA - Employee Application</t>
        </is>
      </c>
      <c r="E14" t="inlineStr">
        <is>
          <t>Santa Clara Valley Transportation Authority</t>
        </is>
      </c>
      <c r="F14" t="inlineStr">
        <is>
          <t>California</t>
        </is>
      </c>
      <c r="G14" t="inlineStr">
        <is>
          <t>Closed Won</t>
        </is>
      </c>
      <c r="H14" t="inlineStr">
        <is>
          <t>Yes</t>
        </is>
      </c>
      <c r="I14" t="inlineStr">
        <is>
          <t>Interview</t>
        </is>
      </c>
      <c r="J14" s="96" t="n">
        <v>45729</v>
      </c>
      <c r="K14" s="96" t="n">
        <v>45761</v>
      </c>
      <c r="L14" s="65" t="n">
        <v>140000</v>
      </c>
      <c r="M14" t="inlineStr">
        <is>
          <t>Custom development</t>
        </is>
      </c>
      <c r="N14" t="inlineStr">
        <is>
          <t>Portal</t>
        </is>
      </c>
      <c r="O14" t="inlineStr">
        <is>
          <t>Jyothsna Nanda kishore</t>
        </is>
      </c>
      <c r="P14" t="inlineStr">
        <is>
          <t>Interview Scheduled</t>
        </is>
      </c>
      <c r="Q14" t="inlineStr">
        <is>
          <t>2025-05-08</t>
        </is>
      </c>
      <c r="S14" t="inlineStr">
        <is>
          <t>2025-06-26</t>
        </is>
      </c>
      <c r="U14" s="96" t="n">
        <v>45902</v>
      </c>
      <c r="V14" t="inlineStr">
        <is>
          <t>In Process</t>
        </is>
      </c>
      <c r="Y14" t="inlineStr">
        <is>
          <t>2025-07-21</t>
        </is>
      </c>
      <c r="Z14" t="inlineStr">
        <is>
          <t>https://app.hubspot.com/contacts/243046792/record/0-3/126600317675</t>
        </is>
      </c>
      <c r="AA14" t="inlineStr">
        <is>
          <t>Yes</t>
        </is>
      </c>
    </row>
    <row r="15">
      <c r="A15" t="n">
        <v>14</v>
      </c>
      <c r="B15" t="inlineStr">
        <is>
          <t>126595998395</t>
        </is>
      </c>
      <c r="C15" t="inlineStr">
        <is>
          <t>DOR RFP 24/25-59</t>
        </is>
      </c>
      <c r="D15" t="inlineStr">
        <is>
          <t>Florida Department of Revenue - SAP License Analysis</t>
        </is>
      </c>
      <c r="E15" t="inlineStr">
        <is>
          <t>Florida Department of Revenue</t>
        </is>
      </c>
      <c r="F15" t="inlineStr">
        <is>
          <t>Florida</t>
        </is>
      </c>
      <c r="G15" t="inlineStr">
        <is>
          <t>Closed Won</t>
        </is>
      </c>
      <c r="H15" t="inlineStr">
        <is>
          <t>No</t>
        </is>
      </c>
      <c r="J15" s="96" t="n">
        <v>45761</v>
      </c>
      <c r="K15" s="96" t="n">
        <v>45761</v>
      </c>
      <c r="L15" s="65" t="n">
        <v>58800</v>
      </c>
      <c r="M15" t="inlineStr">
        <is>
          <t>Audits and Assessment</t>
        </is>
      </c>
      <c r="N15" t="inlineStr">
        <is>
          <t>Offline</t>
        </is>
      </c>
      <c r="O15" t="inlineStr">
        <is>
          <t>Jyothsna Nanda kishore</t>
        </is>
      </c>
      <c r="S15" t="inlineStr">
        <is>
          <t>2025-05-22</t>
        </is>
      </c>
      <c r="U15" s="96" t="n">
        <v>45817</v>
      </c>
      <c r="V15" t="inlineStr">
        <is>
          <t>In Process</t>
        </is>
      </c>
      <c r="Y15" t="inlineStr">
        <is>
          <t>2025-07-21</t>
        </is>
      </c>
      <c r="Z15" t="inlineStr">
        <is>
          <t>https://app.hubspot.com/contacts/243046792/record/0-3/126595998395</t>
        </is>
      </c>
      <c r="AA15" t="inlineStr">
        <is>
          <t>Yes</t>
        </is>
      </c>
    </row>
    <row r="16">
      <c r="A16" t="n">
        <v>15</v>
      </c>
      <c r="B16" t="inlineStr">
        <is>
          <t>235860602564</t>
        </is>
      </c>
      <c r="C16" t="inlineStr">
        <is>
          <t>RFQ-AR-1398</t>
        </is>
      </c>
      <c r="D16" t="inlineStr">
        <is>
          <t xml:space="preserve">Metropolitan Water District of Southern California - On-Call Information Technology Cybersecurity Services </t>
        </is>
      </c>
      <c r="E16" t="inlineStr">
        <is>
          <t>Metropolitan Water District of Southern California</t>
        </is>
      </c>
      <c r="F16" t="inlineStr">
        <is>
          <t>California</t>
        </is>
      </c>
      <c r="G16" t="inlineStr">
        <is>
          <t>Closed Won</t>
        </is>
      </c>
      <c r="H16" t="inlineStr">
        <is>
          <t>No</t>
        </is>
      </c>
      <c r="J16" s="96" t="n">
        <v>45999</v>
      </c>
      <c r="K16" s="96" t="n">
        <v>45771</v>
      </c>
      <c r="M16" t="inlineStr">
        <is>
          <t>Managed Services (MSP)</t>
        </is>
      </c>
      <c r="N16" t="inlineStr">
        <is>
          <t>Portal</t>
        </is>
      </c>
      <c r="O16" t="inlineStr">
        <is>
          <t>Madhav Mitruka</t>
        </is>
      </c>
      <c r="S16" t="inlineStr">
        <is>
          <t>2025-12-02</t>
        </is>
      </c>
      <c r="U16" s="96" t="n">
        <v>45993</v>
      </c>
      <c r="Y16" t="inlineStr">
        <is>
          <t>2025-12-08</t>
        </is>
      </c>
      <c r="Z16" t="inlineStr">
        <is>
          <t>https://app.hubspot.com/contacts/243046792/record/0-3/235860602564</t>
        </is>
      </c>
    </row>
    <row r="17">
      <c r="A17" t="n">
        <v>16</v>
      </c>
      <c r="B17" t="inlineStr">
        <is>
          <t>186570653428</t>
        </is>
      </c>
      <c r="C17" t="inlineStr">
        <is>
          <t>405 24R0019168C</t>
        </is>
      </c>
      <c r="D17" t="inlineStr">
        <is>
          <t>Texas Department of Public Safety - Cherwell Professional Services</t>
        </is>
      </c>
      <c r="E17" t="inlineStr">
        <is>
          <t>Texas Department of Public Safety</t>
        </is>
      </c>
      <c r="F17" t="inlineStr">
        <is>
          <t>Texas</t>
        </is>
      </c>
      <c r="G17" t="inlineStr">
        <is>
          <t>Closed Won</t>
        </is>
      </c>
      <c r="H17" t="inlineStr">
        <is>
          <t>No</t>
        </is>
      </c>
      <c r="J17" s="96" t="n">
        <v>45791</v>
      </c>
      <c r="K17" s="96" t="n">
        <v>45790</v>
      </c>
      <c r="L17" s="65" t="n">
        <v>148500</v>
      </c>
      <c r="M17" t="inlineStr">
        <is>
          <t>Managed Services (MSP)</t>
        </is>
      </c>
      <c r="N17" t="inlineStr">
        <is>
          <t>Email</t>
        </is>
      </c>
      <c r="O17" t="inlineStr">
        <is>
          <t>Ashley Lamaniya</t>
        </is>
      </c>
      <c r="S17" t="inlineStr">
        <is>
          <t>2025-10-09</t>
        </is>
      </c>
      <c r="U17" s="96" t="n">
        <v>45947</v>
      </c>
      <c r="Y17" t="inlineStr">
        <is>
          <t>2025-10-13</t>
        </is>
      </c>
      <c r="Z17" t="inlineStr">
        <is>
          <t>https://app.hubspot.com/contacts/243046792/record/0-3/186570653428</t>
        </is>
      </c>
      <c r="AA17" t="inlineStr">
        <is>
          <t>Yes</t>
        </is>
      </c>
    </row>
    <row r="18">
      <c r="A18" t="n">
        <v>17</v>
      </c>
      <c r="B18" t="inlineStr">
        <is>
          <t>127482765035</t>
        </is>
      </c>
      <c r="C18" t="inlineStr">
        <is>
          <t>RFP NO. NC- 2025-14</t>
        </is>
      </c>
      <c r="D18" t="inlineStr">
        <is>
          <t>Fresno County Superintendent of Schools - Computer Maintenance &amp; Technology Support Services</t>
        </is>
      </c>
      <c r="E18" t="inlineStr">
        <is>
          <t>FRESNO COUNTY SUPERINTENDENT OF SCHOOLS</t>
        </is>
      </c>
      <c r="F18" t="inlineStr">
        <is>
          <t>California</t>
        </is>
      </c>
      <c r="G18" t="inlineStr">
        <is>
          <t>Closed Won</t>
        </is>
      </c>
      <c r="H18" t="inlineStr">
        <is>
          <t>No</t>
        </is>
      </c>
      <c r="J18" s="96" t="n">
        <v>45796</v>
      </c>
      <c r="K18" s="96" t="n">
        <v>45796</v>
      </c>
      <c r="L18" t="n">
        <v>500000</v>
      </c>
      <c r="M18" t="inlineStr">
        <is>
          <t>Consulting;Support &amp; Maintenance</t>
        </is>
      </c>
      <c r="N18" t="inlineStr">
        <is>
          <t>Email</t>
        </is>
      </c>
      <c r="O18" t="inlineStr">
        <is>
          <t>Arshdeep Kaur</t>
        </is>
      </c>
      <c r="S18" t="inlineStr">
        <is>
          <t>2025-06-13</t>
        </is>
      </c>
      <c r="U18" s="96" t="n">
        <v>45968</v>
      </c>
      <c r="V18" t="inlineStr">
        <is>
          <t>In Process</t>
        </is>
      </c>
      <c r="Y18" t="inlineStr">
        <is>
          <t>2025-07-23</t>
        </is>
      </c>
      <c r="Z18" t="inlineStr">
        <is>
          <t>https://app.hubspot.com/contacts/243046792/record/0-3/127482765035</t>
        </is>
      </c>
      <c r="AA18" t="inlineStr">
        <is>
          <t>No</t>
        </is>
      </c>
    </row>
    <row r="19">
      <c r="A19" t="n">
        <v>18</v>
      </c>
      <c r="B19" t="inlineStr">
        <is>
          <t>108072562388</t>
        </is>
      </c>
      <c r="D19" t="inlineStr">
        <is>
          <t>Madison Metropolitan Sewerage District - IT Augmentation Partner (SOW 1)</t>
        </is>
      </c>
      <c r="E19" t="inlineStr">
        <is>
          <t>Madison Metropolitan Sewerage District</t>
        </is>
      </c>
      <c r="F19" t="inlineStr">
        <is>
          <t>Wisconsin</t>
        </is>
      </c>
      <c r="G19" t="inlineStr">
        <is>
          <t>Closed Won</t>
        </is>
      </c>
      <c r="H19" t="inlineStr">
        <is>
          <t>Yes</t>
        </is>
      </c>
      <c r="I19" t="inlineStr">
        <is>
          <t>Interview</t>
        </is>
      </c>
      <c r="J19" s="96" t="n">
        <v>45903</v>
      </c>
      <c r="K19" s="96" t="n">
        <v>45801</v>
      </c>
      <c r="L19" s="65" t="n">
        <v>1081349.52</v>
      </c>
      <c r="M19" t="inlineStr">
        <is>
          <t>Managed Services (MSP)</t>
        </is>
      </c>
      <c r="O19" t="inlineStr">
        <is>
          <t>Madhav Mitruka</t>
        </is>
      </c>
      <c r="P19" t="inlineStr">
        <is>
          <t>Interview Scheduled</t>
        </is>
      </c>
      <c r="Q19" t="inlineStr">
        <is>
          <t>2025-07-28</t>
        </is>
      </c>
      <c r="S19" t="inlineStr">
        <is>
          <t>2025-08-14</t>
        </is>
      </c>
      <c r="U19" s="96" t="n">
        <v>45918</v>
      </c>
      <c r="V19" t="inlineStr">
        <is>
          <t>In Process</t>
        </is>
      </c>
      <c r="Y19" t="inlineStr">
        <is>
          <t>2025-06-25</t>
        </is>
      </c>
      <c r="Z19" t="inlineStr">
        <is>
          <t>https://app.hubspot.com/contacts/243046792/record/0-3/108072562388</t>
        </is>
      </c>
      <c r="AA19" t="inlineStr">
        <is>
          <t>Yes</t>
        </is>
      </c>
    </row>
    <row r="20">
      <c r="A20" t="n">
        <v>19</v>
      </c>
      <c r="B20" t="inlineStr">
        <is>
          <t>127743477490</t>
        </is>
      </c>
      <c r="D20" t="inlineStr">
        <is>
          <t>EPIC 6- RFP 21.25 Technology Solutions &amp; Services</t>
        </is>
      </c>
      <c r="E20" t="inlineStr">
        <is>
          <t>Region 6 Education Service Center</t>
        </is>
      </c>
      <c r="F20" t="inlineStr">
        <is>
          <t>Texas</t>
        </is>
      </c>
      <c r="G20" t="inlineStr">
        <is>
          <t>Closed Won</t>
        </is>
      </c>
      <c r="H20" t="inlineStr">
        <is>
          <t>No</t>
        </is>
      </c>
      <c r="J20" s="96" t="n">
        <v>46142</v>
      </c>
      <c r="K20" s="96" t="n">
        <v>45807</v>
      </c>
      <c r="M20" t="inlineStr">
        <is>
          <t>Staff Augmentation</t>
        </is>
      </c>
      <c r="N20" t="inlineStr">
        <is>
          <t>Portal</t>
        </is>
      </c>
      <c r="O20" t="inlineStr">
        <is>
          <t>Jyothsna Nanda kishore</t>
        </is>
      </c>
      <c r="S20" t="inlineStr">
        <is>
          <t>2025-06-16</t>
        </is>
      </c>
      <c r="U20" s="96" t="n">
        <v>45831</v>
      </c>
      <c r="Y20" t="inlineStr">
        <is>
          <t>2025-07-23</t>
        </is>
      </c>
      <c r="Z20" t="inlineStr">
        <is>
          <t>https://app.hubspot.com/contacts/243046792/record/0-3/127743477490</t>
        </is>
      </c>
      <c r="AA20" t="inlineStr">
        <is>
          <t>No</t>
        </is>
      </c>
    </row>
    <row r="21">
      <c r="A21" t="n">
        <v>20</v>
      </c>
      <c r="B21" t="inlineStr">
        <is>
          <t>135608301264</t>
        </is>
      </c>
      <c r="C21" t="inlineStr">
        <is>
          <t>RFP-3578</t>
        </is>
      </c>
      <c r="D21" t="inlineStr">
        <is>
          <t>Port Houston - Managed Network Operations Center Services</t>
        </is>
      </c>
      <c r="E21" t="inlineStr">
        <is>
          <t>Port Houston</t>
        </is>
      </c>
      <c r="F21" t="inlineStr">
        <is>
          <t>Texas</t>
        </is>
      </c>
      <c r="G21" t="inlineStr">
        <is>
          <t>Closed Won</t>
        </is>
      </c>
      <c r="H21" t="inlineStr">
        <is>
          <t>Yes</t>
        </is>
      </c>
      <c r="I21" t="inlineStr">
        <is>
          <t>Interview</t>
        </is>
      </c>
      <c r="J21" s="96" t="n">
        <v>45917</v>
      </c>
      <c r="K21" s="96" t="n">
        <v>45819</v>
      </c>
      <c r="L21" s="65" t="n">
        <v>1183000</v>
      </c>
      <c r="M21" t="inlineStr">
        <is>
          <t>Managed Services (MSP)</t>
        </is>
      </c>
      <c r="O21" t="inlineStr">
        <is>
          <t>Madhav Mitruka</t>
        </is>
      </c>
      <c r="P21" t="inlineStr">
        <is>
          <t>Interview Scheduled</t>
        </is>
      </c>
      <c r="Q21" t="inlineStr">
        <is>
          <t>2025-07-23</t>
        </is>
      </c>
      <c r="S21" t="inlineStr">
        <is>
          <t>2025-09-23</t>
        </is>
      </c>
      <c r="U21" s="96" t="n">
        <v>45967</v>
      </c>
      <c r="V21" t="inlineStr">
        <is>
          <t>In Process</t>
        </is>
      </c>
      <c r="Y21" t="inlineStr">
        <is>
          <t>2025-08-01</t>
        </is>
      </c>
      <c r="Z21" t="inlineStr">
        <is>
          <t>https://app.hubspot.com/contacts/243046792/record/0-3/135608301264</t>
        </is>
      </c>
      <c r="AA21" t="inlineStr">
        <is>
          <t>Yes</t>
        </is>
      </c>
    </row>
    <row r="22">
      <c r="A22" t="n">
        <v>21</v>
      </c>
      <c r="B22" t="inlineStr">
        <is>
          <t>175110048474</t>
        </is>
      </c>
      <c r="D22" t="inlineStr">
        <is>
          <t>Commonwealth of Pennsylvania - Agile ITQ Development</t>
        </is>
      </c>
      <c r="E22" t="inlineStr">
        <is>
          <t>Commonwealth of Pennsylvania</t>
        </is>
      </c>
      <c r="F22" t="inlineStr">
        <is>
          <t>Pennsylvania</t>
        </is>
      </c>
      <c r="G22" t="inlineStr">
        <is>
          <t>Closed Won</t>
        </is>
      </c>
      <c r="H22" t="inlineStr">
        <is>
          <t>No</t>
        </is>
      </c>
      <c r="J22" s="96" t="n">
        <v>45932</v>
      </c>
      <c r="K22" s="96" t="n">
        <v>45832</v>
      </c>
      <c r="M22" t="inlineStr">
        <is>
          <t>Staff Augmentation</t>
        </is>
      </c>
      <c r="N22" t="inlineStr">
        <is>
          <t>Portal</t>
        </is>
      </c>
      <c r="O22" t="inlineStr">
        <is>
          <t>Madhav Mitruka</t>
        </is>
      </c>
      <c r="S22" t="inlineStr">
        <is>
          <t>2025-10-02</t>
        </is>
      </c>
      <c r="U22" s="96" t="n">
        <v>45932</v>
      </c>
      <c r="Y22" t="inlineStr">
        <is>
          <t>2025-10-02</t>
        </is>
      </c>
      <c r="Z22" t="inlineStr">
        <is>
          <t>https://app.hubspot.com/contacts/243046792/record/0-3/175110048474</t>
        </is>
      </c>
      <c r="AA22" t="inlineStr">
        <is>
          <t>No</t>
        </is>
      </c>
    </row>
    <row r="23">
      <c r="A23" t="n">
        <v>22</v>
      </c>
      <c r="B23" t="inlineStr">
        <is>
          <t>181172764367</t>
        </is>
      </c>
      <c r="D23" t="inlineStr">
        <is>
          <t>Monroe County - Temporary Personnel Services for Information Technology</t>
        </is>
      </c>
      <c r="E23" t="inlineStr">
        <is>
          <t>Monroe County</t>
        </is>
      </c>
      <c r="F23" t="inlineStr">
        <is>
          <t>New York</t>
        </is>
      </c>
      <c r="G23" t="inlineStr">
        <is>
          <t>Closed Won</t>
        </is>
      </c>
      <c r="H23" t="inlineStr">
        <is>
          <t>No</t>
        </is>
      </c>
      <c r="J23" s="96" t="n">
        <v>45835</v>
      </c>
      <c r="K23" s="96" t="n">
        <v>45833</v>
      </c>
      <c r="M23" t="inlineStr">
        <is>
          <t>Platform Implementation (ERP, CRMs);Support &amp; Maintenance</t>
        </is>
      </c>
      <c r="N23" t="inlineStr">
        <is>
          <t>Email</t>
        </is>
      </c>
      <c r="O23" t="inlineStr">
        <is>
          <t>Jyothsna Nanda kishore</t>
        </is>
      </c>
      <c r="S23" t="inlineStr">
        <is>
          <t>2025-10-08</t>
        </is>
      </c>
      <c r="U23" s="96" t="n">
        <v>45938</v>
      </c>
      <c r="Y23" t="inlineStr">
        <is>
          <t>2025-10-08</t>
        </is>
      </c>
      <c r="Z23" t="inlineStr">
        <is>
          <t>https://app.hubspot.com/contacts/243046792/record/0-3/181172764367</t>
        </is>
      </c>
      <c r="AA23" t="inlineStr">
        <is>
          <t>Yes</t>
        </is>
      </c>
    </row>
    <row r="24">
      <c r="A24" t="n">
        <v>23</v>
      </c>
      <c r="B24" t="inlineStr">
        <is>
          <t>127677476588</t>
        </is>
      </c>
      <c r="C24" t="inlineStr">
        <is>
          <t>23-030</t>
        </is>
      </c>
      <c r="D24" t="inlineStr">
        <is>
          <t>San Antonio Independent School District - Miscellaneous Consultant Services</t>
        </is>
      </c>
      <c r="E24" t="inlineStr">
        <is>
          <t>San Antonio Independent School District</t>
        </is>
      </c>
      <c r="F24" t="inlineStr">
        <is>
          <t>Texas</t>
        </is>
      </c>
      <c r="G24" t="inlineStr">
        <is>
          <t>Closed Won</t>
        </is>
      </c>
      <c r="H24" t="inlineStr">
        <is>
          <t>No</t>
        </is>
      </c>
      <c r="J24" s="96" t="n">
        <v>45838</v>
      </c>
      <c r="K24" s="96" t="n">
        <v>45838</v>
      </c>
      <c r="M24" t="inlineStr">
        <is>
          <t>Staff Augmentation</t>
        </is>
      </c>
      <c r="N24" t="inlineStr">
        <is>
          <t>Portal</t>
        </is>
      </c>
      <c r="O24" t="inlineStr">
        <is>
          <t>Jyothsna Nanda kishore</t>
        </is>
      </c>
      <c r="S24" t="inlineStr">
        <is>
          <t>2025-07-11</t>
        </is>
      </c>
      <c r="U24" s="96" t="n">
        <v>45849</v>
      </c>
      <c r="V24" t="inlineStr">
        <is>
          <t>In Process</t>
        </is>
      </c>
      <c r="Y24" t="inlineStr">
        <is>
          <t>2025-07-23</t>
        </is>
      </c>
      <c r="Z24" t="inlineStr">
        <is>
          <t>https://app.hubspot.com/contacts/243046792/record/0-3/127677476588</t>
        </is>
      </c>
      <c r="AA24" t="inlineStr">
        <is>
          <t>No</t>
        </is>
      </c>
    </row>
    <row r="25">
      <c r="A25" t="n">
        <v>24</v>
      </c>
      <c r="B25" t="inlineStr">
        <is>
          <t>110712028891</t>
        </is>
      </c>
      <c r="D25" t="inlineStr">
        <is>
          <t>Oregon League of Cities - STAFFING SERVICES WITH RELATED SERVICES AND SOLUTIONS</t>
        </is>
      </c>
      <c r="E25" t="inlineStr">
        <is>
          <t>Oregon League of Cities</t>
        </is>
      </c>
      <c r="F25" t="inlineStr">
        <is>
          <t>Oregon</t>
        </is>
      </c>
      <c r="G25" t="inlineStr">
        <is>
          <t>Closed Won</t>
        </is>
      </c>
      <c r="H25" t="inlineStr">
        <is>
          <t>No</t>
        </is>
      </c>
      <c r="J25" s="96" t="n">
        <v>46007</v>
      </c>
      <c r="K25" s="96" t="n">
        <v>45859</v>
      </c>
      <c r="M25" t="inlineStr">
        <is>
          <t>Staff Augmentation</t>
        </is>
      </c>
      <c r="N25" t="inlineStr">
        <is>
          <t>Portal</t>
        </is>
      </c>
      <c r="O25" t="inlineStr">
        <is>
          <t>Madhav Mitruka</t>
        </is>
      </c>
      <c r="S25" t="inlineStr">
        <is>
          <t>2025-12-15</t>
        </is>
      </c>
      <c r="U25" s="96" t="n">
        <v>46066</v>
      </c>
      <c r="Y25" t="inlineStr">
        <is>
          <t>2025-07-01</t>
        </is>
      </c>
      <c r="Z25" t="inlineStr">
        <is>
          <t>https://app.hubspot.com/contacts/243046792/record/0-3/110712028891</t>
        </is>
      </c>
      <c r="AA25" t="inlineStr">
        <is>
          <t>Yes</t>
        </is>
      </c>
    </row>
    <row r="26">
      <c r="A26" t="n">
        <v>25</v>
      </c>
      <c r="B26" t="inlineStr">
        <is>
          <t>127424133880</t>
        </is>
      </c>
      <c r="C26" t="inlineStr">
        <is>
          <t>5400028271</t>
        </is>
      </c>
      <c r="D26" t="inlineStr">
        <is>
          <t>State of South Carolina - STC Dynamics Managed Service Provider</t>
        </is>
      </c>
      <c r="E26" t="inlineStr">
        <is>
          <t>State of South Carolina</t>
        </is>
      </c>
      <c r="F26" t="inlineStr">
        <is>
          <t>South Carolina</t>
        </is>
      </c>
      <c r="G26" t="inlineStr">
        <is>
          <t>Closed Won</t>
        </is>
      </c>
      <c r="H26" t="inlineStr">
        <is>
          <t>No</t>
        </is>
      </c>
      <c r="J26" s="96" t="n">
        <v>45971</v>
      </c>
      <c r="K26" s="96" t="n">
        <v>45860</v>
      </c>
      <c r="M26" t="inlineStr">
        <is>
          <t>Managed Services (MSP);Staff Augmentation</t>
        </is>
      </c>
      <c r="N26" t="inlineStr">
        <is>
          <t>Email</t>
        </is>
      </c>
      <c r="O26" t="inlineStr">
        <is>
          <t>Jyothsna Nanda kishore</t>
        </is>
      </c>
      <c r="S26" t="inlineStr">
        <is>
          <t>2025-11-06</t>
        </is>
      </c>
      <c r="U26" s="96" t="n">
        <v>45967</v>
      </c>
      <c r="Y26" t="inlineStr">
        <is>
          <t>2025-07-22</t>
        </is>
      </c>
      <c r="Z26" t="inlineStr">
        <is>
          <t>https://app.hubspot.com/contacts/243046792/record/0-3/127424133880</t>
        </is>
      </c>
      <c r="AA26" t="inlineStr">
        <is>
          <t>Yes</t>
        </is>
      </c>
    </row>
    <row r="27">
      <c r="A27" t="n">
        <v>26</v>
      </c>
      <c r="B27" t="inlineStr">
        <is>
          <t>114864544502</t>
        </is>
      </c>
      <c r="D27" t="inlineStr">
        <is>
          <t>University System of New Hampshire - Workday Related Staff Augmentation and Project Work</t>
        </is>
      </c>
      <c r="E27" t="inlineStr">
        <is>
          <t>University System of New Hampshire</t>
        </is>
      </c>
      <c r="F27" t="inlineStr">
        <is>
          <t>New Hampshire</t>
        </is>
      </c>
      <c r="G27" t="inlineStr">
        <is>
          <t>Closed Won</t>
        </is>
      </c>
      <c r="H27" t="inlineStr">
        <is>
          <t>No</t>
        </is>
      </c>
      <c r="J27" s="96" t="n">
        <v>45981</v>
      </c>
      <c r="K27" s="96" t="n">
        <v>45861</v>
      </c>
      <c r="M27" t="inlineStr">
        <is>
          <t>Staff Augmentation</t>
        </is>
      </c>
      <c r="N27" t="inlineStr">
        <is>
          <t>Portal</t>
        </is>
      </c>
      <c r="O27" t="inlineStr">
        <is>
          <t>Madhav Mitruka</t>
        </is>
      </c>
      <c r="S27" t="inlineStr">
        <is>
          <t>2025-11-20</t>
        </is>
      </c>
      <c r="U27" s="96" t="n">
        <v>46009</v>
      </c>
      <c r="Y27" t="inlineStr">
        <is>
          <t>2025-07-08</t>
        </is>
      </c>
      <c r="Z27" t="inlineStr">
        <is>
          <t>https://app.hubspot.com/contacts/243046792/record/0-3/114864544502</t>
        </is>
      </c>
    </row>
    <row r="28">
      <c r="A28" t="n">
        <v>27</v>
      </c>
      <c r="B28" t="inlineStr">
        <is>
          <t>134329484998</t>
        </is>
      </c>
      <c r="D28" t="inlineStr">
        <is>
          <t>Collier County - OPENCollier MPO WordPress Website Maintenance &amp; Hosting</t>
        </is>
      </c>
      <c r="E28" t="inlineStr">
        <is>
          <t>Collier County</t>
        </is>
      </c>
      <c r="F28" t="inlineStr">
        <is>
          <t>Florida</t>
        </is>
      </c>
      <c r="G28" t="inlineStr">
        <is>
          <t>Closed Won</t>
        </is>
      </c>
      <c r="H28" t="inlineStr">
        <is>
          <t>No</t>
        </is>
      </c>
      <c r="J28" s="96" t="n">
        <v>45924</v>
      </c>
      <c r="K28" s="96" t="n">
        <v>45867</v>
      </c>
      <c r="L28" s="65" t="n">
        <v>3990</v>
      </c>
      <c r="M28" t="inlineStr">
        <is>
          <t>Support &amp; Maintenance</t>
        </is>
      </c>
      <c r="N28" t="inlineStr">
        <is>
          <t>Portal</t>
        </is>
      </c>
      <c r="O28" t="inlineStr">
        <is>
          <t>Madhav Mitruka</t>
        </is>
      </c>
      <c r="S28" t="inlineStr">
        <is>
          <t>2025-09-24</t>
        </is>
      </c>
      <c r="U28" s="96" t="n">
        <v>45924</v>
      </c>
      <c r="Y28" t="inlineStr">
        <is>
          <t>2025-07-29</t>
        </is>
      </c>
      <c r="Z28" t="inlineStr">
        <is>
          <t>https://app.hubspot.com/contacts/243046792/record/0-3/134329484998</t>
        </is>
      </c>
    </row>
    <row r="29">
      <c r="A29" t="n">
        <v>29</v>
      </c>
      <c r="B29" t="inlineStr">
        <is>
          <t>120592685811</t>
        </is>
      </c>
      <c r="C29" t="inlineStr">
        <is>
          <t>RFQ-1001295</t>
        </is>
      </c>
      <c r="D29" t="inlineStr">
        <is>
          <t>Iowa State University - Cybersecurity Services for Iowa Political Subdivisions</t>
        </is>
      </c>
      <c r="E29" t="inlineStr">
        <is>
          <t>Iowa State University</t>
        </is>
      </c>
      <c r="F29" t="inlineStr">
        <is>
          <t>Iowa</t>
        </is>
      </c>
      <c r="G29" t="inlineStr">
        <is>
          <t>Closed Won</t>
        </is>
      </c>
      <c r="H29" t="inlineStr">
        <is>
          <t>No</t>
        </is>
      </c>
      <c r="J29" s="96" t="n">
        <v>45981</v>
      </c>
      <c r="K29" s="96" t="n">
        <v>45877</v>
      </c>
      <c r="M29" t="inlineStr">
        <is>
          <t>Audits and Assessment</t>
        </is>
      </c>
      <c r="N29" t="inlineStr">
        <is>
          <t>Portal</t>
        </is>
      </c>
      <c r="O29" t="inlineStr">
        <is>
          <t>Jyothsna Nanda kishore</t>
        </is>
      </c>
      <c r="S29" t="inlineStr">
        <is>
          <t>2025-11-20</t>
        </is>
      </c>
      <c r="U29" s="96" t="n">
        <v>46156</v>
      </c>
      <c r="Y29" t="inlineStr">
        <is>
          <t>2025-07-15</t>
        </is>
      </c>
      <c r="Z29" t="inlineStr">
        <is>
          <t>https://app.hubspot.com/contacts/243046792/record/0-3/120592685811</t>
        </is>
      </c>
      <c r="AA29" t="inlineStr">
        <is>
          <t>Yes</t>
        </is>
      </c>
    </row>
    <row r="30">
      <c r="A30" t="n">
        <v>32</v>
      </c>
      <c r="B30" t="inlineStr">
        <is>
          <t>126587718330</t>
        </is>
      </c>
      <c r="D30" t="inlineStr">
        <is>
          <t>Alachua County Library District - E-Rate Cybersecurity Pilot Program - Next Generation Firewall</t>
        </is>
      </c>
      <c r="E30" t="inlineStr">
        <is>
          <t>Alachua County Library District</t>
        </is>
      </c>
      <c r="F30" t="inlineStr">
        <is>
          <t>Florida</t>
        </is>
      </c>
      <c r="G30" t="inlineStr">
        <is>
          <t>Closed Won</t>
        </is>
      </c>
      <c r="H30" t="inlineStr">
        <is>
          <t>No</t>
        </is>
      </c>
      <c r="J30" s="96" t="n">
        <v>45905</v>
      </c>
      <c r="K30" s="96" t="n">
        <v>45890</v>
      </c>
      <c r="L30" s="65" t="n">
        <v>73000</v>
      </c>
      <c r="M30" t="inlineStr">
        <is>
          <t>Consulting</t>
        </is>
      </c>
      <c r="N30" t="inlineStr">
        <is>
          <t>Portal</t>
        </is>
      </c>
      <c r="O30" t="inlineStr">
        <is>
          <t>Yashaswini Gautam</t>
        </is>
      </c>
      <c r="S30" t="inlineStr">
        <is>
          <t>2025-09-05</t>
        </is>
      </c>
      <c r="U30" s="96" t="n">
        <v>46132</v>
      </c>
      <c r="Y30" t="inlineStr">
        <is>
          <t>2025-07-21</t>
        </is>
      </c>
      <c r="Z30" t="inlineStr">
        <is>
          <t>https://app.hubspot.com/contacts/243046792/record/0-3/126587718330</t>
        </is>
      </c>
    </row>
    <row r="31">
      <c r="A31" t="n">
        <v>33</v>
      </c>
      <c r="B31" t="inlineStr">
        <is>
          <t>144659629780</t>
        </is>
      </c>
      <c r="C31" t="inlineStr">
        <is>
          <t>02805095</t>
        </is>
      </c>
      <c r="D31" t="inlineStr">
        <is>
          <t>St. Johns County - Veeam VBR Enterprise Basic Maintenance License Renew</t>
        </is>
      </c>
      <c r="E31" t="inlineStr">
        <is>
          <t>St. Johns County</t>
        </is>
      </c>
      <c r="F31" t="inlineStr">
        <is>
          <t>Florida</t>
        </is>
      </c>
      <c r="G31" t="inlineStr">
        <is>
          <t>Closed Won</t>
        </is>
      </c>
      <c r="H31" t="inlineStr">
        <is>
          <t>No</t>
        </is>
      </c>
      <c r="J31" s="96" t="n">
        <v>45910</v>
      </c>
      <c r="K31" s="96" t="n">
        <v>45891</v>
      </c>
      <c r="L31" s="65" t="n">
        <v>15712</v>
      </c>
      <c r="M31" t="inlineStr">
        <is>
          <t>Reseller</t>
        </is>
      </c>
      <c r="N31" t="inlineStr">
        <is>
          <t>Email</t>
        </is>
      </c>
      <c r="O31" t="inlineStr">
        <is>
          <t>Madhav Mitruka</t>
        </is>
      </c>
      <c r="S31" t="inlineStr">
        <is>
          <t>2025-09-22</t>
        </is>
      </c>
      <c r="U31" s="96" t="n">
        <v>45922</v>
      </c>
      <c r="Y31" t="inlineStr">
        <is>
          <t>2025-08-22</t>
        </is>
      </c>
      <c r="Z31" t="inlineStr">
        <is>
          <t>https://app.hubspot.com/contacts/243046792/record/0-3/144659629780</t>
        </is>
      </c>
    </row>
    <row r="32">
      <c r="A32" t="n">
        <v>34</v>
      </c>
      <c r="B32" t="inlineStr">
        <is>
          <t>137815198453</t>
        </is>
      </c>
      <c r="C32" t="inlineStr">
        <is>
          <t>RFP No. FIN0825-001</t>
        </is>
      </c>
      <c r="D32" t="inlineStr">
        <is>
          <t>Municipal Water District of Orange County (MWDOC) Enterprise Planning Resource (ERP) System Architecture and Configuration (RFP No. FIN0825-001)</t>
        </is>
      </c>
      <c r="E32" t="inlineStr">
        <is>
          <t>Municipal Water District of Orange County (MWDOC)</t>
        </is>
      </c>
      <c r="F32" t="inlineStr">
        <is>
          <t>California</t>
        </is>
      </c>
      <c r="G32" t="inlineStr">
        <is>
          <t>Closed Won</t>
        </is>
      </c>
      <c r="H32" t="inlineStr">
        <is>
          <t>Yes</t>
        </is>
      </c>
      <c r="I32" t="inlineStr">
        <is>
          <t>Interview</t>
        </is>
      </c>
      <c r="J32" s="96" t="n">
        <v>45936</v>
      </c>
      <c r="K32" s="96" t="n">
        <v>45905</v>
      </c>
      <c r="L32" s="65" t="n">
        <v>90000</v>
      </c>
      <c r="M32" t="inlineStr">
        <is>
          <t>Platform Implementation (ERP, CRMs)</t>
        </is>
      </c>
      <c r="N32" t="inlineStr">
        <is>
          <t>Email</t>
        </is>
      </c>
      <c r="O32" t="inlineStr">
        <is>
          <t>Madhav Mitruka</t>
        </is>
      </c>
      <c r="P32" t="inlineStr">
        <is>
          <t>Interview Scheduled</t>
        </is>
      </c>
      <c r="Q32" t="inlineStr">
        <is>
          <t>2025-09-17</t>
        </is>
      </c>
      <c r="S32" t="inlineStr">
        <is>
          <t>2025-10-13</t>
        </is>
      </c>
      <c r="U32" s="96" t="n">
        <v>45972</v>
      </c>
      <c r="V32" t="inlineStr">
        <is>
          <t>In Process</t>
        </is>
      </c>
      <c r="Y32" t="inlineStr">
        <is>
          <t>2025-08-06</t>
        </is>
      </c>
      <c r="Z32" t="inlineStr">
        <is>
          <t>https://app.hubspot.com/contacts/243046792/record/0-3/137815198453</t>
        </is>
      </c>
      <c r="AA32" t="inlineStr">
        <is>
          <t>Yes</t>
        </is>
      </c>
    </row>
    <row r="33">
      <c r="A33" t="n">
        <v>35</v>
      </c>
      <c r="B33" t="inlineStr">
        <is>
          <t>145845264086</t>
        </is>
      </c>
      <c r="D33" t="inlineStr">
        <is>
          <t>City of Olmos Park - Information Technology Services</t>
        </is>
      </c>
      <c r="E33" t="inlineStr">
        <is>
          <t>City of Olmos Park</t>
        </is>
      </c>
      <c r="F33" t="inlineStr">
        <is>
          <t>Texas</t>
        </is>
      </c>
      <c r="G33" t="inlineStr">
        <is>
          <t>Closed Won</t>
        </is>
      </c>
      <c r="H33" t="inlineStr">
        <is>
          <t>No</t>
        </is>
      </c>
      <c r="J33" s="96" t="n">
        <v>45918</v>
      </c>
      <c r="K33" s="96" t="n">
        <v>45911</v>
      </c>
      <c r="L33" s="65" t="n">
        <v>184400</v>
      </c>
      <c r="M33" t="inlineStr">
        <is>
          <t>Managed Services (MSP)</t>
        </is>
      </c>
      <c r="N33" t="inlineStr">
        <is>
          <t>Offline</t>
        </is>
      </c>
      <c r="O33" t="inlineStr">
        <is>
          <t>Arshdeep Kaur</t>
        </is>
      </c>
      <c r="S33" t="inlineStr">
        <is>
          <t>2025-09-18</t>
        </is>
      </c>
      <c r="U33" s="96" t="n">
        <v>45946</v>
      </c>
      <c r="V33" t="inlineStr">
        <is>
          <t>In Process</t>
        </is>
      </c>
      <c r="Y33" t="inlineStr">
        <is>
          <t>2025-08-26</t>
        </is>
      </c>
      <c r="Z33" t="inlineStr">
        <is>
          <t>https://app.hubspot.com/contacts/243046792/record/0-3/145845264086</t>
        </is>
      </c>
      <c r="AA33" t="inlineStr">
        <is>
          <t>Yes</t>
        </is>
      </c>
    </row>
    <row r="34">
      <c r="A34" t="n">
        <v>36</v>
      </c>
      <c r="B34" t="inlineStr">
        <is>
          <t>134489494217</t>
        </is>
      </c>
      <c r="D34" t="inlineStr">
        <is>
          <t>Florida Department of Management Services - Prequalification for Information Technology Staff Augmentation Services (Supplemental) 2025</t>
        </is>
      </c>
      <c r="E34" t="inlineStr">
        <is>
          <t>Florida Department of Management Services</t>
        </is>
      </c>
      <c r="F34" t="inlineStr">
        <is>
          <t>Florida</t>
        </is>
      </c>
      <c r="G34" t="inlineStr">
        <is>
          <t>Closed Won</t>
        </is>
      </c>
      <c r="H34" t="inlineStr">
        <is>
          <t>No</t>
        </is>
      </c>
      <c r="J34" s="96" t="n">
        <v>45932</v>
      </c>
      <c r="K34" s="96" t="n">
        <v>45916</v>
      </c>
      <c r="M34" t="inlineStr">
        <is>
          <t>Staff Augmentation</t>
        </is>
      </c>
      <c r="N34" t="inlineStr">
        <is>
          <t>Portal</t>
        </is>
      </c>
      <c r="O34" t="inlineStr">
        <is>
          <t>Madhav Mitruka</t>
        </is>
      </c>
      <c r="S34" t="inlineStr">
        <is>
          <t>2025-09-16</t>
        </is>
      </c>
      <c r="U34" s="96" t="n">
        <v>46049</v>
      </c>
      <c r="Y34" t="inlineStr">
        <is>
          <t>2025-07-30</t>
        </is>
      </c>
      <c r="Z34" t="inlineStr">
        <is>
          <t>https://app.hubspot.com/contacts/243046792/record/0-3/134489494217</t>
        </is>
      </c>
      <c r="AA34" t="inlineStr">
        <is>
          <t>No</t>
        </is>
      </c>
    </row>
    <row r="35">
      <c r="A35" t="n">
        <v>37</v>
      </c>
      <c r="B35" t="inlineStr">
        <is>
          <t>144653136611</t>
        </is>
      </c>
      <c r="D35" t="inlineStr">
        <is>
          <t>Western Municipal Water District - Data Solution Design, Build &amp; Implementation, Western Municipal Water District (Western Water)</t>
        </is>
      </c>
      <c r="E35" t="inlineStr">
        <is>
          <t xml:space="preserve">Western Municipal Water District </t>
        </is>
      </c>
      <c r="F35" t="inlineStr">
        <is>
          <t>California</t>
        </is>
      </c>
      <c r="G35" t="inlineStr">
        <is>
          <t>Closed Won</t>
        </is>
      </c>
      <c r="H35" t="inlineStr">
        <is>
          <t>No</t>
        </is>
      </c>
      <c r="J35" s="96" t="n">
        <v>46009</v>
      </c>
      <c r="K35" s="96" t="n">
        <v>45918</v>
      </c>
      <c r="L35" s="65" t="n">
        <v>143460</v>
      </c>
      <c r="M35" t="inlineStr">
        <is>
          <t>Modernization / Migration</t>
        </is>
      </c>
      <c r="N35" t="inlineStr">
        <is>
          <t>Portal</t>
        </is>
      </c>
      <c r="O35" t="inlineStr">
        <is>
          <t>Jyothsna Nanda kishore</t>
        </is>
      </c>
      <c r="S35" t="inlineStr">
        <is>
          <t>2025-11-18</t>
        </is>
      </c>
      <c r="U35" s="96" t="n">
        <v>45973</v>
      </c>
      <c r="V35" t="inlineStr">
        <is>
          <t>In Process</t>
        </is>
      </c>
      <c r="Y35" t="inlineStr">
        <is>
          <t>2025-08-22</t>
        </is>
      </c>
      <c r="Z35" t="inlineStr">
        <is>
          <t>https://app.hubspot.com/contacts/243046792/record/0-3/144653136611</t>
        </is>
      </c>
      <c r="AA35" t="inlineStr">
        <is>
          <t>Yes</t>
        </is>
      </c>
    </row>
    <row r="36">
      <c r="A36" t="n">
        <v>38</v>
      </c>
      <c r="B36" t="inlineStr">
        <is>
          <t>159541459657</t>
        </is>
      </c>
      <c r="C36" t="inlineStr">
        <is>
          <t>WSD001</t>
        </is>
      </c>
      <c r="D36" t="inlineStr">
        <is>
          <t>County of Los Angeles Department of Public Works - Microsoft Power Platform Training</t>
        </is>
      </c>
      <c r="E36" t="inlineStr">
        <is>
          <t>County of Los Angeles Department of Public Works</t>
        </is>
      </c>
      <c r="F36" t="inlineStr">
        <is>
          <t>California</t>
        </is>
      </c>
      <c r="G36" t="inlineStr">
        <is>
          <t>Closed Won</t>
        </is>
      </c>
      <c r="H36" t="inlineStr">
        <is>
          <t>No</t>
        </is>
      </c>
      <c r="J36" s="96" t="n">
        <v>46114</v>
      </c>
      <c r="K36" s="96" t="n">
        <v>45925</v>
      </c>
      <c r="L36" s="65" t="n">
        <v>12000</v>
      </c>
      <c r="M36" t="inlineStr">
        <is>
          <t>Training</t>
        </is>
      </c>
      <c r="N36" t="inlineStr">
        <is>
          <t>Email</t>
        </is>
      </c>
      <c r="O36" t="inlineStr">
        <is>
          <t>Jyothsna Nanda kishore</t>
        </is>
      </c>
      <c r="S36" t="inlineStr">
        <is>
          <t>2026-04-02</t>
        </is>
      </c>
      <c r="U36" s="96" t="n">
        <v>46113</v>
      </c>
      <c r="Y36" t="inlineStr">
        <is>
          <t>2025-09-12</t>
        </is>
      </c>
      <c r="Z36" t="inlineStr">
        <is>
          <t>https://app.hubspot.com/contacts/243046792/record/0-3/159541459657</t>
        </is>
      </c>
      <c r="AA36" t="inlineStr">
        <is>
          <t>Yes</t>
        </is>
      </c>
    </row>
    <row r="37">
      <c r="A37" t="n">
        <v>39</v>
      </c>
      <c r="B37" t="inlineStr">
        <is>
          <t>158113558258</t>
        </is>
      </c>
      <c r="D37" t="inlineStr">
        <is>
          <t>TRIMET - Data Center Assessment and Risk Mitigation Strategy</t>
        </is>
      </c>
      <c r="E37" t="inlineStr">
        <is>
          <t>Tri-County Metropolitan Transportation District of Oregon</t>
        </is>
      </c>
      <c r="F37" t="inlineStr">
        <is>
          <t>Oregon</t>
        </is>
      </c>
      <c r="G37" t="inlineStr">
        <is>
          <t>Closed Won</t>
        </is>
      </c>
      <c r="H37" t="inlineStr">
        <is>
          <t>Yes</t>
        </is>
      </c>
      <c r="I37" t="inlineStr">
        <is>
          <t>BAFO</t>
        </is>
      </c>
      <c r="J37" s="96" t="n">
        <v>46143</v>
      </c>
      <c r="K37" s="96" t="n">
        <v>45929</v>
      </c>
      <c r="L37" s="65" t="n">
        <v>20893</v>
      </c>
      <c r="M37" t="inlineStr">
        <is>
          <t>Audits and Assessment</t>
        </is>
      </c>
      <c r="N37" t="inlineStr">
        <is>
          <t>Portal</t>
        </is>
      </c>
      <c r="O37" t="inlineStr">
        <is>
          <t>Ashutosh Chauhan</t>
        </is>
      </c>
      <c r="P37" t="inlineStr">
        <is>
          <t>BAFO</t>
        </is>
      </c>
      <c r="R37" t="inlineStr">
        <is>
          <t>2025-10-15</t>
        </is>
      </c>
      <c r="S37" t="inlineStr">
        <is>
          <t>2025-10-20</t>
        </is>
      </c>
      <c r="U37" s="96" t="n">
        <v>45953</v>
      </c>
      <c r="Y37" t="inlineStr">
        <is>
          <t>2025-09-10</t>
        </is>
      </c>
      <c r="Z37" t="inlineStr">
        <is>
          <t>https://app.hubspot.com/contacts/243046792/record/0-3/158113558258</t>
        </is>
      </c>
      <c r="AA37" t="inlineStr">
        <is>
          <t>Yes</t>
        </is>
      </c>
    </row>
    <row r="38">
      <c r="A38" t="n">
        <v>40</v>
      </c>
      <c r="B38" t="inlineStr">
        <is>
          <t>126595998432</t>
        </is>
      </c>
      <c r="C38" t="inlineStr">
        <is>
          <t>RFP-554-2025-0052-0-2025/AH</t>
        </is>
      </c>
      <c r="D38" t="inlineStr">
        <is>
          <t>Raleigh Durham Airport Authority (NC) - SharePoint Consultant</t>
        </is>
      </c>
      <c r="E38" t="inlineStr">
        <is>
          <t>Raleigh Durham Airport Authority [NC]</t>
        </is>
      </c>
      <c r="F38" t="inlineStr">
        <is>
          <t>North Carolina</t>
        </is>
      </c>
      <c r="G38" t="inlineStr">
        <is>
          <t>Intent to Award</t>
        </is>
      </c>
      <c r="H38" t="inlineStr">
        <is>
          <t>No</t>
        </is>
      </c>
      <c r="J38" s="96" t="n">
        <v>46052</v>
      </c>
      <c r="K38" s="96" t="n">
        <v>45932</v>
      </c>
      <c r="L38" s="65" t="n">
        <v>18830</v>
      </c>
      <c r="M38" t="inlineStr">
        <is>
          <t>Consulting</t>
        </is>
      </c>
      <c r="N38" t="inlineStr">
        <is>
          <t>Portal</t>
        </is>
      </c>
      <c r="O38" t="inlineStr">
        <is>
          <t>Madhav Mitruka</t>
        </is>
      </c>
      <c r="S38" s="96" t="n">
        <v>46052</v>
      </c>
      <c r="Y38" t="inlineStr">
        <is>
          <t>2025-07-21</t>
        </is>
      </c>
      <c r="Z38" t="inlineStr">
        <is>
          <t>https://app.hubspot.com/contacts/243046792/record/0-3/126595998432</t>
        </is>
      </c>
    </row>
    <row r="39">
      <c r="A39" t="n">
        <v>41</v>
      </c>
      <c r="B39" t="inlineStr">
        <is>
          <t>161660341982</t>
        </is>
      </c>
      <c r="D39" t="inlineStr">
        <is>
          <t>Greene County - PROFESSIONAL CONSULTANT SERVICES</t>
        </is>
      </c>
      <c r="E39" t="inlineStr">
        <is>
          <t>Greene County</t>
        </is>
      </c>
      <c r="F39" t="inlineStr">
        <is>
          <t>New York</t>
        </is>
      </c>
      <c r="G39" t="inlineStr">
        <is>
          <t>Closed Won</t>
        </is>
      </c>
      <c r="H39" t="inlineStr">
        <is>
          <t>No</t>
        </is>
      </c>
      <c r="J39" s="96" t="n">
        <v>46143</v>
      </c>
      <c r="K39" s="96" t="n">
        <v>45932</v>
      </c>
      <c r="M39" t="inlineStr">
        <is>
          <t>Staff Augmentation</t>
        </is>
      </c>
      <c r="N39" t="inlineStr">
        <is>
          <t>Offline</t>
        </is>
      </c>
      <c r="O39" t="inlineStr">
        <is>
          <t>Arshdeep Kaur</t>
        </is>
      </c>
      <c r="S39" t="inlineStr">
        <is>
          <t>2025-12-09</t>
        </is>
      </c>
      <c r="U39" s="96" t="n">
        <v>46093</v>
      </c>
      <c r="Y39" t="inlineStr">
        <is>
          <t>2025-09-17</t>
        </is>
      </c>
      <c r="Z39" t="inlineStr">
        <is>
          <t>https://app.hubspot.com/contacts/243046792/record/0-3/161660341982</t>
        </is>
      </c>
      <c r="AA39" t="inlineStr">
        <is>
          <t>No</t>
        </is>
      </c>
    </row>
    <row r="40">
      <c r="A40" t="n">
        <v>42</v>
      </c>
      <c r="B40" t="inlineStr">
        <is>
          <t>158113559231</t>
        </is>
      </c>
      <c r="D40" t="inlineStr">
        <is>
          <t>City of San Carlos - Legacy File Server Migration to SharePoint Modernization</t>
        </is>
      </c>
      <c r="E40" t="inlineStr">
        <is>
          <t>City of San Carlos</t>
        </is>
      </c>
      <c r="F40" t="inlineStr">
        <is>
          <t>California</t>
        </is>
      </c>
      <c r="G40" t="inlineStr">
        <is>
          <t>Closed Won</t>
        </is>
      </c>
      <c r="H40" t="inlineStr">
        <is>
          <t>Yes</t>
        </is>
      </c>
      <c r="I40" t="inlineStr">
        <is>
          <t>Interview</t>
        </is>
      </c>
      <c r="J40" s="96" t="n">
        <v>46149</v>
      </c>
      <c r="K40" s="96" t="n">
        <v>45936</v>
      </c>
      <c r="L40" s="65" t="n">
        <v>98000</v>
      </c>
      <c r="M40" t="inlineStr">
        <is>
          <t>Modernization / Migration</t>
        </is>
      </c>
      <c r="N40" t="inlineStr">
        <is>
          <t>Email</t>
        </is>
      </c>
      <c r="O40" t="inlineStr">
        <is>
          <t>Abhishek Zalani</t>
        </is>
      </c>
      <c r="P40" t="inlineStr">
        <is>
          <t>Interview Scheduled</t>
        </is>
      </c>
      <c r="Q40" t="inlineStr">
        <is>
          <t>2025-12-10</t>
        </is>
      </c>
      <c r="S40" t="inlineStr">
        <is>
          <t>2026-01-01</t>
        </is>
      </c>
      <c r="U40" s="96" t="n">
        <v>46031</v>
      </c>
      <c r="Y40" t="inlineStr">
        <is>
          <t>2025-09-10</t>
        </is>
      </c>
      <c r="Z40" t="inlineStr">
        <is>
          <t>https://app.hubspot.com/contacts/243046792/record/0-3/158113559231</t>
        </is>
      </c>
    </row>
    <row r="41">
      <c r="A41" t="n">
        <v>44</v>
      </c>
      <c r="B41" t="inlineStr">
        <is>
          <t>240974373562</t>
        </is>
      </c>
      <c r="C41" t="inlineStr">
        <is>
          <t>Consolidated IT Services Bench</t>
        </is>
      </c>
      <c r="D41" t="inlineStr">
        <is>
          <t xml:space="preserve">LAUSD - Consolidated IT Services Bench </t>
        </is>
      </c>
      <c r="E41" t="inlineStr">
        <is>
          <t>Los Angeles Unified School District (LAUSD)</t>
        </is>
      </c>
      <c r="F41" t="inlineStr">
        <is>
          <t>California</t>
        </is>
      </c>
      <c r="G41" t="inlineStr">
        <is>
          <t>Closed Won</t>
        </is>
      </c>
      <c r="H41" t="inlineStr">
        <is>
          <t>Yes</t>
        </is>
      </c>
      <c r="I41" t="inlineStr">
        <is>
          <t>BAFO</t>
        </is>
      </c>
      <c r="J41" s="96" t="n">
        <v>46143</v>
      </c>
      <c r="K41" s="96" t="n">
        <v>45943</v>
      </c>
      <c r="M41" t="inlineStr">
        <is>
          <t>Staff Augmentation</t>
        </is>
      </c>
      <c r="N41" t="inlineStr">
        <is>
          <t>Portal</t>
        </is>
      </c>
      <c r="O41" t="inlineStr">
        <is>
          <t>Abhishek Zalani</t>
        </is>
      </c>
      <c r="P41" t="inlineStr">
        <is>
          <t>BAFO</t>
        </is>
      </c>
      <c r="R41" t="inlineStr">
        <is>
          <t>2025-12-05</t>
        </is>
      </c>
      <c r="S41" t="inlineStr">
        <is>
          <t>2025-11-21</t>
        </is>
      </c>
      <c r="U41" s="96" t="n">
        <v>46147</v>
      </c>
      <c r="Y41" t="inlineStr">
        <is>
          <t>2025-10-09</t>
        </is>
      </c>
      <c r="Z41" t="inlineStr">
        <is>
          <t>https://app.hubspot.com/contacts/243046792/record/0-3/240974373562</t>
        </is>
      </c>
      <c r="AA41" t="inlineStr">
        <is>
          <t>No</t>
        </is>
      </c>
    </row>
    <row r="42">
      <c r="A42" t="n">
        <v>45</v>
      </c>
      <c r="B42" t="inlineStr">
        <is>
          <t>241471982294</t>
        </is>
      </c>
      <c r="D42" t="inlineStr">
        <is>
          <t>Town of St. Michaels - Managed IT Services</t>
        </is>
      </c>
      <c r="E42" t="inlineStr">
        <is>
          <t xml:space="preserve">Town of St Michaels </t>
        </is>
      </c>
      <c r="F42" t="inlineStr">
        <is>
          <t>Maryland</t>
        </is>
      </c>
      <c r="G42" t="inlineStr">
        <is>
          <t>Closed Won</t>
        </is>
      </c>
      <c r="H42" t="inlineStr">
        <is>
          <t>No</t>
        </is>
      </c>
      <c r="J42" s="96" t="n">
        <v>45964</v>
      </c>
      <c r="K42" s="96" t="n">
        <v>45944</v>
      </c>
      <c r="L42" s="65" t="n">
        <v>74000</v>
      </c>
      <c r="M42" t="inlineStr">
        <is>
          <t>Managed Services (MSP)</t>
        </is>
      </c>
      <c r="N42" t="inlineStr">
        <is>
          <t>Email</t>
        </is>
      </c>
      <c r="O42" t="inlineStr">
        <is>
          <t>Abhishek Zalani</t>
        </is>
      </c>
      <c r="S42" t="inlineStr">
        <is>
          <t>2025-10-22</t>
        </is>
      </c>
      <c r="U42" s="96" t="n">
        <v>45981</v>
      </c>
      <c r="V42" t="inlineStr">
        <is>
          <t>In Process</t>
        </is>
      </c>
      <c r="Y42" t="inlineStr">
        <is>
          <t>2025-10-01</t>
        </is>
      </c>
      <c r="Z42" t="inlineStr">
        <is>
          <t>https://app.hubspot.com/contacts/243046792/record/0-3/241471982294</t>
        </is>
      </c>
      <c r="AA42" t="inlineStr">
        <is>
          <t>Yes</t>
        </is>
      </c>
    </row>
    <row r="43">
      <c r="A43" t="n">
        <v>46</v>
      </c>
      <c r="B43" t="inlineStr">
        <is>
          <t>159501546182</t>
        </is>
      </c>
      <c r="C43" t="inlineStr">
        <is>
          <t>25-082</t>
        </is>
      </c>
      <c r="D43" t="inlineStr">
        <is>
          <t>[Shared Award] El Paso County - Amazon Web Services Website Managed ServicesID: 25-082</t>
        </is>
      </c>
      <c r="E43" t="inlineStr">
        <is>
          <t>El Paso County</t>
        </is>
      </c>
      <c r="F43" t="inlineStr">
        <is>
          <t>Colorado</t>
        </is>
      </c>
      <c r="G43" t="inlineStr">
        <is>
          <t>Closed Won</t>
        </is>
      </c>
      <c r="H43" t="inlineStr">
        <is>
          <t>Yes</t>
        </is>
      </c>
      <c r="I43" t="inlineStr">
        <is>
          <t>Interview</t>
        </is>
      </c>
      <c r="J43" s="96" t="n">
        <v>46111</v>
      </c>
      <c r="K43" s="96" t="n">
        <v>45945</v>
      </c>
      <c r="L43" s="65" t="n">
        <v>148500</v>
      </c>
      <c r="M43" t="inlineStr">
        <is>
          <t>Managed Services (MSP)</t>
        </is>
      </c>
      <c r="N43" t="inlineStr">
        <is>
          <t>Portal</t>
        </is>
      </c>
      <c r="O43" t="inlineStr">
        <is>
          <t>Jyothsna Nanda kishore</t>
        </is>
      </c>
      <c r="Q43" t="inlineStr">
        <is>
          <t>2025-12-17</t>
        </is>
      </c>
      <c r="S43" t="inlineStr">
        <is>
          <t>2026-02-03</t>
        </is>
      </c>
      <c r="U43" s="96" t="n">
        <v>46068</v>
      </c>
      <c r="V43" t="inlineStr">
        <is>
          <t>In Process</t>
        </is>
      </c>
      <c r="Y43" t="inlineStr">
        <is>
          <t>2025-09-12</t>
        </is>
      </c>
      <c r="Z43" t="inlineStr">
        <is>
          <t>https://app.hubspot.com/contacts/243046792/record/0-3/159501546182</t>
        </is>
      </c>
      <c r="AA43" t="inlineStr">
        <is>
          <t>Yes</t>
        </is>
      </c>
    </row>
    <row r="44">
      <c r="A44" t="n">
        <v>47</v>
      </c>
      <c r="B44" t="inlineStr">
        <is>
          <t>169109642951</t>
        </is>
      </c>
      <c r="C44" t="inlineStr">
        <is>
          <t>242-25-00022</t>
        </is>
      </c>
      <c r="D44" t="inlineStr">
        <is>
          <t xml:space="preserve">Christopher Newport University - Consulting &amp; Training Support - Workday Adaptive Planning </t>
        </is>
      </c>
      <c r="E44" t="inlineStr">
        <is>
          <t>Christopher Newport University</t>
        </is>
      </c>
      <c r="F44" t="inlineStr">
        <is>
          <t>Virginia</t>
        </is>
      </c>
      <c r="G44" t="inlineStr">
        <is>
          <t>Closed Won</t>
        </is>
      </c>
      <c r="H44" t="inlineStr">
        <is>
          <t>Yes</t>
        </is>
      </c>
      <c r="I44" t="inlineStr">
        <is>
          <t>BAFO</t>
        </is>
      </c>
      <c r="J44" s="96" t="n">
        <v>46049</v>
      </c>
      <c r="K44" s="96" t="n">
        <v>45948</v>
      </c>
      <c r="L44" s="65" t="n">
        <v>25127</v>
      </c>
      <c r="M44" t="inlineStr">
        <is>
          <t>Consulting;Training</t>
        </is>
      </c>
      <c r="N44" t="inlineStr">
        <is>
          <t>Offline</t>
        </is>
      </c>
      <c r="O44" t="inlineStr">
        <is>
          <t>Ashutosh Chauhan</t>
        </is>
      </c>
      <c r="P44" t="inlineStr">
        <is>
          <t>Interview Scheduled</t>
        </is>
      </c>
      <c r="Q44" t="inlineStr">
        <is>
          <t>2025-12-08</t>
        </is>
      </c>
      <c r="R44" t="inlineStr">
        <is>
          <t>2025-12-19</t>
        </is>
      </c>
      <c r="S44" t="inlineStr">
        <is>
          <t>2026-01-14</t>
        </is>
      </c>
      <c r="U44" s="96" t="n">
        <v>46048</v>
      </c>
      <c r="V44" t="inlineStr">
        <is>
          <t>Awarded</t>
        </is>
      </c>
      <c r="Y44" t="inlineStr">
        <is>
          <t>2025-09-24</t>
        </is>
      </c>
      <c r="Z44" t="inlineStr">
        <is>
          <t>https://app.hubspot.com/contacts/243046792/record/0-3/169109642951</t>
        </is>
      </c>
      <c r="AA44" t="inlineStr">
        <is>
          <t>Yes</t>
        </is>
      </c>
    </row>
    <row r="45">
      <c r="A45" t="n">
        <v>48</v>
      </c>
      <c r="B45" t="inlineStr">
        <is>
          <t>145845271269</t>
        </is>
      </c>
      <c r="C45" t="inlineStr">
        <is>
          <t>PI25-0148F</t>
        </is>
      </c>
      <c r="D45" t="inlineStr">
        <is>
          <t>City of Tacoma - Computerized Maintenance Management System</t>
        </is>
      </c>
      <c r="E45" t="inlineStr">
        <is>
          <t>City of Tacoma</t>
        </is>
      </c>
      <c r="F45" t="inlineStr">
        <is>
          <t>Washington</t>
        </is>
      </c>
      <c r="G45" t="inlineStr">
        <is>
          <t>Intent to Award</t>
        </is>
      </c>
      <c r="H45" t="inlineStr">
        <is>
          <t>No</t>
        </is>
      </c>
      <c r="J45" s="96" t="n">
        <v>45958</v>
      </c>
      <c r="K45" s="96" t="n">
        <v>45958</v>
      </c>
      <c r="L45" s="65" t="n">
        <v>83098</v>
      </c>
      <c r="M45" t="inlineStr">
        <is>
          <t>Platform Implementation (ERP, CRMs)</t>
        </is>
      </c>
      <c r="N45" t="inlineStr">
        <is>
          <t>Email</t>
        </is>
      </c>
      <c r="O45" t="inlineStr">
        <is>
          <t>Abhishek Zalani</t>
        </is>
      </c>
      <c r="S45" s="96" t="n">
        <v>45966</v>
      </c>
      <c r="Y45" t="inlineStr">
        <is>
          <t>2025-08-26</t>
        </is>
      </c>
      <c r="Z45" t="inlineStr">
        <is>
          <t>https://app.hubspot.com/contacts/243046792/record/0-3/145845271269</t>
        </is>
      </c>
      <c r="AA45" t="inlineStr">
        <is>
          <t>Yes</t>
        </is>
      </c>
    </row>
    <row r="46">
      <c r="A46" t="n">
        <v>49</v>
      </c>
      <c r="B46" t="inlineStr">
        <is>
          <t>200821843683</t>
        </is>
      </c>
      <c r="D46" t="inlineStr">
        <is>
          <t>Cuyahoga County Board of Elections - Veeam Data Platform Renewal</t>
        </is>
      </c>
      <c r="E46" t="inlineStr">
        <is>
          <t>Cuyahoga County Board of Elections</t>
        </is>
      </c>
      <c r="F46" t="inlineStr">
        <is>
          <t>Ohio</t>
        </is>
      </c>
      <c r="G46" t="inlineStr">
        <is>
          <t>Closed Won</t>
        </is>
      </c>
      <c r="H46" t="inlineStr">
        <is>
          <t>No</t>
        </is>
      </c>
      <c r="J46" s="96" t="n">
        <v>45980</v>
      </c>
      <c r="K46" s="96" t="n">
        <v>45959</v>
      </c>
      <c r="L46" s="65" t="n">
        <v>6078.19</v>
      </c>
      <c r="M46" t="inlineStr">
        <is>
          <t>Reseller</t>
        </is>
      </c>
      <c r="N46" t="inlineStr">
        <is>
          <t>Portal</t>
        </is>
      </c>
      <c r="O46" t="inlineStr">
        <is>
          <t>Ashutosh Chauhan</t>
        </is>
      </c>
      <c r="S46" t="inlineStr">
        <is>
          <t>2025-11-18</t>
        </is>
      </c>
      <c r="U46" s="96" t="n">
        <v>45979</v>
      </c>
      <c r="Y46" t="inlineStr">
        <is>
          <t>2025-10-27</t>
        </is>
      </c>
      <c r="Z46" t="inlineStr">
        <is>
          <t>https://app.hubspot.com/contacts/243046792/record/0-3/200821843683</t>
        </is>
      </c>
      <c r="AA46" t="inlineStr">
        <is>
          <t>No</t>
        </is>
      </c>
    </row>
    <row r="47">
      <c r="A47" t="n">
        <v>50</v>
      </c>
      <c r="B47" t="inlineStr">
        <is>
          <t>182109882068</t>
        </is>
      </c>
      <c r="D47" t="inlineStr">
        <is>
          <t>Greene County - Professional Consultant Services (Rebid)</t>
        </is>
      </c>
      <c r="E47" t="inlineStr">
        <is>
          <t>Greene County</t>
        </is>
      </c>
      <c r="F47" t="inlineStr">
        <is>
          <t>New York</t>
        </is>
      </c>
      <c r="G47" t="inlineStr">
        <is>
          <t>Closed Won</t>
        </is>
      </c>
      <c r="H47" t="inlineStr">
        <is>
          <t>No</t>
        </is>
      </c>
      <c r="J47" s="96" t="n">
        <v>46097</v>
      </c>
      <c r="K47" s="96" t="n">
        <v>45968</v>
      </c>
      <c r="M47" t="inlineStr">
        <is>
          <t>Staff Augmentation</t>
        </is>
      </c>
      <c r="N47" t="inlineStr">
        <is>
          <t>Offline</t>
        </is>
      </c>
      <c r="O47" t="inlineStr">
        <is>
          <t>Abhishek Zalani</t>
        </is>
      </c>
      <c r="S47" t="inlineStr">
        <is>
          <t>2025-12-09</t>
        </is>
      </c>
      <c r="U47" s="96" t="n">
        <v>46079</v>
      </c>
      <c r="Y47" t="inlineStr">
        <is>
          <t>2025-10-09</t>
        </is>
      </c>
      <c r="Z47" t="inlineStr">
        <is>
          <t>https://app.hubspot.com/contacts/243046792/record/0-3/182109882068</t>
        </is>
      </c>
      <c r="AA47" t="inlineStr">
        <is>
          <t>No</t>
        </is>
      </c>
    </row>
    <row r="48">
      <c r="A48" t="n">
        <v>51</v>
      </c>
      <c r="B48" t="inlineStr">
        <is>
          <t>209641964265</t>
        </is>
      </c>
      <c r="D48" t="inlineStr">
        <is>
          <t>City of Sunnyvale - Professional and Technical IT Contracting Services for SharePoint Migration</t>
        </is>
      </c>
      <c r="E48" t="inlineStr">
        <is>
          <t>City of Sunnyvale</t>
        </is>
      </c>
      <c r="F48" t="inlineStr">
        <is>
          <t>California</t>
        </is>
      </c>
      <c r="G48" t="inlineStr">
        <is>
          <t>Closed Won</t>
        </is>
      </c>
      <c r="H48" t="inlineStr">
        <is>
          <t>Yes</t>
        </is>
      </c>
      <c r="I48" t="inlineStr">
        <is>
          <t>Interview</t>
        </is>
      </c>
      <c r="J48" s="96" t="n">
        <v>46058</v>
      </c>
      <c r="K48" s="96" t="n">
        <v>45979</v>
      </c>
      <c r="L48" s="65" t="n">
        <v>68400</v>
      </c>
      <c r="M48" t="inlineStr">
        <is>
          <t>Modernization / Migration</t>
        </is>
      </c>
      <c r="O48" t="inlineStr">
        <is>
          <t>Jyothsna Nanda kishore</t>
        </is>
      </c>
      <c r="Q48" t="inlineStr">
        <is>
          <t>2025-12-11</t>
        </is>
      </c>
      <c r="S48" t="inlineStr">
        <is>
          <t>2025-12-30</t>
        </is>
      </c>
      <c r="U48" s="96" t="n">
        <v>46022</v>
      </c>
      <c r="Y48" t="inlineStr">
        <is>
          <t>2025-11-03</t>
        </is>
      </c>
      <c r="Z48" t="inlineStr">
        <is>
          <t>https://app.hubspot.com/contacts/243046792/record/0-3/209641964265</t>
        </is>
      </c>
      <c r="AA48" t="inlineStr">
        <is>
          <t>Yes</t>
        </is>
      </c>
    </row>
    <row r="49">
      <c r="A49" t="n">
        <v>53</v>
      </c>
      <c r="B49" t="inlineStr">
        <is>
          <t>202061536982</t>
        </is>
      </c>
      <c r="D49" t="inlineStr">
        <is>
          <t>New Mexico Finance Authority  (NMFA) - INFORMATION TECHNOLOGY (IT) MANAGED SERVICE PROVIDER AND NETWORK OPERATIONS CENTER (NOC)</t>
        </is>
      </c>
      <c r="E49" t="inlineStr">
        <is>
          <t xml:space="preserve">New Mexico Finance Authority (“NMFA”) </t>
        </is>
      </c>
      <c r="F49" t="inlineStr">
        <is>
          <t>New Mexico</t>
        </is>
      </c>
      <c r="G49" t="inlineStr">
        <is>
          <t>Closed Won</t>
        </is>
      </c>
      <c r="H49" t="inlineStr">
        <is>
          <t>Yes</t>
        </is>
      </c>
      <c r="I49" t="inlineStr">
        <is>
          <t>BAFO</t>
        </is>
      </c>
      <c r="J49" s="96" t="n">
        <v>46142</v>
      </c>
      <c r="K49" s="96" t="n">
        <v>45996</v>
      </c>
      <c r="L49" s="65" t="n">
        <v>351426</v>
      </c>
      <c r="M49" t="inlineStr">
        <is>
          <t>Managed Services (MSP)</t>
        </is>
      </c>
      <c r="N49" t="inlineStr">
        <is>
          <t>Email</t>
        </is>
      </c>
      <c r="O49" t="inlineStr">
        <is>
          <t>Ashutosh Chauhan</t>
        </is>
      </c>
      <c r="P49" t="inlineStr">
        <is>
          <t>Interview Scheduled</t>
        </is>
      </c>
      <c r="Q49" t="inlineStr">
        <is>
          <t>2026-02-13</t>
        </is>
      </c>
      <c r="R49" t="inlineStr">
        <is>
          <t>2026-01-20</t>
        </is>
      </c>
      <c r="S49" t="inlineStr">
        <is>
          <t>2026-02-19</t>
        </is>
      </c>
      <c r="U49" s="96" t="n">
        <v>46141</v>
      </c>
      <c r="Y49" t="inlineStr">
        <is>
          <t>2025-10-28</t>
        </is>
      </c>
      <c r="Z49" t="inlineStr">
        <is>
          <t>https://app.hubspot.com/contacts/243046792/record/0-3/202061536982</t>
        </is>
      </c>
      <c r="AA49" t="inlineStr">
        <is>
          <t>Yes</t>
        </is>
      </c>
    </row>
    <row r="50">
      <c r="A50" t="n">
        <v>54</v>
      </c>
      <c r="B50" t="inlineStr">
        <is>
          <t>231581420260</t>
        </is>
      </c>
      <c r="D50" t="inlineStr">
        <is>
          <t>New Castle County - Information Technology Services</t>
        </is>
      </c>
      <c r="E50" t="inlineStr">
        <is>
          <t>New Castle County</t>
        </is>
      </c>
      <c r="F50" t="inlineStr">
        <is>
          <t>Delaware</t>
        </is>
      </c>
      <c r="G50" t="inlineStr">
        <is>
          <t>Closed Won</t>
        </is>
      </c>
      <c r="H50" t="inlineStr">
        <is>
          <t>No</t>
        </is>
      </c>
      <c r="J50" s="96" t="n">
        <v>46083</v>
      </c>
      <c r="K50" s="96" t="n">
        <v>45999</v>
      </c>
      <c r="M50" t="inlineStr">
        <is>
          <t>Staff Augmentation</t>
        </is>
      </c>
      <c r="N50" t="inlineStr">
        <is>
          <t>Offline</t>
        </is>
      </c>
      <c r="O50" t="inlineStr">
        <is>
          <t>Jyothsna Nanda kishore</t>
        </is>
      </c>
      <c r="S50" t="inlineStr">
        <is>
          <t>2026-02-13</t>
        </is>
      </c>
      <c r="U50" s="96" t="n">
        <v>46066</v>
      </c>
      <c r="Y50" t="inlineStr">
        <is>
          <t>2025-12-02</t>
        </is>
      </c>
      <c r="Z50" t="inlineStr">
        <is>
          <t>https://app.hubspot.com/contacts/243046792/record/0-3/231581420260</t>
        </is>
      </c>
      <c r="AA50" t="inlineStr">
        <is>
          <t>No</t>
        </is>
      </c>
    </row>
    <row r="51">
      <c r="A51" t="n">
        <v>56</v>
      </c>
      <c r="B51" t="inlineStr">
        <is>
          <t>212696339180</t>
        </is>
      </c>
      <c r="C51" t="inlineStr">
        <is>
          <t>AI02-26</t>
        </is>
      </c>
      <c r="D51" t="inlineStr">
        <is>
          <t>Houston-Galveston Area Council - AI Consulting Services</t>
        </is>
      </c>
      <c r="E51" t="inlineStr">
        <is>
          <t>Houston-Galveston Area Council</t>
        </is>
      </c>
      <c r="F51" t="inlineStr">
        <is>
          <t>Texas</t>
        </is>
      </c>
      <c r="G51" t="inlineStr">
        <is>
          <t>Closed Won</t>
        </is>
      </c>
      <c r="H51" t="inlineStr">
        <is>
          <t>No</t>
        </is>
      </c>
      <c r="J51" s="96" t="n">
        <v>46154</v>
      </c>
      <c r="K51" s="96" t="n">
        <v>46009</v>
      </c>
      <c r="M51" t="inlineStr">
        <is>
          <t>Consulting;Staff Augmentation</t>
        </is>
      </c>
      <c r="N51" t="inlineStr">
        <is>
          <t>Portal</t>
        </is>
      </c>
      <c r="O51" t="inlineStr">
        <is>
          <t>Ashutosh Chauhan</t>
        </is>
      </c>
      <c r="S51" t="inlineStr">
        <is>
          <t>2026-04-30</t>
        </is>
      </c>
      <c r="U51" s="96" t="n">
        <v>46119</v>
      </c>
      <c r="Y51" t="inlineStr">
        <is>
          <t>2025-11-10</t>
        </is>
      </c>
      <c r="Z51" t="inlineStr">
        <is>
          <t>https://app.hubspot.com/contacts/243046792/record/0-3/212696339180</t>
        </is>
      </c>
      <c r="AA51" t="inlineStr">
        <is>
          <t>No</t>
        </is>
      </c>
    </row>
    <row r="52">
      <c r="A52" t="n">
        <v>57</v>
      </c>
      <c r="B52" t="inlineStr">
        <is>
          <t>235886616288</t>
        </is>
      </c>
      <c r="D52" t="inlineStr">
        <is>
          <t>LEAD CHARTER SCHOOL - Rebid- Information Technology Services</t>
        </is>
      </c>
      <c r="E52" t="inlineStr">
        <is>
          <t>LEAD CHARTER SCHOOL</t>
        </is>
      </c>
      <c r="F52" t="inlineStr">
        <is>
          <t>New Jersey</t>
        </is>
      </c>
      <c r="G52" t="inlineStr">
        <is>
          <t>Intent to Award</t>
        </is>
      </c>
      <c r="H52" t="inlineStr">
        <is>
          <t>No</t>
        </is>
      </c>
      <c r="J52" s="96" t="n">
        <v>46072</v>
      </c>
      <c r="K52" s="96" t="n">
        <v>46023</v>
      </c>
      <c r="L52" s="65" t="n">
        <v>24750</v>
      </c>
      <c r="M52" t="inlineStr">
        <is>
          <t>Managed Services (MSP)</t>
        </is>
      </c>
      <c r="N52" t="inlineStr">
        <is>
          <t>Offline</t>
        </is>
      </c>
      <c r="O52" t="inlineStr">
        <is>
          <t>Jyothsna Nanda kishore</t>
        </is>
      </c>
      <c r="S52" s="96" t="n">
        <v>46062</v>
      </c>
      <c r="U52" s="96" t="n">
        <v>46062</v>
      </c>
      <c r="Y52" t="inlineStr">
        <is>
          <t>2025-12-09</t>
        </is>
      </c>
      <c r="Z52" t="inlineStr">
        <is>
          <t>https://app.hubspot.com/contacts/243046792/record/0-3/235886616288</t>
        </is>
      </c>
      <c r="AA52" t="inlineStr">
        <is>
          <t>Yes</t>
        </is>
      </c>
    </row>
    <row r="53">
      <c r="A53" t="n">
        <v>58</v>
      </c>
      <c r="B53" t="inlineStr">
        <is>
          <t>235964612297</t>
        </is>
      </c>
      <c r="D53" t="inlineStr">
        <is>
          <t>North Central Texas Council of Governments - AI Governance, Compliance, and Enablement Platform</t>
        </is>
      </c>
      <c r="E53" t="inlineStr">
        <is>
          <t>North Central Texas Council of Governments</t>
        </is>
      </c>
      <c r="F53" t="inlineStr">
        <is>
          <t>TEXAS</t>
        </is>
      </c>
      <c r="G53" t="inlineStr">
        <is>
          <t>Closed Won</t>
        </is>
      </c>
      <c r="H53" t="inlineStr">
        <is>
          <t>No</t>
        </is>
      </c>
      <c r="J53" s="96" t="n">
        <v>46141</v>
      </c>
      <c r="K53" s="96" t="n">
        <v>46038</v>
      </c>
      <c r="M53" t="inlineStr">
        <is>
          <t>Consulting</t>
        </is>
      </c>
      <c r="N53" t="inlineStr">
        <is>
          <t>Portal</t>
        </is>
      </c>
      <c r="O53" t="inlineStr">
        <is>
          <t>Ashutosh Chauhan</t>
        </is>
      </c>
      <c r="S53" t="inlineStr">
        <is>
          <t>2026-03-10</t>
        </is>
      </c>
      <c r="U53" s="96" t="n">
        <v>46148</v>
      </c>
      <c r="V53" t="inlineStr">
        <is>
          <t>Awarded</t>
        </is>
      </c>
      <c r="Y53" t="inlineStr">
        <is>
          <t>2025-12-09</t>
        </is>
      </c>
      <c r="Z53" t="inlineStr">
        <is>
          <t>https://app.hubspot.com/contacts/243046792/record/0-3/235964612297</t>
        </is>
      </c>
      <c r="AA53" t="inlineStr">
        <is>
          <t>No</t>
        </is>
      </c>
    </row>
    <row r="54">
      <c r="A54" t="n">
        <v>59</v>
      </c>
      <c r="B54" t="inlineStr">
        <is>
          <t>225906287352</t>
        </is>
      </c>
      <c r="D54" t="inlineStr">
        <is>
          <t>Insurance Reserve Fund - Small Software Application Development</t>
        </is>
      </c>
      <c r="E54" t="inlineStr">
        <is>
          <t xml:space="preserve">Insurance Reserve Fund </t>
        </is>
      </c>
      <c r="F54" t="inlineStr">
        <is>
          <t>South Carolina</t>
        </is>
      </c>
      <c r="G54" t="inlineStr">
        <is>
          <t>Intent to Award</t>
        </is>
      </c>
      <c r="H54" t="inlineStr">
        <is>
          <t>No</t>
        </is>
      </c>
      <c r="J54" s="96" t="n">
        <v>46048</v>
      </c>
      <c r="K54" s="96" t="n">
        <v>46048</v>
      </c>
      <c r="M54" t="inlineStr">
        <is>
          <t>Staff Augmentation</t>
        </is>
      </c>
      <c r="N54" t="inlineStr">
        <is>
          <t>Portal</t>
        </is>
      </c>
      <c r="O54" t="inlineStr">
        <is>
          <t>Ashutosh Chauhan</t>
        </is>
      </c>
      <c r="S54" s="96" t="n">
        <v>46099</v>
      </c>
      <c r="U54" s="96" t="n">
        <v>46099</v>
      </c>
      <c r="Y54" t="inlineStr">
        <is>
          <t>2025-11-24</t>
        </is>
      </c>
      <c r="Z54" t="inlineStr">
        <is>
          <t>https://app.hubspot.com/contacts/243046792/record/0-3/225906287352</t>
        </is>
      </c>
    </row>
    <row r="55">
      <c r="A55" t="n">
        <v>60</v>
      </c>
      <c r="B55" t="inlineStr">
        <is>
          <t>275926212329</t>
        </is>
      </c>
      <c r="D55" t="inlineStr">
        <is>
          <t>Village of Tinley Park - MICROSOFT OFFICE 365 LICESING</t>
        </is>
      </c>
      <c r="E55" t="inlineStr">
        <is>
          <t>Village of Tinley Park</t>
        </is>
      </c>
      <c r="F55" t="inlineStr">
        <is>
          <t>Illinois</t>
        </is>
      </c>
      <c r="G55" t="inlineStr">
        <is>
          <t>Closed Won</t>
        </is>
      </c>
      <c r="H55" t="inlineStr">
        <is>
          <t>No</t>
        </is>
      </c>
      <c r="J55" s="96" t="n">
        <v>46113</v>
      </c>
      <c r="K55" s="96" t="n">
        <v>46059</v>
      </c>
      <c r="L55" s="65" t="n">
        <v>114400</v>
      </c>
      <c r="M55" t="inlineStr">
        <is>
          <t>Reseller</t>
        </is>
      </c>
      <c r="N55" t="inlineStr">
        <is>
          <t>Offline</t>
        </is>
      </c>
      <c r="O55" t="inlineStr">
        <is>
          <t>Jyothsna Nanda kishore</t>
        </is>
      </c>
      <c r="S55" t="inlineStr">
        <is>
          <t>2026-02-09</t>
        </is>
      </c>
      <c r="U55" s="96" t="n">
        <v>46062</v>
      </c>
      <c r="Y55" t="inlineStr">
        <is>
          <t>2026-01-28</t>
        </is>
      </c>
      <c r="Z55" t="inlineStr">
        <is>
          <t>https://app.hubspot.com/contacts/243046792/record/0-3/275926212329</t>
        </is>
      </c>
      <c r="AA55" t="inlineStr">
        <is>
          <t>No</t>
        </is>
      </c>
    </row>
    <row r="56">
      <c r="A56" t="n">
        <v>61</v>
      </c>
      <c r="B56" t="inlineStr">
        <is>
          <t>267386743501</t>
        </is>
      </c>
      <c r="D56" t="inlineStr">
        <is>
          <t>University of South Carolina - FPB – Direct Placement Staffing Services for IT Positions</t>
        </is>
      </c>
      <c r="E56" t="inlineStr">
        <is>
          <t>University of South Carolina</t>
        </is>
      </c>
      <c r="F56" t="inlineStr">
        <is>
          <t>South Carolina</t>
        </is>
      </c>
      <c r="G56" t="inlineStr">
        <is>
          <t>Closed Won</t>
        </is>
      </c>
      <c r="H56" t="inlineStr">
        <is>
          <t>No</t>
        </is>
      </c>
      <c r="J56" s="96" t="n">
        <v>46120</v>
      </c>
      <c r="K56" s="96" t="n">
        <v>46059</v>
      </c>
      <c r="M56" t="inlineStr">
        <is>
          <t>Staff Augmentation</t>
        </is>
      </c>
      <c r="N56" t="inlineStr">
        <is>
          <t>Portal</t>
        </is>
      </c>
      <c r="O56" t="inlineStr">
        <is>
          <t>Jyothsna Nanda kishore</t>
        </is>
      </c>
      <c r="S56" t="inlineStr">
        <is>
          <t>2026-02-26</t>
        </is>
      </c>
      <c r="U56" s="96" t="n">
        <v>46079</v>
      </c>
      <c r="Y56" t="inlineStr">
        <is>
          <t>2026-01-20</t>
        </is>
      </c>
      <c r="Z56" t="inlineStr">
        <is>
          <t>https://app.hubspot.com/contacts/243046792/record/0-3/267386743501</t>
        </is>
      </c>
      <c r="AA56" t="inlineStr">
        <is>
          <t>No</t>
        </is>
      </c>
    </row>
    <row r="57">
      <c r="A57" t="n">
        <v>62</v>
      </c>
      <c r="B57" t="inlineStr">
        <is>
          <t>277951244006</t>
        </is>
      </c>
      <c r="D57" t="inlineStr">
        <is>
          <t>City of Kenai - IT Disaster Response Plan</t>
        </is>
      </c>
      <c r="E57" t="inlineStr">
        <is>
          <t>City of Kenai</t>
        </is>
      </c>
      <c r="F57" t="inlineStr">
        <is>
          <t>Alaska</t>
        </is>
      </c>
      <c r="G57" t="inlineStr">
        <is>
          <t>Closed Won</t>
        </is>
      </c>
      <c r="H57" t="inlineStr">
        <is>
          <t>No</t>
        </is>
      </c>
      <c r="J57" s="96" t="n">
        <v>46097</v>
      </c>
      <c r="K57" s="96" t="n">
        <v>46065</v>
      </c>
      <c r="L57" s="65" t="n">
        <v>16800</v>
      </c>
      <c r="M57" t="inlineStr">
        <is>
          <t>Consulting</t>
        </is>
      </c>
      <c r="N57" t="inlineStr">
        <is>
          <t>Offline</t>
        </is>
      </c>
      <c r="O57" t="inlineStr">
        <is>
          <t>Abhishek Zalani</t>
        </is>
      </c>
      <c r="S57" t="inlineStr">
        <is>
          <t>2026-02-24</t>
        </is>
      </c>
      <c r="U57" s="96" t="n">
        <v>46100</v>
      </c>
      <c r="V57" t="inlineStr">
        <is>
          <t>Awarded</t>
        </is>
      </c>
      <c r="Y57" t="inlineStr">
        <is>
          <t>2026-01-29</t>
        </is>
      </c>
      <c r="Z57" t="inlineStr">
        <is>
          <t>https://app.hubspot.com/contacts/243046792/record/0-3/277951244006</t>
        </is>
      </c>
      <c r="AA57" t="inlineStr">
        <is>
          <t>Yes</t>
        </is>
      </c>
    </row>
    <row r="58">
      <c r="A58" t="n">
        <v>63</v>
      </c>
      <c r="B58" t="inlineStr">
        <is>
          <t>285814477558</t>
        </is>
      </c>
      <c r="D58" t="inlineStr">
        <is>
          <t>City of Long Beach - RFQ - 1400 Long Beach Cybersecurity Grant Program</t>
        </is>
      </c>
      <c r="E58" t="inlineStr">
        <is>
          <t>City of Long Beach</t>
        </is>
      </c>
      <c r="F58" t="inlineStr">
        <is>
          <t>California</t>
        </is>
      </c>
      <c r="G58" t="inlineStr">
        <is>
          <t>Closed Won</t>
        </is>
      </c>
      <c r="H58" t="inlineStr">
        <is>
          <t>No</t>
        </is>
      </c>
      <c r="J58" s="96" t="n">
        <v>46113</v>
      </c>
      <c r="K58" s="96" t="n">
        <v>46079</v>
      </c>
      <c r="L58" s="65" t="n">
        <v>123785</v>
      </c>
      <c r="M58" t="inlineStr">
        <is>
          <t>Audits and Assessment</t>
        </is>
      </c>
      <c r="N58" t="inlineStr">
        <is>
          <t>Portal</t>
        </is>
      </c>
      <c r="O58" t="inlineStr">
        <is>
          <t>Jyothsna Nanda kishore</t>
        </is>
      </c>
      <c r="S58" t="inlineStr">
        <is>
          <t>2026-03-12</t>
        </is>
      </c>
      <c r="U58" s="96" t="n">
        <v>46084</v>
      </c>
      <c r="Y58" t="inlineStr">
        <is>
          <t>2026-02-04</t>
        </is>
      </c>
      <c r="Z58" t="inlineStr">
        <is>
          <t>https://app.hubspot.com/contacts/243046792/record/0-3/285814477558</t>
        </is>
      </c>
      <c r="AA58" t="inlineStr">
        <is>
          <t>Yes</t>
        </is>
      </c>
    </row>
    <row r="59">
      <c r="A59" t="n">
        <v>64</v>
      </c>
      <c r="B59" t="inlineStr">
        <is>
          <t>290824554187</t>
        </is>
      </c>
      <c r="D59" t="inlineStr">
        <is>
          <t>Navajo Housing Authority - Cybersecurity Policy and Protocol Consultant Services</t>
        </is>
      </c>
      <c r="E59" t="inlineStr">
        <is>
          <t>Navajo Housing Authority</t>
        </is>
      </c>
      <c r="F59" t="inlineStr">
        <is>
          <t>Arizona</t>
        </is>
      </c>
      <c r="G59" t="inlineStr">
        <is>
          <t>Closed Won</t>
        </is>
      </c>
      <c r="H59" t="inlineStr">
        <is>
          <t>No</t>
        </is>
      </c>
      <c r="J59" s="96" t="n">
        <v>46097</v>
      </c>
      <c r="K59" s="96" t="n">
        <v>46080</v>
      </c>
      <c r="L59" s="65" t="n">
        <v>7825</v>
      </c>
      <c r="M59" t="inlineStr">
        <is>
          <t>Consulting</t>
        </is>
      </c>
      <c r="N59" t="inlineStr">
        <is>
          <t>Email</t>
        </is>
      </c>
      <c r="O59" t="inlineStr">
        <is>
          <t>Savya Atrey</t>
        </is>
      </c>
      <c r="S59" t="inlineStr">
        <is>
          <t>2026-03-30</t>
        </is>
      </c>
      <c r="U59" s="96" t="n">
        <v>46097</v>
      </c>
      <c r="V59" t="inlineStr">
        <is>
          <t>Awarded</t>
        </is>
      </c>
      <c r="Y59" t="inlineStr">
        <is>
          <t>2026-02-09</t>
        </is>
      </c>
      <c r="Z59" t="inlineStr">
        <is>
          <t>https://app.hubspot.com/contacts/243046792/record/0-3/290824554187</t>
        </is>
      </c>
      <c r="AA59" t="inlineStr">
        <is>
          <t>Yes</t>
        </is>
      </c>
    </row>
    <row r="60">
      <c r="A60" t="n">
        <v>65</v>
      </c>
      <c r="B60" t="inlineStr">
        <is>
          <t>305108054745</t>
        </is>
      </c>
      <c r="D60" t="inlineStr">
        <is>
          <t>City of Stamford - Technology Data Architect Services</t>
        </is>
      </c>
      <c r="E60" t="inlineStr">
        <is>
          <t>City of Stamford</t>
        </is>
      </c>
      <c r="F60" t="inlineStr">
        <is>
          <t>Connecticut</t>
        </is>
      </c>
      <c r="G60" t="inlineStr">
        <is>
          <t>Closed Won</t>
        </is>
      </c>
      <c r="H60" t="inlineStr">
        <is>
          <t>Yes</t>
        </is>
      </c>
      <c r="I60" t="inlineStr">
        <is>
          <t>Interview</t>
        </is>
      </c>
      <c r="J60" s="96" t="n">
        <v>46135</v>
      </c>
      <c r="K60" s="96" t="n">
        <v>46093</v>
      </c>
      <c r="L60" s="65" t="n">
        <v>47775</v>
      </c>
      <c r="M60" t="inlineStr">
        <is>
          <t>Consulting;Staff Augmentation</t>
        </is>
      </c>
      <c r="N60" t="inlineStr">
        <is>
          <t>Portal</t>
        </is>
      </c>
      <c r="O60" t="inlineStr">
        <is>
          <t>Savya Atrey</t>
        </is>
      </c>
      <c r="P60" t="inlineStr">
        <is>
          <t>Interview Scheduled</t>
        </is>
      </c>
      <c r="Q60" t="inlineStr">
        <is>
          <t>2026-04-20</t>
        </is>
      </c>
      <c r="S60" t="inlineStr">
        <is>
          <t>2026-04-22</t>
        </is>
      </c>
      <c r="U60" s="96" t="n">
        <v>46142</v>
      </c>
      <c r="Y60" t="inlineStr">
        <is>
          <t>2026-02-24</t>
        </is>
      </c>
      <c r="Z60" t="inlineStr">
        <is>
          <t>https://app.hubspot.com/contacts/243046792/record/0-3/305108054745</t>
        </is>
      </c>
      <c r="AA60" t="inlineStr">
        <is>
          <t>Yes</t>
        </is>
      </c>
    </row>
    <row r="61">
      <c r="A61" t="n">
        <v>66</v>
      </c>
      <c r="B61" t="inlineStr">
        <is>
          <t>323517591239</t>
        </is>
      </c>
      <c r="D61" t="inlineStr">
        <is>
          <t>Community Action Partnership of Kern - CAPK SOW 1 + AI Training</t>
        </is>
      </c>
      <c r="E61" t="inlineStr">
        <is>
          <t>Community Action Partnership of Kern</t>
        </is>
      </c>
      <c r="F61" t="inlineStr">
        <is>
          <t>California</t>
        </is>
      </c>
      <c r="G61" t="inlineStr">
        <is>
          <t>Closed Won</t>
        </is>
      </c>
      <c r="H61" t="inlineStr">
        <is>
          <t>No</t>
        </is>
      </c>
      <c r="J61" s="96" t="n">
        <v>46296</v>
      </c>
      <c r="K61" s="96" t="n">
        <v>46115</v>
      </c>
      <c r="L61" t="n">
        <v>35756.1</v>
      </c>
      <c r="M61" t="inlineStr">
        <is>
          <t>Consulting;Managed Services (MSP)</t>
        </is>
      </c>
      <c r="O61" t="inlineStr">
        <is>
          <t>Ashutosh Chauhan</t>
        </is>
      </c>
      <c r="S61" s="96" t="n">
        <v>46156</v>
      </c>
      <c r="U61" s="96" t="n">
        <v>46156</v>
      </c>
      <c r="Y61" t="inlineStr">
        <is>
          <t>2026-05-04</t>
        </is>
      </c>
      <c r="Z61" t="inlineStr">
        <is>
          <t>https://app.hubspot.com/contacts/243046792/record/0-3/323517591239</t>
        </is>
      </c>
    </row>
    <row r="62">
      <c r="A62" t="n">
        <v>67</v>
      </c>
      <c r="B62" t="inlineStr">
        <is>
          <t>323528390341</t>
        </is>
      </c>
      <c r="D62" t="inlineStr">
        <is>
          <t>New Mexico Finance Authority (NMFA) - IT MSP &amp; NOC NMFA Additional SOW</t>
        </is>
      </c>
      <c r="E62" t="inlineStr">
        <is>
          <t xml:space="preserve">New Mexico Finance Authority (“NMFA”) </t>
        </is>
      </c>
      <c r="F62" t="inlineStr">
        <is>
          <t>New Mexico</t>
        </is>
      </c>
      <c r="G62" t="inlineStr">
        <is>
          <t>Closed Won</t>
        </is>
      </c>
      <c r="H62" t="inlineStr">
        <is>
          <t>No</t>
        </is>
      </c>
      <c r="J62" s="96" t="n">
        <v>46184</v>
      </c>
      <c r="K62" s="96" t="n">
        <v>46134</v>
      </c>
      <c r="L62" s="65" t="n">
        <v>67440</v>
      </c>
      <c r="M62" t="inlineStr">
        <is>
          <t>Managed Services (MSP)</t>
        </is>
      </c>
      <c r="O62" t="inlineStr">
        <is>
          <t>Ashutosh Chauhan</t>
        </is>
      </c>
      <c r="S62" t="inlineStr">
        <is>
          <t>2026-05-04</t>
        </is>
      </c>
      <c r="U62" t="inlineStr">
        <is>
          <t>2026-06-09</t>
        </is>
      </c>
      <c r="Y62" t="inlineStr">
        <is>
          <t>2026-05-04</t>
        </is>
      </c>
      <c r="Z62" t="inlineStr">
        <is>
          <t>https://app.hubspot.com/contacts/243046792/record/0-3/323528390341</t>
        </is>
      </c>
    </row>
    <row r="63">
      <c r="A63" t="n">
        <v>68</v>
      </c>
      <c r="B63" t="inlineStr">
        <is>
          <t>320213008064</t>
        </is>
      </c>
      <c r="D63" t="inlineStr">
        <is>
          <t>Alaska Department of Administration - ONLINE WEB-BASED TRAINING</t>
        </is>
      </c>
      <c r="E63" t="inlineStr">
        <is>
          <t>Alaska Department of Administration</t>
        </is>
      </c>
      <c r="F63" t="inlineStr">
        <is>
          <t>Alaska</t>
        </is>
      </c>
      <c r="G63" t="inlineStr">
        <is>
          <t>Closed Won</t>
        </is>
      </c>
      <c r="H63" t="inlineStr">
        <is>
          <t>No</t>
        </is>
      </c>
      <c r="J63" s="96" t="n">
        <v>46191</v>
      </c>
      <c r="K63" s="96" t="n">
        <v>46139</v>
      </c>
      <c r="L63" s="65" t="n">
        <v>37800</v>
      </c>
      <c r="M63" t="inlineStr">
        <is>
          <t>Training</t>
        </is>
      </c>
      <c r="O63" t="inlineStr">
        <is>
          <t>Jyothsna Nanda kishore</t>
        </is>
      </c>
      <c r="S63" t="inlineStr">
        <is>
          <t>2026-04-30</t>
        </is>
      </c>
      <c r="U63" t="inlineStr">
        <is>
          <t>2026-04-30</t>
        </is>
      </c>
      <c r="Y63" t="inlineStr">
        <is>
          <t>2026-04-09</t>
        </is>
      </c>
      <c r="Z63" t="inlineStr">
        <is>
          <t>https://app.hubspot.com/contacts/243046792/record/0-3/320213008064</t>
        </is>
      </c>
      <c r="AA63" t="inlineStr">
        <is>
          <t>Yes</t>
        </is>
      </c>
    </row>
    <row r="64">
      <c r="A64" t="n">
        <v>69</v>
      </c>
      <c r="B64" t="inlineStr">
        <is>
          <t>325724065471</t>
        </is>
      </c>
      <c r="D64" t="inlineStr">
        <is>
          <t>Kodiak Island Borough - Test Environment Configuration Services</t>
        </is>
      </c>
      <c r="E64" t="inlineStr">
        <is>
          <t>Kodiak Island Borough</t>
        </is>
      </c>
      <c r="F64" t="inlineStr">
        <is>
          <t>Alaska</t>
        </is>
      </c>
      <c r="G64" t="inlineStr">
        <is>
          <t>Closed Won</t>
        </is>
      </c>
      <c r="H64" t="inlineStr">
        <is>
          <t>No</t>
        </is>
      </c>
      <c r="J64" s="96" t="n">
        <v>46231</v>
      </c>
      <c r="K64" s="96" t="n">
        <v>46168</v>
      </c>
      <c r="L64" s="65" t="n">
        <v>14280</v>
      </c>
      <c r="M64" t="inlineStr">
        <is>
          <t>Modernization / Migration</t>
        </is>
      </c>
      <c r="N64" t="inlineStr">
        <is>
          <t>Email</t>
        </is>
      </c>
      <c r="O64" t="inlineStr">
        <is>
          <t>Ashutosh Chauhan</t>
        </is>
      </c>
      <c r="S64" s="96" t="n">
        <v>46181</v>
      </c>
      <c r="U64" s="96" t="n">
        <v>46227</v>
      </c>
      <c r="Y64" s="96" t="n">
        <v>46161</v>
      </c>
      <c r="Z64" t="inlineStr">
        <is>
          <t>https://app.hubspot.com/contacts/243046792/record/0-3/325724065471</t>
        </is>
      </c>
    </row>
    <row r="65">
      <c r="A65" t="n">
        <v>70</v>
      </c>
      <c r="B65" t="inlineStr">
        <is>
          <t>116977709757</t>
        </is>
      </c>
      <c r="C65" t="inlineStr">
        <is>
          <t>RCA-017-25010066</t>
        </is>
      </c>
      <c r="D65" t="inlineStr">
        <is>
          <t>Orange County - ON-LINE MARKETPLACE FOR CLOUD SERVICES AND SOFTWARE</t>
        </is>
      </c>
      <c r="E65" t="inlineStr">
        <is>
          <t>Orange County</t>
        </is>
      </c>
      <c r="F65" t="inlineStr">
        <is>
          <t>California</t>
        </is>
      </c>
      <c r="G65" t="inlineStr">
        <is>
          <t>Closed Won</t>
        </is>
      </c>
      <c r="H65" t="inlineStr">
        <is>
          <t>No</t>
        </is>
      </c>
      <c r="J65" s="96" t="n">
        <v>45575</v>
      </c>
      <c r="K65" s="96" t="n">
        <v>45575</v>
      </c>
      <c r="L65" t="n">
        <v>0</v>
      </c>
      <c r="M65" t="inlineStr">
        <is>
          <t>Consulting;Reseller</t>
        </is>
      </c>
      <c r="O65" t="inlineStr">
        <is>
          <t>Ashutosh Chauhan</t>
        </is>
      </c>
      <c r="S65" t="inlineStr">
        <is>
          <t>2025-01-09</t>
        </is>
      </c>
      <c r="U65" s="96" t="n">
        <v>45688</v>
      </c>
      <c r="Y65" t="inlineStr">
        <is>
          <t>2025-07-10</t>
        </is>
      </c>
      <c r="Z65" t="inlineStr">
        <is>
          <t>https://app.hubspot.com/contacts/243046792/record/0-3/116977709757</t>
        </is>
      </c>
      <c r="AA65" t="inlineStr">
        <is>
          <t>No</t>
        </is>
      </c>
    </row>
    <row r="66">
      <c r="A66" t="n">
        <v>71</v>
      </c>
      <c r="B66" t="inlineStr">
        <is>
          <t>116977709771</t>
        </is>
      </c>
      <c r="C66" t="inlineStr">
        <is>
          <t>RFP-25-0005</t>
        </is>
      </c>
      <c r="D66" t="inlineStr">
        <is>
          <t>NEIGHBORWORKS AMERICA - IT SERVICES (SOW)</t>
        </is>
      </c>
      <c r="E66" t="inlineStr">
        <is>
          <t>NeighborWorks America</t>
        </is>
      </c>
      <c r="F66" t="inlineStr">
        <is>
          <t>Washington, D.C.</t>
        </is>
      </c>
      <c r="G66" t="inlineStr">
        <is>
          <t>Closed Won</t>
        </is>
      </c>
      <c r="H66" t="inlineStr">
        <is>
          <t>No</t>
        </is>
      </c>
      <c r="J66" s="96" t="n">
        <v>45631</v>
      </c>
      <c r="K66" s="96" t="n">
        <v>45631</v>
      </c>
      <c r="M66" t="inlineStr">
        <is>
          <t>Staff Augmentation</t>
        </is>
      </c>
      <c r="O66" t="inlineStr">
        <is>
          <t>Amber Soni</t>
        </is>
      </c>
      <c r="S66" t="inlineStr">
        <is>
          <t>2025-04-09</t>
        </is>
      </c>
      <c r="U66" s="96" t="n">
        <v>45840</v>
      </c>
      <c r="Y66" t="inlineStr">
        <is>
          <t>2025-07-10</t>
        </is>
      </c>
      <c r="Z66" t="inlineStr">
        <is>
          <t>https://app.hubspot.com/contacts/243046792/record/0-3/116977709771</t>
        </is>
      </c>
      <c r="AA66" t="inlineStr">
        <is>
          <t>No</t>
        </is>
      </c>
    </row>
    <row r="67">
      <c r="A67" t="n">
        <v>72</v>
      </c>
      <c r="B67" t="inlineStr">
        <is>
          <t>116977709756</t>
        </is>
      </c>
      <c r="D67" t="inlineStr">
        <is>
          <t>Hazelwood School District - Hazelwood Information Technology Audit Services</t>
        </is>
      </c>
      <c r="E67" t="inlineStr">
        <is>
          <t>Hazelwood School District</t>
        </is>
      </c>
      <c r="F67" t="inlineStr">
        <is>
          <t>Missouri</t>
        </is>
      </c>
      <c r="G67" t="inlineStr">
        <is>
          <t>Closed Won</t>
        </is>
      </c>
      <c r="H67" t="inlineStr">
        <is>
          <t>No</t>
        </is>
      </c>
      <c r="J67" s="96" t="n">
        <v>45713</v>
      </c>
      <c r="K67" s="96" t="n">
        <v>45713</v>
      </c>
      <c r="L67" s="65" t="n">
        <v>48500</v>
      </c>
      <c r="M67" t="inlineStr">
        <is>
          <t>Audits and Assessment</t>
        </is>
      </c>
      <c r="O67" t="inlineStr">
        <is>
          <t>Yashaswini Gautam</t>
        </is>
      </c>
      <c r="S67" t="inlineStr">
        <is>
          <t>2025-04-28</t>
        </is>
      </c>
      <c r="U67" s="96" t="n">
        <v>45783</v>
      </c>
      <c r="V67" t="inlineStr">
        <is>
          <t>In Process</t>
        </is>
      </c>
      <c r="Y67" t="inlineStr">
        <is>
          <t>2025-07-10</t>
        </is>
      </c>
      <c r="Z67" t="inlineStr">
        <is>
          <t>https://app.hubspot.com/contacts/243046792/record/0-3/116977709756</t>
        </is>
      </c>
      <c r="AA67" t="inlineStr">
        <is>
          <t>Yes</t>
        </is>
      </c>
    </row>
    <row r="68">
      <c r="A68" t="n">
        <v>73</v>
      </c>
      <c r="B68" t="inlineStr">
        <is>
          <t>269389012723</t>
        </is>
      </c>
      <c r="C68" t="inlineStr">
        <is>
          <t>COVB-25-101486</t>
        </is>
      </c>
      <c r="D68" t="inlineStr">
        <is>
          <t>City of Virginia Beach - IT Services</t>
        </is>
      </c>
      <c r="E68" t="inlineStr">
        <is>
          <t xml:space="preserve">City of Virginia Beach </t>
        </is>
      </c>
      <c r="F68" t="inlineStr">
        <is>
          <t>Virginia</t>
        </is>
      </c>
      <c r="G68" t="inlineStr">
        <is>
          <t>Closed Won</t>
        </is>
      </c>
      <c r="H68" t="inlineStr">
        <is>
          <t>No</t>
        </is>
      </c>
      <c r="J68" s="96" t="n">
        <v>45713</v>
      </c>
      <c r="K68" s="96" t="n">
        <v>45713</v>
      </c>
      <c r="L68" t="n">
        <v>0</v>
      </c>
      <c r="M68" t="inlineStr">
        <is>
          <t>Staff Augmentation</t>
        </is>
      </c>
      <c r="O68" t="inlineStr">
        <is>
          <t>Ashutosh Chauhan</t>
        </is>
      </c>
      <c r="S68" t="inlineStr">
        <is>
          <t>2026-01-13</t>
        </is>
      </c>
      <c r="U68" s="96" t="n">
        <v>46147</v>
      </c>
      <c r="Y68" t="inlineStr">
        <is>
          <t>2026-01-20</t>
        </is>
      </c>
      <c r="Z68" t="inlineStr">
        <is>
          <t>https://app.hubspot.com/contacts/243046792/record/0-3/269389012723</t>
        </is>
      </c>
      <c r="AA68" t="inlineStr">
        <is>
          <t>No</t>
        </is>
      </c>
    </row>
    <row r="69">
      <c r="A69" t="n">
        <v>75</v>
      </c>
      <c r="B69" t="inlineStr">
        <is>
          <t>127590445803</t>
        </is>
      </c>
      <c r="D69" t="inlineStr">
        <is>
          <t>Roswell Park Comprehensive Cancer Centre - IT Staffing and Professional Services</t>
        </is>
      </c>
      <c r="E69" t="inlineStr">
        <is>
          <t>Roswell Park Comprehensive Cancer Centre</t>
        </is>
      </c>
      <c r="F69" t="inlineStr">
        <is>
          <t>New York</t>
        </is>
      </c>
      <c r="G69" t="inlineStr">
        <is>
          <t>Closed Won</t>
        </is>
      </c>
      <c r="H69" t="inlineStr">
        <is>
          <t>No</t>
        </is>
      </c>
      <c r="J69" s="96" t="n">
        <v>45469</v>
      </c>
      <c r="K69" s="96" t="n">
        <v>45485</v>
      </c>
      <c r="M69" t="inlineStr">
        <is>
          <t>Consulting;Staff Augmentation</t>
        </is>
      </c>
      <c r="O69" t="inlineStr">
        <is>
          <t>Madhav Mitruka</t>
        </is>
      </c>
      <c r="S69" t="inlineStr">
        <is>
          <t>2025-01-09</t>
        </is>
      </c>
      <c r="U69" s="96" t="n">
        <v>45706</v>
      </c>
      <c r="Y69" t="inlineStr">
        <is>
          <t>2025-07-23</t>
        </is>
      </c>
      <c r="Z69" t="inlineStr">
        <is>
          <t>https://app.hubspot.com/contacts/243046792/record/0-3/127590445803</t>
        </is>
      </c>
      <c r="AA69" t="inlineStr">
        <is>
          <t>No</t>
        </is>
      </c>
    </row>
    <row r="70">
      <c r="A70" t="n">
        <v>76</v>
      </c>
      <c r="B70" t="inlineStr">
        <is>
          <t>123670192881</t>
        </is>
      </c>
      <c r="C70" t="inlineStr">
        <is>
          <t>24-31</t>
        </is>
      </c>
      <c r="D70" t="inlineStr">
        <is>
          <t>Arapahoe County - IT RECRUITMENT AND STAFFING</t>
        </is>
      </c>
      <c r="E70" t="inlineStr">
        <is>
          <t>Arapahoe County</t>
        </is>
      </c>
      <c r="F70" t="inlineStr">
        <is>
          <t>Colorado</t>
        </is>
      </c>
      <c r="G70" t="inlineStr">
        <is>
          <t>Closed Won</t>
        </is>
      </c>
      <c r="H70" t="inlineStr">
        <is>
          <t>No</t>
        </is>
      </c>
      <c r="J70" s="96" t="n">
        <v>45609</v>
      </c>
      <c r="M70" t="inlineStr">
        <is>
          <t>Staff Augmentation</t>
        </is>
      </c>
      <c r="O70" t="inlineStr">
        <is>
          <t>Jyothsna Nanda kishore</t>
        </is>
      </c>
      <c r="S70" t="inlineStr">
        <is>
          <t>2025-01-29</t>
        </is>
      </c>
      <c r="U70" s="96" t="n">
        <v>45775</v>
      </c>
      <c r="Y70" t="inlineStr">
        <is>
          <t>2025-07-18</t>
        </is>
      </c>
      <c r="Z70" t="inlineStr">
        <is>
          <t>https://app.hubspot.com/contacts/243046792/record/0-3/123670192881</t>
        </is>
      </c>
      <c r="AA70" t="inlineStr">
        <is>
          <t>No</t>
        </is>
      </c>
    </row>
    <row r="71">
      <c r="A71" t="n">
        <v>77</v>
      </c>
      <c r="B71" t="inlineStr">
        <is>
          <t>114864632551</t>
        </is>
      </c>
      <c r="C71" t="inlineStr">
        <is>
          <t>F25-077</t>
        </is>
      </c>
      <c r="D71" t="inlineStr">
        <is>
          <t>City of Sunnyvale - Group 4, Software/Application/Database Development, Business Requirements Analysis, and Integration Services</t>
        </is>
      </c>
      <c r="E71" t="inlineStr">
        <is>
          <t>City of Sunnyvale</t>
        </is>
      </c>
      <c r="F71" t="inlineStr">
        <is>
          <t>California</t>
        </is>
      </c>
      <c r="G71" t="inlineStr">
        <is>
          <t>Closed Won</t>
        </is>
      </c>
      <c r="H71" t="inlineStr">
        <is>
          <t>No</t>
        </is>
      </c>
      <c r="J71" s="96" t="n">
        <v>45610</v>
      </c>
      <c r="M71" t="inlineStr">
        <is>
          <t>Staff Augmentation</t>
        </is>
      </c>
      <c r="N71" t="inlineStr">
        <is>
          <t>Email</t>
        </is>
      </c>
      <c r="O71" t="inlineStr">
        <is>
          <t>Jyothsna Nanda kishore</t>
        </is>
      </c>
      <c r="S71" t="inlineStr">
        <is>
          <t>2025-02-18</t>
        </is>
      </c>
      <c r="U71" s="96" t="n">
        <v>45706</v>
      </c>
      <c r="Y71" t="inlineStr">
        <is>
          <t>2025-07-09</t>
        </is>
      </c>
      <c r="Z71" t="inlineStr">
        <is>
          <t>https://app.hubspot.com/contacts/243046792/record/0-3/114864632551</t>
        </is>
      </c>
      <c r="AA71" t="inlineStr">
        <is>
          <t>No</t>
        </is>
      </c>
    </row>
    <row r="72">
      <c r="A72" t="n">
        <v>78</v>
      </c>
      <c r="B72" t="inlineStr">
        <is>
          <t>127678196421</t>
        </is>
      </c>
      <c r="C72" t="inlineStr">
        <is>
          <t>RFQ 24 - 00332</t>
        </is>
      </c>
      <c r="D72" t="inlineStr">
        <is>
          <t>HRT - Workday HCM Staffing Services</t>
        </is>
      </c>
      <c r="E72" t="inlineStr">
        <is>
          <t>Hampton Roads Transit</t>
        </is>
      </c>
      <c r="F72" t="inlineStr">
        <is>
          <t>Virginia</t>
        </is>
      </c>
      <c r="G72" t="inlineStr">
        <is>
          <t>Closed Won</t>
        </is>
      </c>
      <c r="H72" t="inlineStr">
        <is>
          <t>Yes</t>
        </is>
      </c>
      <c r="I72" t="inlineStr">
        <is>
          <t>Interview</t>
        </is>
      </c>
      <c r="J72" s="96" t="n">
        <v>45685</v>
      </c>
      <c r="L72" s="65" t="n">
        <v>10000</v>
      </c>
      <c r="M72" t="inlineStr">
        <is>
          <t>Staff Augmentation</t>
        </is>
      </c>
      <c r="O72" t="inlineStr">
        <is>
          <t>Arshdeep Kaur</t>
        </is>
      </c>
      <c r="P72" t="inlineStr">
        <is>
          <t>Interview Scheduled</t>
        </is>
      </c>
      <c r="Q72" t="inlineStr">
        <is>
          <t>2025-02-07</t>
        </is>
      </c>
      <c r="S72" t="inlineStr">
        <is>
          <t>2025-02-25</t>
        </is>
      </c>
      <c r="U72" s="96" t="n">
        <v>45715</v>
      </c>
      <c r="V72" t="inlineStr">
        <is>
          <t>In Process</t>
        </is>
      </c>
      <c r="Y72" t="inlineStr">
        <is>
          <t>2025-07-23</t>
        </is>
      </c>
      <c r="Z72" t="inlineStr">
        <is>
          <t>https://app.hubspot.com/contacts/243046792/record/0-3/127678196421</t>
        </is>
      </c>
      <c r="AA72" t="inlineStr">
        <is>
          <t>Yes</t>
        </is>
      </c>
    </row>
    <row r="73">
      <c r="A73" t="n">
        <v>79</v>
      </c>
      <c r="B73" t="inlineStr">
        <is>
          <t>127590445777</t>
        </is>
      </c>
      <c r="D73" t="inlineStr">
        <is>
          <t>State of South Dakota Department of Social Services - Temporary Professional Staff Services 2</t>
        </is>
      </c>
      <c r="E73" t="inlineStr">
        <is>
          <t>State of South Dakota Department of Social Services</t>
        </is>
      </c>
      <c r="F73" t="inlineStr">
        <is>
          <t>South Dakota</t>
        </is>
      </c>
      <c r="G73" t="inlineStr">
        <is>
          <t>Closed Won</t>
        </is>
      </c>
      <c r="H73" t="inlineStr">
        <is>
          <t>No</t>
        </is>
      </c>
      <c r="J73" s="96" t="n">
        <v>45729</v>
      </c>
      <c r="K73" s="96" t="n">
        <v>45729</v>
      </c>
      <c r="M73" t="inlineStr">
        <is>
          <t>Staff Augmentation</t>
        </is>
      </c>
      <c r="O73" t="inlineStr">
        <is>
          <t>Madhav Mitruka</t>
        </is>
      </c>
      <c r="S73" t="inlineStr">
        <is>
          <t>2025-04-21</t>
        </is>
      </c>
      <c r="U73" s="96" t="n">
        <v>45846</v>
      </c>
      <c r="Y73" t="inlineStr">
        <is>
          <t>2025-07-23</t>
        </is>
      </c>
      <c r="Z73" t="inlineStr">
        <is>
          <t>https://app.hubspot.com/contacts/243046792/record/0-3/127590445777</t>
        </is>
      </c>
      <c r="AA73" t="inlineStr">
        <is>
          <t>No</t>
        </is>
      </c>
    </row>
    <row r="74">
      <c r="A74" t="n">
        <v>80</v>
      </c>
      <c r="B74" t="inlineStr">
        <is>
          <t>142851074788</t>
        </is>
      </c>
      <c r="C74" t="inlineStr">
        <is>
          <t>RFQ-DH-1394</t>
        </is>
      </c>
      <c r="D74" t="inlineStr">
        <is>
          <t>Metropolitan Water District of Southern California - ON-CALL INFORMATION TECHNOLOGY INFRASTRUCTURE SERVICES</t>
        </is>
      </c>
      <c r="E74" t="inlineStr">
        <is>
          <t>Metropolitan Water District of Southern California</t>
        </is>
      </c>
      <c r="F74" t="inlineStr">
        <is>
          <t>California</t>
        </is>
      </c>
      <c r="G74" t="inlineStr">
        <is>
          <t>Closed Won</t>
        </is>
      </c>
      <c r="H74" t="inlineStr">
        <is>
          <t>No</t>
        </is>
      </c>
      <c r="J74" s="96" t="n">
        <v>45743</v>
      </c>
      <c r="M74" t="inlineStr">
        <is>
          <t>Staff Augmentation</t>
        </is>
      </c>
      <c r="N74" t="inlineStr">
        <is>
          <t>Portal</t>
        </is>
      </c>
      <c r="O74" t="inlineStr">
        <is>
          <t>Jyothsna Nanda kishore</t>
        </is>
      </c>
      <c r="S74" t="inlineStr">
        <is>
          <t>2025-07-25</t>
        </is>
      </c>
      <c r="U74" s="96" t="n">
        <v>45863</v>
      </c>
      <c r="Y74" t="inlineStr">
        <is>
          <t>2025-08-19</t>
        </is>
      </c>
      <c r="Z74" t="inlineStr">
        <is>
          <t>https://app.hubspot.com/contacts/243046792/record/0-3/142851074788</t>
        </is>
      </c>
      <c r="AA74" t="inlineStr">
        <is>
          <t>No</t>
        </is>
      </c>
    </row>
    <row r="75">
      <c r="A75" t="n">
        <v>81</v>
      </c>
      <c r="B75" t="inlineStr">
        <is>
          <t>132776626904</t>
        </is>
      </c>
      <c r="D75" t="inlineStr">
        <is>
          <t>Metropolitan Water District of Southern California - ON-CALL INFORMATION TECHNOLOGY (IT) APPLICATION SUPPORT SERVICES (RFQ-DS-1397)</t>
        </is>
      </c>
      <c r="E75" t="inlineStr">
        <is>
          <t>Metropolitan Water District of Southern California</t>
        </is>
      </c>
      <c r="F75" t="inlineStr">
        <is>
          <t>California</t>
        </is>
      </c>
      <c r="G75" t="inlineStr">
        <is>
          <t>Closed Won</t>
        </is>
      </c>
      <c r="H75" t="inlineStr">
        <is>
          <t>No</t>
        </is>
      </c>
      <c r="J75" s="96" t="n">
        <v>45757</v>
      </c>
      <c r="M75" t="inlineStr">
        <is>
          <t>Staff Augmentation</t>
        </is>
      </c>
      <c r="O75" t="inlineStr">
        <is>
          <t>Madhav Mitruka</t>
        </is>
      </c>
      <c r="S75" t="inlineStr">
        <is>
          <t>2025-07-28</t>
        </is>
      </c>
      <c r="U75" s="96" t="n">
        <v>45866</v>
      </c>
      <c r="Y75" t="inlineStr">
        <is>
          <t>2025-07-29</t>
        </is>
      </c>
      <c r="Z75" t="inlineStr">
        <is>
          <t>https://app.hubspot.com/contacts/243046792/record/0-3/132776626904</t>
        </is>
      </c>
      <c r="AA75" t="inlineStr">
        <is>
          <t>No</t>
        </is>
      </c>
    </row>
    <row r="76">
      <c r="A76" t="n">
        <v>82</v>
      </c>
      <c r="B76" t="inlineStr">
        <is>
          <t>127678196440</t>
        </is>
      </c>
      <c r="D76" t="inlineStr">
        <is>
          <t>MINNESOTA JUDICIAL BRANCH - IT Technical/infrastructure Services, Information Technology Application Development And Support Services &amp; Data Science And Machine Learning Services</t>
        </is>
      </c>
      <c r="E76" t="inlineStr">
        <is>
          <t>Minnesota Judicial Branch</t>
        </is>
      </c>
      <c r="F76" t="inlineStr">
        <is>
          <t>Minnesota</t>
        </is>
      </c>
      <c r="G76" t="inlineStr">
        <is>
          <t>Closed Won</t>
        </is>
      </c>
      <c r="H76" t="inlineStr">
        <is>
          <t>No</t>
        </is>
      </c>
      <c r="J76" s="96" t="n">
        <v>45776</v>
      </c>
      <c r="M76" t="inlineStr">
        <is>
          <t>Staff Augmentation</t>
        </is>
      </c>
      <c r="O76" t="inlineStr">
        <is>
          <t>Arshdeep Kaur</t>
        </is>
      </c>
      <c r="S76" t="inlineStr">
        <is>
          <t>2025-07-08</t>
        </is>
      </c>
      <c r="U76" s="96" t="n">
        <v>45896</v>
      </c>
      <c r="Y76" t="inlineStr">
        <is>
          <t>2025-07-23</t>
        </is>
      </c>
      <c r="Z76" t="inlineStr">
        <is>
          <t>https://app.hubspot.com/contacts/243046792/record/0-3/127678196440</t>
        </is>
      </c>
      <c r="AA76" t="inlineStr">
        <is>
          <t>No</t>
        </is>
      </c>
    </row>
    <row r="77">
      <c r="A77" t="n">
        <v>83</v>
      </c>
      <c r="B77" t="inlineStr">
        <is>
          <t>127590445789</t>
        </is>
      </c>
      <c r="D77" t="inlineStr">
        <is>
          <t>State of Vermont (Department of Buildings and General Services) - Retainer Contract Opportunity for Information Technology (IT) Services</t>
        </is>
      </c>
      <c r="E77" t="inlineStr">
        <is>
          <t>State of Vermont (Department of Buildings and General Services)</t>
        </is>
      </c>
      <c r="F77" t="inlineStr">
        <is>
          <t>Vermont</t>
        </is>
      </c>
      <c r="G77" t="inlineStr">
        <is>
          <t>Closed Won</t>
        </is>
      </c>
      <c r="H77" t="inlineStr">
        <is>
          <t>No</t>
        </is>
      </c>
      <c r="J77" s="96" t="n">
        <v>45807</v>
      </c>
      <c r="K77" s="96" t="n">
        <v>45806</v>
      </c>
      <c r="M77" t="inlineStr">
        <is>
          <t>Staff Augmentation</t>
        </is>
      </c>
      <c r="O77" t="inlineStr">
        <is>
          <t>Madhav Mitruka</t>
        </is>
      </c>
      <c r="S77" t="inlineStr">
        <is>
          <t>2025-06-28</t>
        </is>
      </c>
      <c r="U77" s="96" t="n">
        <v>46043</v>
      </c>
      <c r="Y77" t="inlineStr">
        <is>
          <t>2025-07-23</t>
        </is>
      </c>
      <c r="Z77" t="inlineStr">
        <is>
          <t>https://app.hubspot.com/contacts/243046792/record/0-3/127590445789</t>
        </is>
      </c>
      <c r="AA77" t="inlineStr">
        <is>
          <t>No</t>
        </is>
      </c>
    </row>
    <row r="78">
      <c r="A78" t="n">
        <v>84</v>
      </c>
      <c r="B78" t="inlineStr">
        <is>
          <t>135198825206</t>
        </is>
      </c>
      <c r="C78" t="inlineStr">
        <is>
          <t>24-25-78</t>
        </is>
      </c>
      <c r="D78" t="inlineStr">
        <is>
          <t>City of Santa Clara - IT Project Management &amp; Consulting Services</t>
        </is>
      </c>
      <c r="E78" t="inlineStr">
        <is>
          <t>City of Santa Clara</t>
        </is>
      </c>
      <c r="F78" t="inlineStr">
        <is>
          <t>California</t>
        </is>
      </c>
      <c r="G78" t="inlineStr">
        <is>
          <t>Closed Won</t>
        </is>
      </c>
      <c r="H78" t="inlineStr">
        <is>
          <t>Yes</t>
        </is>
      </c>
      <c r="I78" t="inlineStr">
        <is>
          <t>Interview</t>
        </is>
      </c>
      <c r="J78" s="96" t="n">
        <v>45880</v>
      </c>
      <c r="M78" t="inlineStr">
        <is>
          <t>Consulting</t>
        </is>
      </c>
      <c r="O78" t="inlineStr">
        <is>
          <t>Madhav Mitruka</t>
        </is>
      </c>
      <c r="P78" t="inlineStr">
        <is>
          <t>Interview Scheduled</t>
        </is>
      </c>
      <c r="Q78" t="inlineStr">
        <is>
          <t>2025-07-23</t>
        </is>
      </c>
      <c r="S78" t="inlineStr">
        <is>
          <t>2025-08-01</t>
        </is>
      </c>
      <c r="U78" s="96" t="n">
        <v>45971</v>
      </c>
      <c r="Y78" t="inlineStr">
        <is>
          <t>2025-08-01</t>
        </is>
      </c>
      <c r="Z78" t="inlineStr">
        <is>
          <t>https://app.hubspot.com/contacts/243046792/record/0-3/135198825206</t>
        </is>
      </c>
      <c r="AA78" t="inlineStr">
        <is>
          <t>No</t>
        </is>
      </c>
    </row>
    <row r="79">
      <c r="A79" t="n">
        <v>85</v>
      </c>
      <c r="B79" t="inlineStr">
        <is>
          <t>168988159693</t>
        </is>
      </c>
      <c r="C79" t="inlineStr">
        <is>
          <t>6000002323</t>
        </is>
      </c>
      <c r="D79" t="inlineStr">
        <is>
          <t>Port Authority of New York New Jersey - Performance of Expert Professional Airport Data Analysis and Business Intelligence Consulting Services during 2025 through 2029</t>
        </is>
      </c>
      <c r="E79" t="inlineStr">
        <is>
          <t>Port Authority of New York New Jersey</t>
        </is>
      </c>
      <c r="F79" t="inlineStr">
        <is>
          <t>New York</t>
        </is>
      </c>
      <c r="G79" t="inlineStr">
        <is>
          <t>Closed Won</t>
        </is>
      </c>
      <c r="H79" t="inlineStr">
        <is>
          <t>No</t>
        </is>
      </c>
      <c r="J79" s="96" t="n">
        <v>45924</v>
      </c>
      <c r="K79" s="96" t="n">
        <v>45580</v>
      </c>
      <c r="L79" t="n">
        <v>0</v>
      </c>
      <c r="M79" t="inlineStr">
        <is>
          <t>Staff Augmentation</t>
        </is>
      </c>
      <c r="O79" t="inlineStr">
        <is>
          <t>Yashaswini Gautam</t>
        </is>
      </c>
      <c r="S79" t="inlineStr">
        <is>
          <t>2025-09-23</t>
        </is>
      </c>
      <c r="U79" s="96" t="n">
        <v>45938</v>
      </c>
      <c r="Y79" t="inlineStr">
        <is>
          <t>2025-09-24</t>
        </is>
      </c>
      <c r="Z79" t="inlineStr">
        <is>
          <t>https://app.hubspot.com/contacts/243046792/record/0-3/168988159693</t>
        </is>
      </c>
    </row>
    <row r="80">
      <c r="A80" t="n">
        <v>86</v>
      </c>
      <c r="B80" t="inlineStr">
        <is>
          <t>169111068380</t>
        </is>
      </c>
      <c r="C80" t="inlineStr">
        <is>
          <t>6000002328</t>
        </is>
      </c>
      <c r="D80" t="inlineStr">
        <is>
          <t>Port Authority of New York New Jersey - Performance of Expert Professional Airport Information Technology and Innovation Consulting Services</t>
        </is>
      </c>
      <c r="E80" t="inlineStr">
        <is>
          <t>Port Authority of New York New Jersey</t>
        </is>
      </c>
      <c r="F80" t="inlineStr">
        <is>
          <t>New York</t>
        </is>
      </c>
      <c r="G80" t="inlineStr">
        <is>
          <t>Closed Won</t>
        </is>
      </c>
      <c r="H80" t="inlineStr">
        <is>
          <t>No</t>
        </is>
      </c>
      <c r="J80" s="96" t="n">
        <v>45924</v>
      </c>
      <c r="K80" s="96" t="n">
        <v>45580</v>
      </c>
      <c r="L80" t="n">
        <v>0</v>
      </c>
      <c r="M80" t="inlineStr">
        <is>
          <t>Staff Augmentation</t>
        </is>
      </c>
      <c r="O80" t="inlineStr">
        <is>
          <t>Yashaswini Gautam</t>
        </is>
      </c>
      <c r="S80" t="inlineStr">
        <is>
          <t>2025-09-23</t>
        </is>
      </c>
      <c r="U80" s="96" t="n">
        <v>45938</v>
      </c>
      <c r="Y80" t="inlineStr">
        <is>
          <t>2025-09-24</t>
        </is>
      </c>
      <c r="Z80" t="inlineStr">
        <is>
          <t>https://app.hubspot.com/contacts/243046792/record/0-3/169111068380</t>
        </is>
      </c>
      <c r="AA80" t="inlineStr">
        <is>
          <t>No</t>
        </is>
      </c>
    </row>
    <row r="81">
      <c r="A81" t="n">
        <v>87</v>
      </c>
      <c r="B81" t="inlineStr">
        <is>
          <t>169108930291</t>
        </is>
      </c>
      <c r="C81" t="inlineStr">
        <is>
          <t>RFQ-AR-1399</t>
        </is>
      </c>
      <c r="D81" t="inlineStr">
        <is>
          <t>Metropolitan Water District of Southern California - ON-CALL INFORMATION TECHNOLOGY SOFTWARE ASSET MANAGEMENT SERVICES</t>
        </is>
      </c>
      <c r="E81" t="inlineStr">
        <is>
          <t>Metropolitan Water District of Southern California</t>
        </is>
      </c>
      <c r="F81" t="inlineStr">
        <is>
          <t>California</t>
        </is>
      </c>
      <c r="G81" t="inlineStr">
        <is>
          <t>Closed Won</t>
        </is>
      </c>
      <c r="H81" t="inlineStr">
        <is>
          <t>No</t>
        </is>
      </c>
      <c r="J81" s="96" t="n">
        <v>45924</v>
      </c>
      <c r="M81" t="inlineStr">
        <is>
          <t>Consulting</t>
        </is>
      </c>
      <c r="O81" t="inlineStr">
        <is>
          <t>Madhav Mitruka</t>
        </is>
      </c>
      <c r="S81" t="inlineStr">
        <is>
          <t>2025-09-24</t>
        </is>
      </c>
      <c r="U81" s="96" t="n">
        <v>45924</v>
      </c>
      <c r="Y81" t="inlineStr">
        <is>
          <t>2025-09-24</t>
        </is>
      </c>
      <c r="Z81" t="inlineStr">
        <is>
          <t>https://app.hubspot.com/contacts/243046792/record/0-3/169108930291</t>
        </is>
      </c>
      <c r="AA81" t="inlineStr">
        <is>
          <t>Yes</t>
        </is>
      </c>
    </row>
    <row r="82">
      <c r="A82" t="n">
        <v>88</v>
      </c>
      <c r="B82" t="inlineStr">
        <is>
          <t>140123456196</t>
        </is>
      </c>
      <c r="C82" t="inlineStr">
        <is>
          <t>24-RFP-10</t>
        </is>
      </c>
      <c r="D82" t="inlineStr">
        <is>
          <t>Metropolitan Water Reclamation District of Greater Chicago - Agreement for Professional Development Program for Management Development and IT (Years 2025–2027)</t>
        </is>
      </c>
      <c r="E82" t="inlineStr">
        <is>
          <t>Metropolitan Water Reclamation District of Greater Chicago</t>
        </is>
      </c>
      <c r="F82" t="inlineStr">
        <is>
          <t>Chicago</t>
        </is>
      </c>
      <c r="G82" t="inlineStr">
        <is>
          <t>Closed Won</t>
        </is>
      </c>
      <c r="H82" t="inlineStr">
        <is>
          <t>Yes</t>
        </is>
      </c>
      <c r="I82" t="inlineStr">
        <is>
          <t>Interview</t>
        </is>
      </c>
      <c r="J82" s="96" t="n">
        <v>46160</v>
      </c>
      <c r="L82" s="65" t="n">
        <v>18620</v>
      </c>
      <c r="M82" t="inlineStr">
        <is>
          <t>Training</t>
        </is>
      </c>
      <c r="O82" t="inlineStr">
        <is>
          <t>Madhav Mitruka</t>
        </is>
      </c>
      <c r="P82" t="inlineStr">
        <is>
          <t>Interview Scheduled</t>
        </is>
      </c>
      <c r="Q82" t="inlineStr">
        <is>
          <t>2025-08-28</t>
        </is>
      </c>
      <c r="S82" t="inlineStr">
        <is>
          <t>2026-01-08</t>
        </is>
      </c>
      <c r="U82" s="96" t="n">
        <v>46098</v>
      </c>
      <c r="V82" t="inlineStr">
        <is>
          <t>In Process</t>
        </is>
      </c>
      <c r="Y82" t="inlineStr">
        <is>
          <t>2025-08-11</t>
        </is>
      </c>
      <c r="Z82" t="inlineStr">
        <is>
          <t>https://app.hubspot.com/contacts/243046792/record/0-3/140123456196</t>
        </is>
      </c>
      <c r="AA82" t="inlineStr">
        <is>
          <t>Yes</t>
        </is>
      </c>
    </row>
    <row r="83">
      <c r="A83" t="n">
        <v>89</v>
      </c>
      <c r="B83" t="inlineStr">
        <is>
          <t>261982669555</t>
        </is>
      </c>
      <c r="D83" t="inlineStr">
        <is>
          <t>Madison Metropolitan Sewerage District - IT Backfill for ERP Configuration (SOW 2)</t>
        </is>
      </c>
      <c r="E83" t="inlineStr">
        <is>
          <t>Madison Metropolitan Sewerage District</t>
        </is>
      </c>
      <c r="F83" t="inlineStr">
        <is>
          <t>Wisconsin</t>
        </is>
      </c>
      <c r="G83" t="inlineStr">
        <is>
          <t>Closed Won</t>
        </is>
      </c>
      <c r="H83" t="inlineStr">
        <is>
          <t>No</t>
        </is>
      </c>
      <c r="J83" s="96" t="n">
        <v>46006</v>
      </c>
      <c r="K83" s="96" t="n">
        <v>46048</v>
      </c>
      <c r="L83" s="65" t="n">
        <v>157000</v>
      </c>
      <c r="M83" t="inlineStr">
        <is>
          <t>Staff Augmentation</t>
        </is>
      </c>
      <c r="O83" t="inlineStr">
        <is>
          <t>Amber Soni</t>
        </is>
      </c>
      <c r="S83" t="inlineStr">
        <is>
          <t>2025-10-24</t>
        </is>
      </c>
      <c r="U83" s="96" t="n">
        <v>46037</v>
      </c>
      <c r="V83" t="inlineStr">
        <is>
          <t>In Process</t>
        </is>
      </c>
      <c r="Y83" t="inlineStr">
        <is>
          <t>2026-01-14</t>
        </is>
      </c>
      <c r="Z83" t="inlineStr">
        <is>
          <t>https://app.hubspot.com/contacts/243046792/record/0-3/261982669555</t>
        </is>
      </c>
      <c r="AA83" t="inlineStr">
        <is>
          <t>Yes</t>
        </is>
      </c>
    </row>
    <row r="84">
      <c r="A84" t="n">
        <v>91</v>
      </c>
      <c r="B84" t="inlineStr">
        <is>
          <t>328510794433</t>
        </is>
      </c>
      <c r="D84" t="inlineStr">
        <is>
          <t>Madison Metropolitan Sewerage District - Workday BA - (SOW 4)</t>
        </is>
      </c>
      <c r="E84" t="inlineStr">
        <is>
          <t>Madison Metropolitan Sewerage District</t>
        </is>
      </c>
      <c r="F84" t="inlineStr">
        <is>
          <t>Wisconsin</t>
        </is>
      </c>
      <c r="G84" t="inlineStr">
        <is>
          <t>Closed Won</t>
        </is>
      </c>
      <c r="H84" t="inlineStr">
        <is>
          <t>No</t>
        </is>
      </c>
      <c r="J84" s="96" t="n">
        <v>46184</v>
      </c>
      <c r="K84" s="96" t="n">
        <v>46184</v>
      </c>
      <c r="L84" s="65" t="n">
        <v>170560</v>
      </c>
      <c r="M84" t="inlineStr">
        <is>
          <t>Managed Services (MSP);Staff Augmentation</t>
        </is>
      </c>
      <c r="O84" t="inlineStr">
        <is>
          <t>Amber Soni</t>
        </is>
      </c>
      <c r="S84" s="96" t="n">
        <v>46184</v>
      </c>
      <c r="Y84" s="96" t="n">
        <v>46178</v>
      </c>
      <c r="Z84" t="inlineStr">
        <is>
          <t>https://app.hubspot.com/contacts/243046792/record/0-3/328510794433</t>
        </is>
      </c>
    </row>
    <row r="85">
      <c r="A85" t="n">
        <v>92</v>
      </c>
      <c r="B85" t="inlineStr">
        <is>
          <t>254846547704</t>
        </is>
      </c>
      <c r="D85" t="inlineStr">
        <is>
          <t>City of Portland, Bureau of Technology Services (BTS) - BTS On-Call Services - PRODUCT MANAGEMENT SERVICES</t>
        </is>
      </c>
      <c r="E85" t="inlineStr">
        <is>
          <t>City of Portland, Bureau of Technology Services (BTS)</t>
        </is>
      </c>
      <c r="F85" t="inlineStr">
        <is>
          <t>Maine</t>
        </is>
      </c>
      <c r="G85" t="inlineStr">
        <is>
          <t>Closed Won</t>
        </is>
      </c>
      <c r="J85" s="96" t="n">
        <v>46204</v>
      </c>
      <c r="K85" s="96" t="n">
        <v>46008</v>
      </c>
      <c r="M85" t="inlineStr">
        <is>
          <t>Consulting</t>
        </is>
      </c>
      <c r="O85" t="inlineStr">
        <is>
          <t>Madhav Mitruka</t>
        </is>
      </c>
      <c r="S85" s="96" t="n">
        <v>46176</v>
      </c>
      <c r="Y85" s="96" t="n">
        <v>46027</v>
      </c>
      <c r="Z85" t="inlineStr">
        <is>
          <t>https://app.hubspot.com/contacts/243046792/record/0-3/254846547704</t>
        </is>
      </c>
    </row>
    <row r="86">
      <c r="A86" t="n">
        <v>93</v>
      </c>
      <c r="B86" t="inlineStr">
        <is>
          <t>173703980764</t>
        </is>
      </c>
      <c r="D86" t="inlineStr">
        <is>
          <t>Belton Independent School District - Software &amp; Applications</t>
        </is>
      </c>
      <c r="E86" t="inlineStr">
        <is>
          <t>Belton Independent School District ( District )</t>
        </is>
      </c>
      <c r="F86" t="inlineStr">
        <is>
          <t>Texas</t>
        </is>
      </c>
      <c r="G86" t="inlineStr">
        <is>
          <t>Closed Won</t>
        </is>
      </c>
      <c r="J86" s="96" t="n">
        <v>46219</v>
      </c>
      <c r="K86" s="96" t="n">
        <v>45981</v>
      </c>
      <c r="M86" t="inlineStr">
        <is>
          <t>Reseller</t>
        </is>
      </c>
      <c r="O86" t="inlineStr">
        <is>
          <t>Jyothsna Nanda kishore</t>
        </is>
      </c>
      <c r="Y86" s="96" t="n">
        <v>45931</v>
      </c>
      <c r="Z86" t="inlineStr">
        <is>
          <t>https://app.hubspot.com/contacts/243046792/record/0-3/173703980764</t>
        </is>
      </c>
    </row>
    <row r="87">
      <c r="A87" t="n">
        <v>94</v>
      </c>
      <c r="B87" t="inlineStr">
        <is>
          <t>331477789421</t>
        </is>
      </c>
      <c r="D87" t="inlineStr">
        <is>
          <t>Collier County - OPENCollier MPO WordPress Website Maintenance &amp; Hosting - Renewal - 2026 Renewal</t>
        </is>
      </c>
      <c r="E87" t="inlineStr">
        <is>
          <t>Collier County</t>
        </is>
      </c>
      <c r="F87" t="inlineStr">
        <is>
          <t>Florida</t>
        </is>
      </c>
      <c r="G87" t="inlineStr">
        <is>
          <t>Closed Won</t>
        </is>
      </c>
      <c r="J87" s="96" t="n">
        <v>46296</v>
      </c>
      <c r="K87" s="96" t="n">
        <v>46192</v>
      </c>
      <c r="L87" t="n">
        <v>4630</v>
      </c>
      <c r="M87" t="inlineStr">
        <is>
          <t>Managed Services (MSP);Consulting</t>
        </is>
      </c>
      <c r="O87" t="inlineStr">
        <is>
          <t>Ashutosh Chauhan</t>
        </is>
      </c>
      <c r="S87" s="96" t="n">
        <v>46204</v>
      </c>
      <c r="U87" s="96" t="n">
        <v>46204</v>
      </c>
      <c r="Y87" s="96" t="n">
        <v>46192</v>
      </c>
      <c r="Z87" t="inlineStr">
        <is>
          <t>https://app.hubspot.com/contacts/243046792/record/0-3/331477789421</t>
        </is>
      </c>
    </row>
    <row r="88">
      <c r="A88" t="n">
        <v>95</v>
      </c>
      <c r="B88" t="inlineStr">
        <is>
          <t>318929810149</t>
        </is>
      </c>
      <c r="D88" t="inlineStr">
        <is>
          <t>First 5 Kids Santa Clara County - Outsourced IT Services</t>
        </is>
      </c>
      <c r="E88" t="inlineStr">
        <is>
          <t>First 5 Kids Santa Clara County</t>
        </is>
      </c>
      <c r="F88" t="inlineStr">
        <is>
          <t>California</t>
        </is>
      </c>
      <c r="G88" t="inlineStr">
        <is>
          <t>Closed Won</t>
        </is>
      </c>
      <c r="J88" s="96" t="n">
        <v>46230</v>
      </c>
      <c r="K88" s="96" t="n">
        <v>46129</v>
      </c>
      <c r="L88" t="n">
        <v>139800</v>
      </c>
      <c r="M88" t="inlineStr">
        <is>
          <t>Managed Services (MSP)</t>
        </is>
      </c>
      <c r="O88" t="inlineStr">
        <is>
          <t>Jyothsna Nanda kishore</t>
        </is>
      </c>
      <c r="S88" s="96" t="n">
        <v>46211</v>
      </c>
      <c r="U88" s="96" t="n">
        <v>46235</v>
      </c>
      <c r="Y88" s="96" t="n">
        <v>46114</v>
      </c>
      <c r="Z88" t="inlineStr">
        <is>
          <t>https://app.hubspot.com/contacts/243046792/record/0-3/318929810149</t>
        </is>
      </c>
    </row>
    <row r="89">
      <c r="A89" t="n">
        <v>96</v>
      </c>
      <c r="B89" t="inlineStr">
        <is>
          <t>317911783129</t>
        </is>
      </c>
      <c r="D89" t="inlineStr">
        <is>
          <t>Palm Beach County Housing Authority - Information Technology (IT) Managed Services</t>
        </is>
      </c>
      <c r="E89" t="inlineStr">
        <is>
          <t>Palm Beach County Housing Authority</t>
        </is>
      </c>
      <c r="F89" t="inlineStr">
        <is>
          <t>Florida</t>
        </is>
      </c>
      <c r="G89" t="inlineStr">
        <is>
          <t>Closed Won</t>
        </is>
      </c>
      <c r="J89" s="96" t="n">
        <v>46244</v>
      </c>
      <c r="K89" s="96" t="n">
        <v>46153</v>
      </c>
      <c r="L89" t="n">
        <v>493500</v>
      </c>
      <c r="M89" t="inlineStr">
        <is>
          <t>Managed Services (MSP)</t>
        </is>
      </c>
      <c r="O89" t="inlineStr">
        <is>
          <t>Ashutosh Chauhan</t>
        </is>
      </c>
      <c r="S89" s="96" t="n">
        <v>46213</v>
      </c>
      <c r="U89" s="96" t="n">
        <v>46240</v>
      </c>
      <c r="Y89" s="96" t="n">
        <v>46107</v>
      </c>
      <c r="Z89" t="inlineStr">
        <is>
          <t>https://app.hubspot.com/contacts/243046792/record/0-3/317911783129</t>
        </is>
      </c>
    </row>
    <row r="90">
      <c r="A90" t="n">
        <v>97</v>
      </c>
      <c r="B90" t="inlineStr">
        <is>
          <t>329946865354</t>
        </is>
      </c>
      <c r="D90" t="inlineStr">
        <is>
          <t>Jacksonville Electric Authority (JEA), City of Jacksonville - IT/OT Communications Assessment</t>
        </is>
      </c>
      <c r="E90" t="inlineStr">
        <is>
          <t>JEA</t>
        </is>
      </c>
      <c r="F90" t="inlineStr">
        <is>
          <t>Florida</t>
        </is>
      </c>
      <c r="G90" t="inlineStr">
        <is>
          <t>Closed Won</t>
        </is>
      </c>
      <c r="J90" s="96" t="n">
        <v>46248</v>
      </c>
      <c r="K90" s="96" t="n">
        <v>46210</v>
      </c>
      <c r="M90" t="inlineStr">
        <is>
          <t>Audits and Assessment</t>
        </is>
      </c>
      <c r="O90" t="inlineStr">
        <is>
          <t>Yash More</t>
        </is>
      </c>
      <c r="S90" s="96" t="n">
        <v>46240</v>
      </c>
      <c r="U90" s="96" t="n">
        <v>46247</v>
      </c>
      <c r="Y90" s="96" t="n">
        <v>46188</v>
      </c>
      <c r="Z90" t="inlineStr">
        <is>
          <t>https://app.hubspot.com/contacts/243046792/record/0-3/329946865354</t>
        </is>
      </c>
    </row>
    <row r="91">
      <c r="A91" t="n">
        <v>98</v>
      </c>
      <c r="B91" t="inlineStr">
        <is>
          <t>344949853888</t>
        </is>
      </c>
      <c r="D91" t="inlineStr">
        <is>
          <t>Madison Metropolitan Sewerage District - Workday Solutions Architect Services - SOW 5</t>
        </is>
      </c>
      <c r="E91" t="inlineStr">
        <is>
          <t>Madison Metropolitan Sewerage District</t>
        </is>
      </c>
      <c r="F91" t="inlineStr">
        <is>
          <t>Wisconsin</t>
        </is>
      </c>
      <c r="G91" t="inlineStr">
        <is>
          <t>Closed Won</t>
        </is>
      </c>
      <c r="J91" s="96" t="n">
        <v>46265</v>
      </c>
      <c r="K91" s="96" t="n">
        <v>46258</v>
      </c>
      <c r="L91" t="n">
        <v>347746.43</v>
      </c>
      <c r="M91" t="inlineStr">
        <is>
          <t>Managed Services (MSP);Staff Augmentation</t>
        </is>
      </c>
      <c r="O91" t="inlineStr">
        <is>
          <t>Amber Soni</t>
        </is>
      </c>
      <c r="S91" s="96" t="n">
        <v>46265</v>
      </c>
      <c r="Y91" s="96" t="n">
        <v>46265</v>
      </c>
      <c r="Z91" t="inlineStr">
        <is>
          <t>https://app.hubspot.com/contacts/243046792/record/0-3/344949853888</t>
        </is>
      </c>
    </row>
    <row r="92">
      <c r="A92" t="n">
        <v>99</v>
      </c>
      <c r="B92" t="inlineStr">
        <is>
          <t>344730713824</t>
        </is>
      </c>
      <c r="D92" t="inlineStr">
        <is>
          <t>Madison Metropolitan Sewerage District - Workday Business Analyst Services - SOW 6</t>
        </is>
      </c>
      <c r="E92" t="inlineStr">
        <is>
          <t>Madison Metropolitan Sewerage District</t>
        </is>
      </c>
      <c r="F92" t="inlineStr">
        <is>
          <t>Wisconsin</t>
        </is>
      </c>
      <c r="G92" t="inlineStr">
        <is>
          <t>Closed Won</t>
        </is>
      </c>
      <c r="K92" s="96" t="n">
        <v>46265</v>
      </c>
      <c r="L92" t="n">
        <v>153584.52</v>
      </c>
      <c r="M92" t="inlineStr">
        <is>
          <t>Managed Services (MSP);Staff Augmentation</t>
        </is>
      </c>
      <c r="O92" t="inlineStr">
        <is>
          <t>Amber Soni</t>
        </is>
      </c>
      <c r="S92" s="96" t="n">
        <v>46265</v>
      </c>
      <c r="Y92" s="96" t="n">
        <v>46265</v>
      </c>
      <c r="Z92" t="inlineStr">
        <is>
          <t>https://app.hubspot.com/contacts/243046792/record/0-3/344730713824</t>
        </is>
      </c>
    </row>
    <row r="93">
      <c r="A93" t="n">
        <v>100</v>
      </c>
      <c r="B93" t="inlineStr">
        <is>
          <t>337552991947</t>
        </is>
      </c>
      <c r="D93" t="inlineStr">
        <is>
          <t xml:space="preserve"> ServiceNow Virtual Agent Implementation</t>
        </is>
      </c>
      <c r="E93" t="inlineStr">
        <is>
          <t>Minnesota Judicial Branch</t>
        </is>
      </c>
      <c r="F93" t="inlineStr">
        <is>
          <t>Minnesota</t>
        </is>
      </c>
      <c r="G93" t="inlineStr">
        <is>
          <t>Closed Won</t>
        </is>
      </c>
      <c r="J93" s="96" t="n">
        <v>46265</v>
      </c>
      <c r="K93" s="96" t="n">
        <v>46237</v>
      </c>
      <c r="L93" t="n">
        <v>68000</v>
      </c>
      <c r="M93" t="inlineStr">
        <is>
          <t>Staff Augmentation</t>
        </is>
      </c>
      <c r="O93" t="inlineStr">
        <is>
          <t>Yash More</t>
        </is>
      </c>
      <c r="U93" s="96" t="n">
        <v>46254</v>
      </c>
      <c r="Y93" s="96" t="n">
        <v>46226</v>
      </c>
      <c r="Z93" t="inlineStr">
        <is>
          <t>https://app.hubspot.com/contacts/243046792/record/0-3/337552991947</t>
        </is>
      </c>
    </row>
    <row r="94">
      <c r="A94" t="n">
        <v>101</v>
      </c>
      <c r="B94" t="inlineStr">
        <is>
          <t>332610669272</t>
        </is>
      </c>
      <c r="D94" t="inlineStr">
        <is>
          <t>City of Cleveland - Software Maintenance</t>
        </is>
      </c>
      <c r="E94" t="inlineStr">
        <is>
          <t xml:space="preserve">City of Cleveland </t>
        </is>
      </c>
      <c r="F94" t="inlineStr">
        <is>
          <t>Ohio</t>
        </is>
      </c>
      <c r="G94" t="inlineStr">
        <is>
          <t>Closed Won</t>
        </is>
      </c>
      <c r="J94" s="96" t="n">
        <v>46268</v>
      </c>
      <c r="K94" s="96" t="n">
        <v>46202</v>
      </c>
      <c r="L94" t="n">
        <v>17600</v>
      </c>
      <c r="M94" t="inlineStr">
        <is>
          <t>Reseller</t>
        </is>
      </c>
      <c r="O94" t="inlineStr">
        <is>
          <t>Yash More</t>
        </is>
      </c>
      <c r="S94" s="96" t="n">
        <v>46226</v>
      </c>
      <c r="U94" s="96" t="n">
        <v>46226</v>
      </c>
      <c r="Y94" s="96" t="n">
        <v>46199</v>
      </c>
      <c r="Z94" t="inlineStr">
        <is>
          <t>https://app.hubspot.com/contacts/243046792/record/0-3/332610669272</t>
        </is>
      </c>
    </row>
    <row r="95">
      <c r="A95" t="n">
        <v>102</v>
      </c>
      <c r="B95" t="inlineStr">
        <is>
          <t>323231105770</t>
        </is>
      </c>
      <c r="D95" t="inlineStr">
        <is>
          <t>Consulting and Professional Services Master Agreement (CAPSMA)</t>
        </is>
      </c>
      <c r="E95" t="inlineStr">
        <is>
          <t>Los Angeles County - Board of Supervisors</t>
        </is>
      </c>
      <c r="F95" t="inlineStr">
        <is>
          <t>California</t>
        </is>
      </c>
      <c r="G95" t="inlineStr">
        <is>
          <t>Intent to Award</t>
        </is>
      </c>
      <c r="J95" s="96" t="n">
        <v>46290</v>
      </c>
      <c r="K95" s="96" t="n">
        <v>46142</v>
      </c>
      <c r="M95" t="inlineStr">
        <is>
          <t>Consulting</t>
        </is>
      </c>
      <c r="O95" t="inlineStr">
        <is>
          <t>Jyothsna Nanda kishore</t>
        </is>
      </c>
      <c r="S95" s="96" t="n">
        <v>46296</v>
      </c>
      <c r="Y95" s="96" t="n">
        <v>46143</v>
      </c>
      <c r="Z95" t="inlineStr">
        <is>
          <t>https://app.hubspot.com/contacts/243046792/record/0-3/323231105770</t>
        </is>
      </c>
    </row>
    <row r="96">
      <c r="A96" t="n">
        <v>103</v>
      </c>
      <c r="B96" t="inlineStr">
        <is>
          <t>326366112465</t>
        </is>
      </c>
      <c r="D96" t="inlineStr">
        <is>
          <t>Superior Court of California, County of Ventura - Microsoft Licensing</t>
        </is>
      </c>
      <c r="E96" t="inlineStr">
        <is>
          <t>SUPERIOR COURT OF CALFORNIA - COUNTY OF VENTURA</t>
        </is>
      </c>
      <c r="F96" t="inlineStr">
        <is>
          <t>California</t>
        </is>
      </c>
      <c r="G96" t="inlineStr">
        <is>
          <t>Closed Won</t>
        </is>
      </c>
      <c r="J96" s="96" t="n">
        <v>46289</v>
      </c>
      <c r="K96" s="96" t="n">
        <v>46178</v>
      </c>
      <c r="L96" t="n">
        <v>885500</v>
      </c>
      <c r="M96" t="inlineStr">
        <is>
          <t>Consulting;Reseller</t>
        </is>
      </c>
      <c r="O96" t="inlineStr">
        <is>
          <t>Savya Atrey</t>
        </is>
      </c>
      <c r="S96" s="96" t="n">
        <v>46203</v>
      </c>
      <c r="U96" s="96" t="n">
        <v>46203</v>
      </c>
      <c r="Y96" s="96" t="n">
        <v>46170</v>
      </c>
      <c r="Z96" t="inlineStr">
        <is>
          <t>https://app.hubspot.com/contacts/243046792/record/0-3/326366112465</t>
        </is>
      </c>
    </row>
    <row r="97">
      <c r="A97" t="n">
        <v>104</v>
      </c>
      <c r="B97" t="inlineStr">
        <is>
          <t>327055384298</t>
        </is>
      </c>
      <c r="D97" t="inlineStr">
        <is>
          <t xml:space="preserve">Madison Metropolitan Sewerage District - QA Tester - SOW 3 </t>
        </is>
      </c>
      <c r="E97" t="inlineStr">
        <is>
          <t>Madison Metropolitan Sewerage District</t>
        </is>
      </c>
      <c r="F97" t="inlineStr">
        <is>
          <t>Wisconsin</t>
        </is>
      </c>
      <c r="G97" t="inlineStr">
        <is>
          <t>Closed Won</t>
        </is>
      </c>
      <c r="L97" t="n">
        <v>134400</v>
      </c>
      <c r="M97" t="inlineStr">
        <is>
          <t>Managed Services (MSP)</t>
        </is>
      </c>
      <c r="O97" t="inlineStr">
        <is>
          <t>Amber Soni</t>
        </is>
      </c>
      <c r="U97" s="96" t="n">
        <v>46118</v>
      </c>
      <c r="Z97" t="inlineStr">
        <is>
          <t>https://app.hubspot.com/contacts/243046792/record/0-3/327055384298</t>
        </is>
      </c>
    </row>
    <row r="98">
      <c r="A98" t="n">
        <v>106</v>
      </c>
      <c r="B98" t="inlineStr">
        <is>
          <t>343611945708</t>
        </is>
      </c>
      <c r="D98" t="inlineStr">
        <is>
          <t>Cisco End User Quote</t>
        </is>
      </c>
      <c r="E98" t="inlineStr">
        <is>
          <t xml:space="preserve">New Mexico Finance Authority (“NMFA”) </t>
        </is>
      </c>
      <c r="F98" t="inlineStr">
        <is>
          <t>New Mexico</t>
        </is>
      </c>
      <c r="G98" t="inlineStr">
        <is>
          <t>Intent to Award</t>
        </is>
      </c>
      <c r="J98" s="96" t="n">
        <v>46255</v>
      </c>
      <c r="K98" s="96" t="n">
        <v>46255</v>
      </c>
      <c r="L98" t="n">
        <v>916.6900000000001</v>
      </c>
      <c r="M98" t="inlineStr">
        <is>
          <t>Reseller</t>
        </is>
      </c>
      <c r="O98" t="inlineStr">
        <is>
          <t>Ashutosh Chauhan</t>
        </is>
      </c>
      <c r="S98" s="96" t="n">
        <v>46280</v>
      </c>
      <c r="Z98" t="inlineStr">
        <is>
          <t>https://app.hubspot.com/contacts/243046792/record/0-3/343611945708</t>
        </is>
      </c>
    </row>
    <row r="99">
      <c r="A99" t="n">
        <v>107</v>
      </c>
      <c r="B99" t="inlineStr">
        <is>
          <t>340785869529</t>
        </is>
      </c>
      <c r="D99" t="inlineStr">
        <is>
          <t>Case Management System (CMS) Modernization Technical Assistance</t>
        </is>
      </c>
      <c r="E99" t="inlineStr">
        <is>
          <t>San Diego County</t>
        </is>
      </c>
      <c r="F99" t="inlineStr">
        <is>
          <t>California</t>
        </is>
      </c>
      <c r="G99" t="inlineStr">
        <is>
          <t>Intent to Award</t>
        </is>
      </c>
      <c r="J99" s="96" t="n">
        <v>46252</v>
      </c>
      <c r="L99" t="n">
        <v>209000</v>
      </c>
      <c r="M99" t="inlineStr">
        <is>
          <t>Modernization / Migration</t>
        </is>
      </c>
      <c r="O99" t="inlineStr">
        <is>
          <t>Ashutosh Chauhan</t>
        </is>
      </c>
      <c r="S99" s="96" t="n">
        <v>46280</v>
      </c>
      <c r="Z99" t="inlineStr">
        <is>
          <t>https://app.hubspot.com/contacts/243046792/record/0-3/340785869529</t>
        </is>
      </c>
    </row>
    <row r="100">
      <c r="A100" t="n">
        <v>108</v>
      </c>
      <c r="B100" t="inlineStr">
        <is>
          <t>335867277022</t>
        </is>
      </c>
      <c r="D100" t="inlineStr">
        <is>
          <t>State of North Dakota - Health Information Technology Consultant</t>
        </is>
      </c>
      <c r="E100" t="inlineStr">
        <is>
          <t>North Dakota Department of Health and Human Services Rural Health Transformation Program (RHTP)</t>
        </is>
      </c>
      <c r="G100" t="inlineStr">
        <is>
          <t>Intent to Award</t>
        </is>
      </c>
      <c r="J100" s="96" t="n">
        <v>46230</v>
      </c>
      <c r="K100" s="96" t="n">
        <v>46230</v>
      </c>
      <c r="L100" t="n">
        <v>259400</v>
      </c>
      <c r="M100" t="inlineStr">
        <is>
          <t>Consulting</t>
        </is>
      </c>
      <c r="O100" t="inlineStr">
        <is>
          <t>Jyothsna Nanda kishore</t>
        </is>
      </c>
      <c r="S100" s="96" t="n">
        <v>46266</v>
      </c>
      <c r="Z100" t="inlineStr">
        <is>
          <t>https://app.hubspot.com/contacts/243046792/record/0-3/335867277022</t>
        </is>
      </c>
    </row>
    <row r="101">
      <c r="A101" t="n">
        <v>109</v>
      </c>
      <c r="B101" t="inlineStr">
        <is>
          <t>325799457482</t>
        </is>
      </c>
      <c r="D101" t="inlineStr">
        <is>
          <t>University of Cleveland Ohio  - Workday Augmentation Resourcing</t>
        </is>
      </c>
      <c r="E101" t="inlineStr">
        <is>
          <t>University of Cleveland Ohio</t>
        </is>
      </c>
      <c r="F101" t="inlineStr">
        <is>
          <t>Ohio</t>
        </is>
      </c>
      <c r="G101" t="inlineStr">
        <is>
          <t>Intent to Award</t>
        </is>
      </c>
      <c r="J101" s="96" t="n">
        <v>46175</v>
      </c>
      <c r="K101" s="96" t="n">
        <v>46171</v>
      </c>
      <c r="L101" t="n">
        <v>259400</v>
      </c>
      <c r="M101" t="inlineStr">
        <is>
          <t>Staff Augmentation</t>
        </is>
      </c>
      <c r="O101" t="inlineStr">
        <is>
          <t>Savya Atrey</t>
        </is>
      </c>
      <c r="S101" s="96" t="n">
        <v>46204</v>
      </c>
      <c r="Z101" t="inlineStr">
        <is>
          <t>https://app.hubspot.com/contacts/243046792/record/0-3/325799457482</t>
        </is>
      </c>
    </row>
    <row r="102">
      <c r="A102" t="n">
        <v>110</v>
      </c>
      <c r="B102" t="inlineStr">
        <is>
          <t>321911416540</t>
        </is>
      </c>
      <c r="D102" t="inlineStr">
        <is>
          <t>City of Odonnell - IT Infrastructure and Related Services</t>
        </is>
      </c>
      <c r="E102" t="inlineStr">
        <is>
          <t>City of Odonnell</t>
        </is>
      </c>
      <c r="F102" t="inlineStr">
        <is>
          <t>Texas</t>
        </is>
      </c>
      <c r="G102" t="inlineStr">
        <is>
          <t>Intent to Award</t>
        </is>
      </c>
      <c r="J102" s="96" t="n">
        <v>46147</v>
      </c>
      <c r="K102" s="96" t="n">
        <v>46147</v>
      </c>
      <c r="M102" t="inlineStr">
        <is>
          <t>Consulting;Staff Augmentation</t>
        </is>
      </c>
      <c r="O102" t="inlineStr">
        <is>
          <t>Ashutosh Chauhan</t>
        </is>
      </c>
      <c r="S102" s="96" t="n">
        <v>46174</v>
      </c>
      <c r="Z102" t="inlineStr">
        <is>
          <t>https://app.hubspot.com/contacts/243046792/record/0-3/321911416540</t>
        </is>
      </c>
    </row>
    <row r="103">
      <c r="A103" t="n">
        <v>112</v>
      </c>
      <c r="B103" t="inlineStr">
        <is>
          <t>340491546352</t>
        </is>
      </c>
      <c r="D103" t="inlineStr">
        <is>
          <t>Community Action Partnership of Kern - CAPK SOW 2</t>
        </is>
      </c>
      <c r="E103" t="inlineStr">
        <is>
          <t>Community Action Partnership of Kern</t>
        </is>
      </c>
      <c r="F103" t="inlineStr">
        <is>
          <t>California</t>
        </is>
      </c>
      <c r="G103" t="inlineStr">
        <is>
          <t>Closed Won</t>
        </is>
      </c>
      <c r="J103" s="96" t="n">
        <v>46310</v>
      </c>
      <c r="K103" s="96" t="n">
        <v>46295</v>
      </c>
      <c r="L103" t="n">
        <v>48668</v>
      </c>
      <c r="M103" t="inlineStr">
        <is>
          <t>Custom development;Platform Implementation (ERP, CRMs)</t>
        </is>
      </c>
      <c r="O103" t="inlineStr">
        <is>
          <t>Ashutosh Chauhan</t>
        </is>
      </c>
      <c r="S103" s="96" t="n">
        <v>46310</v>
      </c>
      <c r="U103" s="96" t="n">
        <v>46310</v>
      </c>
      <c r="Y103" s="96" t="n">
        <v>46241</v>
      </c>
      <c r="Z103" t="inlineStr">
        <is>
          <t>https://app.hubspot.com/contacts/243046792/record/0-3/340491546352</t>
        </is>
      </c>
    </row>
    <row r="104">
      <c r="D104" t="inlineStr">
        <is>
          <t>Community Action Partnership of Kern - CAPK SOW 2</t>
        </is>
      </c>
      <c r="E104" t="inlineStr">
        <is>
          <t>Community Action Partnership of Kern</t>
        </is>
      </c>
      <c r="G104" t="inlineStr">
        <is>
          <t>Closed Won</t>
        </is>
      </c>
      <c r="L104" t="n">
        <v>48668</v>
      </c>
      <c r="M104" t="inlineStr">
        <is>
          <t>Custom development;Platform Implementation (ERP, CRMs)</t>
        </is>
      </c>
      <c r="O104" t="inlineStr">
        <is>
          <t>Ashutosh Chauhan</t>
        </is>
      </c>
      <c r="U104" s="96" t="n">
        <v>46310</v>
      </c>
    </row>
    <row r="105">
      <c r="A105" t="n">
        <v>113</v>
      </c>
      <c r="B105" t="inlineStr">
        <is>
          <t>340263702254</t>
        </is>
      </c>
      <c r="D105" t="inlineStr">
        <is>
          <t>Advanced Email Security</t>
        </is>
      </c>
      <c r="E105" t="inlineStr">
        <is>
          <t>State of West Virginia</t>
        </is>
      </c>
      <c r="F105" t="inlineStr">
        <is>
          <t>West Virginia</t>
        </is>
      </c>
      <c r="G105" t="inlineStr">
        <is>
          <t>Intent to Award</t>
        </is>
      </c>
      <c r="J105" s="96" t="n">
        <v>46259</v>
      </c>
      <c r="K105" s="96" t="n">
        <v>46258</v>
      </c>
      <c r="L105" t="n">
        <v>81400</v>
      </c>
      <c r="M105" t="inlineStr">
        <is>
          <t>Reseller</t>
        </is>
      </c>
      <c r="O105" t="inlineStr">
        <is>
          <t>Hrithik Srivastava</t>
        </is>
      </c>
      <c r="Y105" s="96" t="n">
        <v>46239</v>
      </c>
      <c r="Z105" t="inlineStr">
        <is>
          <t>https://app.hubspot.com/contacts/243046792/record/0-3/340263702254</t>
        </is>
      </c>
    </row>
    <row r="106">
      <c r="A106" t="n">
        <v>114</v>
      </c>
      <c r="B106" t="inlineStr">
        <is>
          <t>351935672018</t>
        </is>
      </c>
      <c r="D106" t="inlineStr">
        <is>
          <t>Monitors Quote</t>
        </is>
      </c>
      <c r="E106" t="inlineStr">
        <is>
          <t xml:space="preserve">New Mexico Finance Authority (“NMFA”) </t>
        </is>
      </c>
      <c r="F106" t="inlineStr">
        <is>
          <t>New Mexico</t>
        </is>
      </c>
      <c r="G106" t="inlineStr">
        <is>
          <t>Intent to Award</t>
        </is>
      </c>
      <c r="J106" s="96" t="n">
        <v>46295</v>
      </c>
      <c r="K106" s="96" t="n">
        <v>46295</v>
      </c>
      <c r="L106" t="n">
        <v>5294.48</v>
      </c>
      <c r="M106" t="inlineStr">
        <is>
          <t>Reseller</t>
        </is>
      </c>
      <c r="O106" t="inlineStr">
        <is>
          <t>Ashutosh Chauhan</t>
        </is>
      </c>
      <c r="Y106" s="96" t="n">
        <v>46296</v>
      </c>
      <c r="Z106" t="inlineStr">
        <is>
          <t>https://app.hubspot.com/contacts/243046792/record/0-3/351935672018</t>
        </is>
      </c>
    </row>
  </sheetData>
  <autoFilter ref="A1:AA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2026-03-30T11:51:07Z</dcterms:created>
  <dcterms:modified xsi:type="dcterms:W3CDTF">2026-10-23T17:59:57Z</dcterms:modified>
</cp:coreProperties>
</file>