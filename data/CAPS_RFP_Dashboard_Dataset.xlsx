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Data'!$A$1:$AA$639</definedName>
    <definedName name="_xlnm._FilterDatabase" localSheetId="4" hidden="1">'Awards'!$A$1:$AA$82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$#,##0"/>
    <numFmt numFmtId="166" formatCode="YYYY-MM-DD HH:MM"/>
    <numFmt numFmtId="167" formatCode="0.0%"/>
    <numFmt numFmtId="168" formatCode="MM/DD/YYYY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April 15, 2026 07:54 AM</t>
        </is>
      </c>
    </row>
    <row r="2">
      <c r="A2" t="inlineStr">
        <is>
          <t>Total Deals in RFP Data: 626</t>
        </is>
      </c>
    </row>
    <row r="3">
      <c r="A3" t="inlineStr">
        <is>
          <t>Total Awards: 80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March 30,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Data'!A2:A639)</f>
        <v/>
      </c>
    </row>
    <row r="6">
      <c r="A6" s="2" t="inlineStr">
        <is>
          <t>RFPs with Amount</t>
        </is>
      </c>
      <c r="B6" s="32">
        <f>COUNTA('RFP Data'!K2:K639)</f>
        <v/>
      </c>
    </row>
    <row r="7">
      <c r="A7" s="2" t="inlineStr">
        <is>
          <t>Total Pipeline Value</t>
        </is>
      </c>
      <c r="B7" s="66">
        <f>SUM('RFP Data'!K2:K639)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Data'!G2:G639,"Yes")</f>
        <v/>
      </c>
      <c r="D11" s="2" t="inlineStr">
        <is>
          <t>Subcategory: Interview</t>
        </is>
      </c>
      <c r="E11" s="32">
        <f>COUNTIF('RFP Data'!H2:H639,"Interview")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Data'!H2:H639,"BAFO")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Data'!R2:R639)</f>
        <v/>
      </c>
      <c r="D15" s="2" t="inlineStr">
        <is>
          <t>Intent to Award Value ($)</t>
        </is>
      </c>
      <c r="E15" s="66">
        <f>SUMPRODUCT(('RFP Data'!R2:R639&lt;&gt;"")*1,'RFP Data'!K2:K639)</f>
        <v/>
      </c>
    </row>
    <row r="16">
      <c r="A16" s="2" t="inlineStr">
        <is>
          <t>Deals with Tentatively Awarded Date</t>
        </is>
      </c>
      <c r="B16" s="32">
        <f>COUNTA('RFP Data'!S2:S639)</f>
        <v/>
      </c>
    </row>
    <row r="17">
      <c r="A17" s="2" t="inlineStr">
        <is>
          <t>Deals with Awarded Date</t>
        </is>
      </c>
      <c r="B17" s="32">
        <f>COUNTA('RFP Data'!T2:T639)</f>
        <v/>
      </c>
      <c r="D17" s="2" t="inlineStr">
        <is>
          <t>Awarded Value ($)</t>
        </is>
      </c>
      <c r="E17" s="66">
        <f>SUMPRODUCT(('RFP Data'!T2:T639&lt;&gt;"")*1,'RFP Data'!K2:K639)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Data'!F2:F639,A22)</f>
        <v/>
      </c>
      <c r="D22" s="36" t="inlineStr">
        <is>
          <t>Submitted</t>
        </is>
      </c>
      <c r="E22" s="66">
        <f>SUMIF('RFP Data'!F2:F639,D22,'RFP Data'!K2:K639)</f>
        <v/>
      </c>
    </row>
    <row r="23">
      <c r="A23" s="37" t="inlineStr">
        <is>
          <t>Interview</t>
        </is>
      </c>
      <c r="B23" s="32">
        <f>COUNTIF('RFP Data'!F2:F639,A23)</f>
        <v/>
      </c>
      <c r="D23" s="37" t="inlineStr">
        <is>
          <t>Interview</t>
        </is>
      </c>
      <c r="E23" s="66">
        <f>SUMIF('RFP Data'!F2:F639,D23,'RFP Data'!K2:K639)</f>
        <v/>
      </c>
    </row>
    <row r="24">
      <c r="A24" s="38" t="inlineStr">
        <is>
          <t>Intent to Award</t>
        </is>
      </c>
      <c r="B24" s="32">
        <f>COUNTIF('RFP Data'!F2:F639,A24)</f>
        <v/>
      </c>
      <c r="D24" s="38" t="inlineStr">
        <is>
          <t>Intent to Award</t>
        </is>
      </c>
      <c r="E24" s="66">
        <f>SUMIF('RFP Data'!F2:F639,D24,'RFP Data'!K2:K639)</f>
        <v/>
      </c>
    </row>
    <row r="25">
      <c r="A25" s="39" t="inlineStr">
        <is>
          <t>Closed Won</t>
        </is>
      </c>
      <c r="B25" s="32">
        <f>COUNTIF('RFP Data'!F2:F639,A25)</f>
        <v/>
      </c>
      <c r="D25" s="39" t="inlineStr">
        <is>
          <t>Closed Won</t>
        </is>
      </c>
      <c r="E25" s="66">
        <f>SUMIF('RFP Data'!F2:F639,D25,'RFP Data'!K2:K639)</f>
        <v/>
      </c>
    </row>
    <row r="26">
      <c r="A26" s="40" t="inlineStr">
        <is>
          <t>Closed Lost</t>
        </is>
      </c>
      <c r="B26" s="32">
        <f>COUNTIF('RFP Data'!F2:F639,A26)</f>
        <v/>
      </c>
      <c r="D26" s="40" t="inlineStr">
        <is>
          <t>Closed Lost</t>
        </is>
      </c>
      <c r="E26" s="66">
        <f>SUMIF('RFP Data'!F2:F639,D26,'RFP Data'!K2:K639)</f>
        <v/>
      </c>
    </row>
    <row r="27">
      <c r="A27" s="41" t="inlineStr">
        <is>
          <t>Terminated</t>
        </is>
      </c>
      <c r="B27" s="32">
        <f>COUNTIF('RFP Data'!F2:F639,A27)</f>
        <v/>
      </c>
      <c r="D27" s="41" t="inlineStr">
        <is>
          <t>Terminated</t>
        </is>
      </c>
      <c r="E27" s="66">
        <f>SUMIF('RFP Data'!F2:F639,D27,'RFP Data'!K2:K639)</f>
        <v/>
      </c>
    </row>
    <row r="28">
      <c r="A28" s="42" t="inlineStr">
        <is>
          <t>RFx Cancelled</t>
        </is>
      </c>
      <c r="B28" s="32">
        <f>COUNTIF('RFP Data'!F2:F639,A28)</f>
        <v/>
      </c>
      <c r="D28" s="42" t="inlineStr">
        <is>
          <t>RFx Cancelled</t>
        </is>
      </c>
      <c r="E28" s="66">
        <f>SUMIF('RFP Data'!F2:F639,D28,'RFP Data'!K2:K639)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Data'!N2:N639,A33)</f>
        <v/>
      </c>
      <c r="D33" s="2" t="inlineStr">
        <is>
          <t>Ashutosh Chauhan</t>
        </is>
      </c>
      <c r="E33" s="66">
        <f>SUMIF('RFP Data'!N2:N639,D33,'RFP Data'!K2:K639)</f>
        <v/>
      </c>
    </row>
    <row r="34">
      <c r="A34" s="2" t="inlineStr">
        <is>
          <t>Jyothsna Nanda kishore</t>
        </is>
      </c>
      <c r="B34" s="32">
        <f>COUNTIF('RFP Data'!N2:N639,A34)</f>
        <v/>
      </c>
      <c r="D34" s="2" t="inlineStr">
        <is>
          <t>Jyothsna Nanda kishore</t>
        </is>
      </c>
      <c r="E34" s="66">
        <f>SUMIF('RFP Data'!N2:N639,D34,'RFP Data'!K2:K639)</f>
        <v/>
      </c>
    </row>
    <row r="35">
      <c r="A35" s="2" t="inlineStr">
        <is>
          <t>Abhishek Zalani</t>
        </is>
      </c>
      <c r="B35" s="32">
        <f>COUNTIF('RFP Data'!N2:N639,A35)</f>
        <v/>
      </c>
      <c r="D35" s="2" t="inlineStr">
        <is>
          <t>Abhishek Zalani</t>
        </is>
      </c>
      <c r="E35" s="66">
        <f>SUMIF('RFP Data'!N2:N639,D35,'RFP Data'!K2:K639)</f>
        <v/>
      </c>
    </row>
    <row r="36">
      <c r="A36" s="2" t="inlineStr">
        <is>
          <t>Savya Atrey</t>
        </is>
      </c>
      <c r="B36" s="32">
        <f>COUNTIF('RFP Data'!N2:N639,A36)</f>
        <v/>
      </c>
      <c r="D36" s="2" t="inlineStr">
        <is>
          <t>Savya Atrey</t>
        </is>
      </c>
      <c r="E36" s="66">
        <f>SUMIF('RFP Data'!N2:N639,D36,'RFP Data'!K2:K639)</f>
        <v/>
      </c>
    </row>
    <row r="37">
      <c r="A37" s="2" t="inlineStr">
        <is>
          <t>Madhav Mitruka</t>
        </is>
      </c>
      <c r="B37" s="32">
        <f>COUNTIF('RFP Data'!N2:N639,A37)</f>
        <v/>
      </c>
      <c r="D37" s="2" t="inlineStr">
        <is>
          <t>Madhav Mitruka</t>
        </is>
      </c>
      <c r="E37" s="66">
        <f>SUMIF('RFP Data'!N2:N639,D37,'RFP Data'!K2:K639)</f>
        <v/>
      </c>
    </row>
    <row r="38">
      <c r="A38" s="2" t="inlineStr">
        <is>
          <t>Arshdeep Kaur</t>
        </is>
      </c>
      <c r="B38" s="32">
        <f>COUNTIF('RFP Data'!N2:N639,A38)</f>
        <v/>
      </c>
      <c r="D38" s="2" t="inlineStr">
        <is>
          <t>Arshdeep Kaur</t>
        </is>
      </c>
      <c r="E38" s="66">
        <f>SUMIF('RFP Data'!N2:N639,D38,'RFP Data'!K2:K639)</f>
        <v/>
      </c>
    </row>
    <row r="39">
      <c r="A39" s="2" t="inlineStr">
        <is>
          <t>Vinay Srinivasan</t>
        </is>
      </c>
      <c r="B39" s="32">
        <f>COUNTIF('RFP Data'!N2:N639,A39)</f>
        <v/>
      </c>
      <c r="D39" s="2" t="inlineStr">
        <is>
          <t>Vinay Srinivasan</t>
        </is>
      </c>
      <c r="E39" s="66">
        <f>SUMIF('RFP Data'!N2:N639,D39,'RFP Data'!K2:K639)</f>
        <v/>
      </c>
    </row>
    <row r="40">
      <c r="A40" s="2" t="inlineStr">
        <is>
          <t>Ritoban Maitra</t>
        </is>
      </c>
      <c r="B40" s="32">
        <f>COUNTIF('RFP Data'!N2:N639,A40)</f>
        <v/>
      </c>
      <c r="D40" s="2" t="inlineStr">
        <is>
          <t>Ritoban Maitra</t>
        </is>
      </c>
      <c r="E40" s="66">
        <f>SUMIF('RFP Data'!N2:N639,D40,'RFP Data'!K2:K639)</f>
        <v/>
      </c>
    </row>
    <row r="41">
      <c r="A41" s="2" t="inlineStr">
        <is>
          <t>Ashley Lamaniya</t>
        </is>
      </c>
      <c r="B41" s="32">
        <f>COUNTIF('RFP Data'!N2:N639,A41)</f>
        <v/>
      </c>
      <c r="D41" s="2" t="inlineStr">
        <is>
          <t>Ashley Lamaniya</t>
        </is>
      </c>
      <c r="E41" s="66">
        <f>SUMIF('RFP Data'!N2:N639,D41,'RFP Data'!K2:K639)</f>
        <v/>
      </c>
    </row>
    <row r="42">
      <c r="A42" s="2" t="inlineStr">
        <is>
          <t>Hrithik Srivastava</t>
        </is>
      </c>
      <c r="B42" s="32">
        <f>COUNTIF('RFP Data'!N2:N639,A42)</f>
        <v/>
      </c>
      <c r="D42" s="2" t="inlineStr">
        <is>
          <t>Hrithik Srivastava</t>
        </is>
      </c>
      <c r="E42" s="66">
        <f>SUMIF('RFP Data'!N2:N639,D42,'RFP Data'!K2:K639)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Data'!L2:L639,"*"&amp;A47&amp;"*")</f>
        <v/>
      </c>
      <c r="D47" s="2" t="inlineStr">
        <is>
          <t>Managed Services (MSP)</t>
        </is>
      </c>
      <c r="E47" s="66">
        <f>SUMIF('RFP Data'!L2:L639,"*"&amp;D47&amp;"*",'RFP Data'!K2:K639)</f>
        <v/>
      </c>
    </row>
    <row r="48">
      <c r="A48" s="2" t="inlineStr">
        <is>
          <t>Consulting</t>
        </is>
      </c>
      <c r="B48" s="32">
        <f>COUNTIF('RFP Data'!L2:L639,"*"&amp;A48&amp;"*")</f>
        <v/>
      </c>
      <c r="D48" s="2" t="inlineStr">
        <is>
          <t>Consulting</t>
        </is>
      </c>
      <c r="E48" s="66">
        <f>SUMIF('RFP Data'!L2:L639,"*"&amp;D48&amp;"*",'RFP Data'!K2:K639)</f>
        <v/>
      </c>
    </row>
    <row r="49">
      <c r="A49" s="2" t="inlineStr">
        <is>
          <t>Platform Implementation (ERP, CRMs)</t>
        </is>
      </c>
      <c r="B49" s="32">
        <f>COUNTIF('RFP Data'!L2:L639,"*"&amp;A49&amp;"*")</f>
        <v/>
      </c>
      <c r="D49" s="2" t="inlineStr">
        <is>
          <t>Platform Implementation (ERP, CRMs)</t>
        </is>
      </c>
      <c r="E49" s="66">
        <f>SUMIF('RFP Data'!L2:L639,"*"&amp;D49&amp;"*",'RFP Data'!K2:K639)</f>
        <v/>
      </c>
    </row>
    <row r="50">
      <c r="A50" s="2" t="inlineStr">
        <is>
          <t>Staff Augmentation</t>
        </is>
      </c>
      <c r="B50" s="32">
        <f>COUNTIF('RFP Data'!L2:L639,"*"&amp;A50&amp;"*")</f>
        <v/>
      </c>
      <c r="D50" s="2" t="inlineStr">
        <is>
          <t>Staff Augmentation</t>
        </is>
      </c>
      <c r="E50" s="66">
        <f>SUMIF('RFP Data'!L2:L639,"*"&amp;D50&amp;"*",'RFP Data'!K2:K639)</f>
        <v/>
      </c>
    </row>
    <row r="51">
      <c r="A51" s="2" t="inlineStr">
        <is>
          <t>Reseller</t>
        </is>
      </c>
      <c r="B51" s="32">
        <f>COUNTIF('RFP Data'!L2:L639,"*"&amp;A51&amp;"*")</f>
        <v/>
      </c>
      <c r="D51" s="2" t="inlineStr">
        <is>
          <t>Reseller</t>
        </is>
      </c>
      <c r="E51" s="66">
        <f>SUMIF('RFP Data'!L2:L639,"*"&amp;D51&amp;"*",'RFP Data'!K2:K639)</f>
        <v/>
      </c>
    </row>
    <row r="52">
      <c r="A52" s="2" t="inlineStr">
        <is>
          <t>Audits and Assessment</t>
        </is>
      </c>
      <c r="B52" s="32">
        <f>COUNTIF('RFP Data'!L2:L639,"*"&amp;A52&amp;"*")</f>
        <v/>
      </c>
      <c r="D52" s="2" t="inlineStr">
        <is>
          <t>Audits and Assessment</t>
        </is>
      </c>
      <c r="E52" s="66">
        <f>SUMIF('RFP Data'!L2:L639,"*"&amp;D52&amp;"*",'RFP Data'!K2:K639)</f>
        <v/>
      </c>
    </row>
    <row r="53">
      <c r="A53" s="2" t="inlineStr">
        <is>
          <t>Modernization / Migration</t>
        </is>
      </c>
      <c r="B53" s="32">
        <f>COUNTIF('RFP Data'!L2:L639,"*"&amp;A53&amp;"*")</f>
        <v/>
      </c>
      <c r="D53" s="2" t="inlineStr">
        <is>
          <t>Modernization / Migration</t>
        </is>
      </c>
      <c r="E53" s="66">
        <f>SUMIF('RFP Data'!L2:L639,"*"&amp;D53&amp;"*",'RFP Data'!K2:K639)</f>
        <v/>
      </c>
    </row>
    <row r="54">
      <c r="A54" s="2" t="inlineStr">
        <is>
          <t>Support &amp; Maintenance</t>
        </is>
      </c>
      <c r="B54" s="32">
        <f>COUNTIF('RFP Data'!L2:L639,"*"&amp;A54&amp;"*")</f>
        <v/>
      </c>
      <c r="D54" s="2" t="inlineStr">
        <is>
          <t>Support &amp; Maintenance</t>
        </is>
      </c>
      <c r="E54" s="66">
        <f>SUMIF('RFP Data'!L2:L639,"*"&amp;D54&amp;"*",'RFP Data'!K2:K639)</f>
        <v/>
      </c>
    </row>
    <row r="55">
      <c r="A55" s="2" t="inlineStr">
        <is>
          <t>Training</t>
        </is>
      </c>
      <c r="B55" s="32">
        <f>COUNTIF('RFP Data'!L2:L639,"*"&amp;A55&amp;"*")</f>
        <v/>
      </c>
      <c r="D55" s="2" t="inlineStr">
        <is>
          <t>Training</t>
        </is>
      </c>
      <c r="E55" s="66">
        <f>SUMIF('RFP Data'!L2:L639,"*"&amp;D55&amp;"*",'RFP Data'!K2:K639)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Data'!F2:F639,"Closed Won")</f>
        <v/>
      </c>
      <c r="D59" s="2" t="inlineStr">
        <is>
          <t>Closed Won Value</t>
        </is>
      </c>
      <c r="E59" s="66">
        <f>SUMIF('RFP Data'!F2:F639,"Closed Won",'RFP Data'!K2:K639)</f>
        <v/>
      </c>
    </row>
    <row r="60">
      <c r="A60" s="2" t="inlineStr">
        <is>
          <t>Closed Lost</t>
        </is>
      </c>
      <c r="B60" s="32">
        <f>COUNTIF('RFP Data'!F2:F639,"Closed Lost")</f>
        <v/>
      </c>
      <c r="D60" s="2" t="inlineStr">
        <is>
          <t>Closed Lost Value</t>
        </is>
      </c>
      <c r="E60" s="66">
        <f>SUMIF('RFP Data'!F2:F639,"Closed Lost",'RFP Data'!K2:K639)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Data'!F2:F639,"Closed Won",'RFP Data'!G2:G639,"Yes")</f>
        <v/>
      </c>
    </row>
    <row r="64">
      <c r="A64" s="2" t="inlineStr">
        <is>
          <t>Lost after Interview</t>
        </is>
      </c>
      <c r="B64" s="32">
        <f>COUNTIFS('RFP Data'!F2:F639,"Closed Lost",'RFP Data'!G2:G639,"Yes")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146097902300</t>
        </is>
      </c>
      <c r="C2" s="73" t="inlineStr">
        <is>
          <t>IT-26-004</t>
        </is>
      </c>
      <c r="D2" s="73" t="inlineStr">
        <is>
          <t>Laguna Beach Information Technology Master Plan</t>
        </is>
      </c>
      <c r="E2" s="73" t="inlineStr">
        <is>
          <t>Laguna Beach</t>
        </is>
      </c>
      <c r="F2" s="73" t="inlineStr">
        <is>
          <t>California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>
        <is>
          <t>2025-10-01</t>
        </is>
      </c>
      <c r="L2" s="75" t="n">
        <v>97000</v>
      </c>
      <c r="M2" s="73" t="inlineStr"/>
      <c r="N2" s="73" t="inlineStr">
        <is>
          <t>Portal</t>
        </is>
      </c>
      <c r="O2" s="73" t="inlineStr">
        <is>
          <t>Abhishek Zalani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2025-08-26</t>
        </is>
      </c>
      <c r="Z2" s="73" t="inlineStr">
        <is>
          <t>https://app-na2.hubspot.com/contacts/243046792/record/0-3/146097902300</t>
        </is>
      </c>
      <c r="AA2" s="73" t="inlineStr"/>
    </row>
    <row r="3">
      <c r="A3" s="73" t="n">
        <v>2</v>
      </c>
      <c r="B3" s="73" t="inlineStr">
        <is>
          <t>145081112265</t>
        </is>
      </c>
      <c r="C3" s="73" t="inlineStr"/>
      <c r="D3" s="73" t="inlineStr">
        <is>
          <t>Technology Strategic Management Consulting</t>
        </is>
      </c>
      <c r="E3" s="73" t="inlineStr">
        <is>
          <t>State of Colorado, the Office of Information Technology (OIT)</t>
        </is>
      </c>
      <c r="F3" s="73" t="inlineStr">
        <is>
          <t>Colorado</t>
        </is>
      </c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/>
      <c r="L3" s="73" t="n"/>
      <c r="M3" s="73" t="inlineStr">
        <is>
          <t>Consulting</t>
        </is>
      </c>
      <c r="N3" s="73" t="inlineStr"/>
      <c r="O3" s="73" t="inlineStr">
        <is>
          <t>Madhav Mitruka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2025-08-25</t>
        </is>
      </c>
      <c r="Z3" s="73" t="inlineStr">
        <is>
          <t>https://app-na2.hubspot.com/contacts/243046792/record/0-3/145081112265</t>
        </is>
      </c>
      <c r="AA3" s="73" t="inlineStr"/>
    </row>
    <row r="4">
      <c r="A4" s="73" t="n">
        <v>3</v>
      </c>
      <c r="B4" s="73" t="inlineStr">
        <is>
          <t>159504441074</t>
        </is>
      </c>
      <c r="C4" s="73" t="inlineStr"/>
      <c r="D4" s="73" t="inlineStr">
        <is>
          <t>Managed IT, CITY OF BURKBURNETT, TEXAS</t>
        </is>
      </c>
      <c r="E4" s="73" t="inlineStr"/>
      <c r="F4" s="73" t="inlineStr"/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2025-09-30</t>
        </is>
      </c>
      <c r="L4" s="75" t="n">
        <v>563816</v>
      </c>
      <c r="M4" s="73" t="inlineStr">
        <is>
          <t>Managed Services (MSP)</t>
        </is>
      </c>
      <c r="N4" s="73" t="inlineStr">
        <is>
          <t>Offline</t>
        </is>
      </c>
      <c r="O4" s="73" t="inlineStr">
        <is>
          <t>Jyothsna Nanda kishore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2025-09-12</t>
        </is>
      </c>
      <c r="Z4" s="73" t="inlineStr">
        <is>
          <t>https://app-na2.hubspot.com/contacts/243046792/record/0-3/159504441074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/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/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158191708863</t>
        </is>
      </c>
      <c r="C10" s="73" t="inlineStr"/>
      <c r="D10" s="73" t="inlineStr">
        <is>
          <t>Information Technology Services</t>
        </is>
      </c>
      <c r="E10" s="73" t="inlineStr">
        <is>
          <t>Pine City</t>
        </is>
      </c>
      <c r="F10" s="73" t="inlineStr">
        <is>
          <t>Minnesota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2025-10-03</t>
        </is>
      </c>
      <c r="L10" s="75" t="n">
        <v>43330</v>
      </c>
      <c r="M10" s="73" t="inlineStr">
        <is>
          <t>Managed Services (MSP)</t>
        </is>
      </c>
      <c r="N10" s="73" t="inlineStr">
        <is>
          <t>Email</t>
        </is>
      </c>
      <c r="O10" s="73" t="inlineStr">
        <is>
          <t>Abhishek Zalani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2025-09-10</t>
        </is>
      </c>
      <c r="Z10" s="73" t="inlineStr">
        <is>
          <t>https://app-na2.hubspot.com/contacts/243046792/record/0-3/158191708863</t>
        </is>
      </c>
      <c r="AA10" s="73" t="inlineStr"/>
    </row>
    <row r="11">
      <c r="A11" s="73" t="n">
        <v>10</v>
      </c>
      <c r="B11" s="73" t="inlineStr">
        <is>
          <t>159420375799</t>
        </is>
      </c>
      <c r="C11" s="73" t="inlineStr">
        <is>
          <t>2025-11864</t>
        </is>
      </c>
      <c r="D11" s="73" t="inlineStr">
        <is>
          <t>Temporary Service Provider Services as Required</t>
        </is>
      </c>
      <c r="E11" s="73" t="inlineStr">
        <is>
          <t>Port of Portland</t>
        </is>
      </c>
      <c r="F11" s="73" t="inlineStr">
        <is>
          <t>Oregon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2025-10-02</t>
        </is>
      </c>
      <c r="L11" s="73" t="n"/>
      <c r="M11" s="73" t="inlineStr">
        <is>
          <t>Staff Augmentation</t>
        </is>
      </c>
      <c r="N11" s="73" t="inlineStr"/>
      <c r="O11" s="73" t="inlineStr">
        <is>
          <t>Abhishek Zalani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2025-09-12</t>
        </is>
      </c>
      <c r="Z11" s="73" t="inlineStr">
        <is>
          <t>https://app-na2.hubspot.com/contacts/243046792/record/0-3/159420375799</t>
        </is>
      </c>
      <c r="AA11" s="73" t="inlineStr"/>
    </row>
    <row r="12">
      <c r="A12" s="73" t="n">
        <v>11</v>
      </c>
      <c r="B12" s="73" t="inlineStr">
        <is>
          <t>157345533677</t>
        </is>
      </c>
      <c r="C12" s="73" t="inlineStr"/>
      <c r="D12" s="73" t="inlineStr">
        <is>
          <t>Customer Relationship Manager Platform- Wyoming</t>
        </is>
      </c>
      <c r="E12" s="73" t="inlineStr">
        <is>
          <t>Wyoming Retirement System</t>
        </is>
      </c>
      <c r="F12" s="73" t="inlineStr">
        <is>
          <t>Wyoming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3" t="n"/>
      <c r="M12" s="73" t="inlineStr">
        <is>
          <t>Platform Implementation (ERP, CRMs)</t>
        </is>
      </c>
      <c r="N12" s="73" t="inlineStr">
        <is>
          <t>Portal</t>
        </is>
      </c>
      <c r="O12" s="73" t="inlineStr">
        <is>
          <t>Arshdeep Kaur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2025-09-08</t>
        </is>
      </c>
      <c r="Z12" s="73" t="inlineStr">
        <is>
          <t>https://app-na2.hubspot.com/contacts/243046792/record/0-3/157345533677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164634450618</t>
        </is>
      </c>
      <c r="C19" s="73" t="inlineStr"/>
      <c r="D19" s="73" t="inlineStr">
        <is>
          <t>Development and Implementation of Comprehensive Data Governance Policy</t>
        </is>
      </c>
      <c r="E19" s="73" t="inlineStr">
        <is>
          <t>Wake County Public School System</t>
        </is>
      </c>
      <c r="F19" s="73" t="inlineStr">
        <is>
          <t>North Carolina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2025-09-30</t>
        </is>
      </c>
      <c r="L19" s="73" t="n"/>
      <c r="M19" s="73" t="inlineStr">
        <is>
          <t>Training;Consulting</t>
        </is>
      </c>
      <c r="N19" s="73" t="inlineStr">
        <is>
          <t>Offline</t>
        </is>
      </c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2025-09-22</t>
        </is>
      </c>
      <c r="Z19" s="73" t="inlineStr">
        <is>
          <t>https://app-na2.hubspot.com/contacts/243046792/record/0-3/164634450618</t>
        </is>
      </c>
      <c r="AA19" s="73" t="inlineStr"/>
    </row>
    <row r="20">
      <c r="A20" s="73" t="n">
        <v>19</v>
      </c>
      <c r="B20" s="73" t="inlineStr">
        <is>
          <t>166098266830</t>
        </is>
      </c>
      <c r="C20" s="73" t="inlineStr"/>
      <c r="D20" s="73" t="inlineStr">
        <is>
          <t>Enterprise Resource Planning (ERP) System Assessment.</t>
        </is>
      </c>
      <c r="E20" s="73" t="inlineStr">
        <is>
          <t>Mecklenburg County</t>
        </is>
      </c>
      <c r="F20" s="73" t="inlineStr">
        <is>
          <t>North Carolina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/>
      <c r="L20" s="73" t="n"/>
      <c r="M20" s="73" t="inlineStr">
        <is>
          <t>Audits and Assessment</t>
        </is>
      </c>
      <c r="N20" s="73" t="inlineStr"/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2025-09-22</t>
        </is>
      </c>
      <c r="Z20" s="73" t="inlineStr">
        <is>
          <t>https://app-na2.hubspot.com/contacts/243046792/record/0-3/166098266830</t>
        </is>
      </c>
      <c r="AA20" s="73" t="inlineStr"/>
    </row>
    <row r="21">
      <c r="A21" s="73" t="n">
        <v>20</v>
      </c>
      <c r="B21" s="73" t="inlineStr">
        <is>
          <t>140837168873</t>
        </is>
      </c>
      <c r="C21" s="73" t="inlineStr"/>
      <c r="D21" s="73" t="inlineStr">
        <is>
          <t>SAP S/4HANA CONVERSION AND MIGRATION SERVICES</t>
        </is>
      </c>
      <c r="E21" s="73" t="inlineStr">
        <is>
          <t>San Diego Metropolitan Transit System</t>
        </is>
      </c>
      <c r="F21" s="73" t="inlineStr">
        <is>
          <t>California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>
        <is>
          <t>2025-10-07</t>
        </is>
      </c>
      <c r="L21" s="75" t="n">
        <v>996800</v>
      </c>
      <c r="M21" s="73" t="inlineStr">
        <is>
          <t>Modernization / Migration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2025-08-12</t>
        </is>
      </c>
      <c r="Z21" s="73" t="inlineStr">
        <is>
          <t>https://app-na2.hubspot.com/contacts/243046792/record/0-3/140837168873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167226058440</t>
        </is>
      </c>
      <c r="C25" s="73" t="inlineStr">
        <is>
          <t>186063</t>
        </is>
      </c>
      <c r="D25" s="73" t="inlineStr">
        <is>
          <t>REQUEST FOR PROPOSAL 186063: Internal Audit Services</t>
        </is>
      </c>
      <c r="E25" s="73" t="inlineStr">
        <is>
          <t>City of Detroit</t>
        </is>
      </c>
      <c r="F25" s="73" t="inlineStr">
        <is>
          <t>Michigan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2025-10-08</t>
        </is>
      </c>
      <c r="L25" s="75" t="n">
        <v>46000</v>
      </c>
      <c r="M25" s="73" t="inlineStr">
        <is>
          <t>Audits and Assessment</t>
        </is>
      </c>
      <c r="N25" s="73" t="inlineStr">
        <is>
          <t>Portal</t>
        </is>
      </c>
      <c r="O25" s="73" t="inlineStr">
        <is>
          <t>Abhishek Zalani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2025-09-22</t>
        </is>
      </c>
      <c r="Z25" s="73" t="inlineStr">
        <is>
          <t>https://app-na2.hubspot.com/contacts/243046792/record/0-3/167226058440</t>
        </is>
      </c>
      <c r="AA25" s="73" t="inlineStr"/>
    </row>
    <row r="26">
      <c r="A26" s="73" t="n">
        <v>25</v>
      </c>
      <c r="B26" s="73" t="inlineStr">
        <is>
          <t>180873330422</t>
        </is>
      </c>
      <c r="C26" s="73" t="inlineStr"/>
      <c r="D26" s="73" t="inlineStr">
        <is>
          <t>NuHarbor SOC</t>
        </is>
      </c>
      <c r="E26" s="73" t="inlineStr">
        <is>
          <t xml:space="preserve">California Department of State Hospitals </t>
        </is>
      </c>
      <c r="F26" s="73" t="inlineStr">
        <is>
          <t>California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2025-10-09</t>
        </is>
      </c>
      <c r="L26" s="75" t="n">
        <v>149000</v>
      </c>
      <c r="M26" s="73" t="inlineStr">
        <is>
          <t>Support &amp; Maintenance</t>
        </is>
      </c>
      <c r="N26" s="73" t="inlineStr"/>
      <c r="O26" s="73" t="inlineStr">
        <is>
          <t>Ashutosh Chauhan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2025-10-08</t>
        </is>
      </c>
      <c r="Z26" s="73" t="inlineStr">
        <is>
          <t>https://app-na2.hubspot.com/contacts/243046792/record/0-3/180873330422</t>
        </is>
      </c>
      <c r="AA26" s="73" t="inlineStr"/>
    </row>
    <row r="27">
      <c r="A27" s="73" t="n">
        <v>26</v>
      </c>
      <c r="B27" s="73" t="inlineStr">
        <is>
          <t>163703775952</t>
        </is>
      </c>
      <c r="C27" s="73" t="inlineStr"/>
      <c r="D27" s="73" t="inlineStr">
        <is>
          <t>IT Consultant</t>
        </is>
      </c>
      <c r="E27" s="73" t="inlineStr">
        <is>
          <t>Dupage County</t>
        </is>
      </c>
      <c r="F27" s="73" t="inlineStr">
        <is>
          <t>Illinois</t>
        </is>
      </c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2025-10-08</t>
        </is>
      </c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2025-09-18</t>
        </is>
      </c>
      <c r="Z27" s="73" t="inlineStr">
        <is>
          <t>https://app-na2.hubspot.com/contacts/243046792/record/0-3/163703775952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162088909561</t>
        </is>
      </c>
      <c r="C33" s="73" t="inlineStr">
        <is>
          <t>25-02CM</t>
        </is>
      </c>
      <c r="D33" s="73" t="inlineStr">
        <is>
          <t xml:space="preserve"> Information Technology Services</t>
        </is>
      </c>
      <c r="E33" s="73" t="inlineStr">
        <is>
          <t>City of Palmer</t>
        </is>
      </c>
      <c r="F33" s="73" t="inlineStr">
        <is>
          <t>Alaska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2025-10-10</t>
        </is>
      </c>
      <c r="L33" s="73" t="n"/>
      <c r="M33" s="73" t="inlineStr">
        <is>
          <t>Managed Services (MSP)</t>
        </is>
      </c>
      <c r="N33" s="73" t="inlineStr">
        <is>
          <t>Email</t>
        </is>
      </c>
      <c r="O33" s="73" t="inlineStr">
        <is>
          <t>Ashutosh Chauhan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2025-09-15</t>
        </is>
      </c>
      <c r="Z33" s="73" t="inlineStr">
        <is>
          <t>https://app-na2.hubspot.com/contacts/243046792/record/0-3/162088909561</t>
        </is>
      </c>
      <c r="AA33" s="73" t="inlineStr"/>
    </row>
    <row r="34">
      <c r="A34" s="73" t="n">
        <v>33</v>
      </c>
      <c r="B34" s="73" t="inlineStr">
        <is>
          <t>158191708877</t>
        </is>
      </c>
      <c r="C34" s="73" t="inlineStr"/>
      <c r="D34" s="73" t="inlineStr">
        <is>
          <t>INFORMATION TECHNOLOGY SOLUTIONS &amp; SERVICES</t>
        </is>
      </c>
      <c r="E34" s="73" t="inlineStr">
        <is>
          <t>City of Benson</t>
        </is>
      </c>
      <c r="F34" s="73" t="inlineStr">
        <is>
          <t>Arizona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2025-10-13</t>
        </is>
      </c>
      <c r="L34" s="75" t="n">
        <v>192720</v>
      </c>
      <c r="M34" s="73" t="inlineStr">
        <is>
          <t>Managed Services (MSP)</t>
        </is>
      </c>
      <c r="N34" s="73" t="inlineStr">
        <is>
          <t>Portal</t>
        </is>
      </c>
      <c r="O34" s="73" t="inlineStr">
        <is>
          <t>Abhishek Zalani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2025-09-10</t>
        </is>
      </c>
      <c r="Z34" s="73" t="inlineStr">
        <is>
          <t>https://app-na2.hubspot.com/contacts/243046792/record/0-3/158191708877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240974373562</t>
        </is>
      </c>
      <c r="C43" s="73" t="inlineStr">
        <is>
          <t>Consolidated IT Services Bench</t>
        </is>
      </c>
      <c r="D43" s="73" t="inlineStr">
        <is>
          <t xml:space="preserve">Consolidated IT Services Bench </t>
        </is>
      </c>
      <c r="E43" s="73" t="inlineStr">
        <is>
          <t>Los Angeles Unified School District (LAUSD)</t>
        </is>
      </c>
      <c r="F43" s="73" t="inlineStr">
        <is>
          <t>California</t>
        </is>
      </c>
      <c r="G43" s="73" t="inlineStr">
        <is>
          <t>Intent to Award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3" t="n"/>
      <c r="M43" s="73" t="inlineStr">
        <is>
          <t>Staff Augmentation</t>
        </is>
      </c>
      <c r="N43" s="73" t="inlineStr">
        <is>
          <t>Portal</t>
        </is>
      </c>
      <c r="O43" s="73" t="inlineStr">
        <is>
          <t>Abhishek Zalani</t>
        </is>
      </c>
      <c r="P43" s="73" t="inlineStr"/>
      <c r="Q43" s="73" t="inlineStr"/>
      <c r="R43" s="73" t="inlineStr"/>
      <c r="S43" s="73" t="inlineStr">
        <is>
          <t>2025-11-21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2025-10-09</t>
        </is>
      </c>
      <c r="Z43" s="73" t="inlineStr">
        <is>
          <t>https://app-na2.hubspot.com/contacts/243046792/record/0-3/240974373562</t>
        </is>
      </c>
      <c r="AA43" s="73" t="inlineStr"/>
    </row>
    <row r="44">
      <c r="A44" s="73" t="n">
        <v>43</v>
      </c>
      <c r="B44" s="73" t="inlineStr">
        <is>
          <t>182109882089</t>
        </is>
      </c>
      <c r="C44" s="73" t="inlineStr"/>
      <c r="D44" s="73" t="inlineStr">
        <is>
          <t>Enterprise Software Application Services Bench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2025-12-10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https://app-na2.hubspot.com/contacts/243046792/record/0-3/182109882089</t>
        </is>
      </c>
      <c r="AA44" s="73" t="inlineStr"/>
    </row>
    <row r="45">
      <c r="A45" s="73" t="n">
        <v>44</v>
      </c>
      <c r="B45" s="73" t="inlineStr">
        <is>
          <t>167226060525</t>
        </is>
      </c>
      <c r="C45" s="73" t="inlineStr">
        <is>
          <t>26019</t>
        </is>
      </c>
      <c r="D45" s="73" t="inlineStr">
        <is>
          <t>Student Engagement Application</t>
        </is>
      </c>
      <c r="E45" s="73" t="inlineStr">
        <is>
          <t>Fox Valley Technical College</t>
        </is>
      </c>
      <c r="F45" s="73" t="inlineStr">
        <is>
          <t>Wisconsin</t>
        </is>
      </c>
      <c r="G45" s="73" t="inlineStr">
        <is>
          <t>Submitted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5" t="n">
        <v>191800</v>
      </c>
      <c r="M45" s="73" t="inlineStr">
        <is>
          <t>Support &amp; Maintenance;Platform Implementation (ERP, CRMs)</t>
        </is>
      </c>
      <c r="N45" s="73" t="inlineStr"/>
      <c r="O45" s="73" t="inlineStr">
        <is>
          <t>Abhishek Zalani</t>
        </is>
      </c>
      <c r="P45" s="73" t="inlineStr"/>
      <c r="Q45" s="73" t="inlineStr"/>
      <c r="R45" s="73" t="inlineStr"/>
      <c r="S45" s="73" t="inlineStr"/>
      <c r="T45" s="73" t="inlineStr"/>
      <c r="U45" s="73" t="inlineStr"/>
      <c r="V45" s="73" t="inlineStr"/>
      <c r="W45" s="73" t="inlineStr"/>
      <c r="X45" s="73" t="inlineStr"/>
      <c r="Y45" s="73" t="inlineStr">
        <is>
          <t>2025-09-22</t>
        </is>
      </c>
      <c r="Z45" s="73" t="inlineStr">
        <is>
          <t>https://app-na2.hubspot.com/contacts/243046792/record/0-3/167226060525</t>
        </is>
      </c>
      <c r="AA45" s="73" t="inlineStr"/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181172763351</t>
        </is>
      </c>
      <c r="C49" s="73" t="inlineStr"/>
      <c r="D49" s="73" t="inlineStr">
        <is>
          <t>Network and IT Security Consultant Services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2025-10-16</t>
        </is>
      </c>
      <c r="L49" s="73" t="n"/>
      <c r="M49" s="73" t="inlineStr">
        <is>
          <t>Consulting</t>
        </is>
      </c>
      <c r="N49" s="73" t="inlineStr"/>
      <c r="O49" s="73" t="inlineStr">
        <is>
          <t>Abhishek Zalani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https://app-na2.hubspot.com/contacts/243046792/record/0-3/181172763351</t>
        </is>
      </c>
      <c r="AA49" s="73" t="inlineStr"/>
    </row>
    <row r="50">
      <c r="A50" s="73" t="n">
        <v>49</v>
      </c>
      <c r="B50" s="73" t="inlineStr">
        <is>
          <t>181172764371</t>
        </is>
      </c>
      <c r="C50" s="73" t="inlineStr"/>
      <c r="D50" s="73" t="inlineStr">
        <is>
          <t xml:space="preserve">INFORMATION TECHNOLOGY CONSULTANT SERVICES	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2025-10-13</t>
        </is>
      </c>
      <c r="L50" s="75" t="n">
        <v>179860</v>
      </c>
      <c r="M50" s="73" t="inlineStr">
        <is>
          <t>Managed Services (MSP)</t>
        </is>
      </c>
      <c r="N50" s="73" t="inlineStr">
        <is>
          <t>Offline</t>
        </is>
      </c>
      <c r="O50" s="73" t="inlineStr">
        <is>
          <t>Jyothsna Nanda kishore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https://app-na2.hubspot.com/contacts/243046792/record/0-3/181172764371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180873322205</t>
        </is>
      </c>
      <c r="C54" s="73" t="inlineStr"/>
      <c r="D54" s="73" t="inlineStr">
        <is>
          <t>Web hosting for the Drupal Website Service Using CMS</t>
        </is>
      </c>
      <c r="E54" s="73" t="inlineStr">
        <is>
          <t xml:space="preserve">The City of Berkeley Public Library </t>
        </is>
      </c>
      <c r="F54" s="73" t="inlineStr">
        <is>
          <t>California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>
        <is>
          <t>Platform Implementation (ERP, CRMs)</t>
        </is>
      </c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2025-10-08</t>
        </is>
      </c>
      <c r="Z54" s="73" t="inlineStr">
        <is>
          <t>https://app-na2.hubspot.com/contacts/243046792/record/0-3/180873322205</t>
        </is>
      </c>
      <c r="AA54" s="73" t="inlineStr"/>
    </row>
    <row r="55">
      <c r="A55" s="73" t="n">
        <v>54</v>
      </c>
      <c r="B55" s="73" t="inlineStr">
        <is>
          <t>162089209585</t>
        </is>
      </c>
      <c r="C55" s="73" t="inlineStr"/>
      <c r="D55" s="73" t="inlineStr">
        <is>
          <t>Online Learning Design and Platform Development Services</t>
        </is>
      </c>
      <c r="E55" s="73" t="inlineStr">
        <is>
          <t>Charter Oak State College</t>
        </is>
      </c>
      <c r="F55" s="73" t="inlineStr">
        <is>
          <t>Connecticut</t>
        </is>
      </c>
      <c r="G55" s="73" t="inlineStr">
        <is>
          <t>Submitted</t>
        </is>
      </c>
      <c r="H55" s="73" t="inlineStr"/>
      <c r="I55" s="73" t="inlineStr"/>
      <c r="J55" s="73" t="inlineStr">
        <is>
          <t>2025-10-17</t>
        </is>
      </c>
      <c r="K55" s="73" t="inlineStr">
        <is>
          <t>2025-10-17</t>
        </is>
      </c>
      <c r="L55" s="73" t="n"/>
      <c r="M55" s="73" t="inlineStr"/>
      <c r="N55" s="73" t="inlineStr"/>
      <c r="O55" s="73" t="inlineStr">
        <is>
          <t>Abhishek Zalani</t>
        </is>
      </c>
      <c r="P55" s="73" t="inlineStr"/>
      <c r="Q55" s="73" t="inlineStr"/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2025-09-17</t>
        </is>
      </c>
      <c r="Z55" s="73" t="inlineStr">
        <is>
          <t>https://app-na2.hubspot.com/contacts/243046792/record/0-3/162089209585</t>
        </is>
      </c>
      <c r="AA55" s="73" t="inlineStr"/>
    </row>
    <row r="56">
      <c r="A56" s="73" t="n">
        <v>55</v>
      </c>
      <c r="B56" s="73" t="inlineStr">
        <is>
          <t>180556585692</t>
        </is>
      </c>
      <c r="C56" s="73" t="inlineStr"/>
      <c r="D56" s="73" t="inlineStr">
        <is>
          <t>CLOUD-BASED DIGITAL ASSET MANAGEMENT SYSTEM</t>
        </is>
      </c>
      <c r="E56" s="73" t="inlineStr">
        <is>
          <t>Friends of Southwest Virginia</t>
        </is>
      </c>
      <c r="F56" s="73" t="inlineStr">
        <is>
          <t>Virginia</t>
        </is>
      </c>
      <c r="G56" s="73" t="inlineStr">
        <is>
          <t>Submitted</t>
        </is>
      </c>
      <c r="H56" s="73" t="inlineStr">
        <is>
          <t>Yes</t>
        </is>
      </c>
      <c r="I56" s="73" t="inlineStr">
        <is>
          <t>Interview</t>
        </is>
      </c>
      <c r="J56" s="73" t="inlineStr">
        <is>
          <t>2025-10-17</t>
        </is>
      </c>
      <c r="K56" s="73" t="inlineStr">
        <is>
          <t>2025-10-17</t>
        </is>
      </c>
      <c r="L56" s="75" t="n">
        <v>94216</v>
      </c>
      <c r="M56" s="73" t="inlineStr">
        <is>
          <t>Platform Implementation (ERP, CRMs)</t>
        </is>
      </c>
      <c r="N56" s="73" t="inlineStr">
        <is>
          <t>Email</t>
        </is>
      </c>
      <c r="O56" s="73" t="inlineStr">
        <is>
          <t>Abhishek Zalani</t>
        </is>
      </c>
      <c r="P56" s="73" t="inlineStr">
        <is>
          <t>Interview Scheduled</t>
        </is>
      </c>
      <c r="Q56" s="73" t="inlineStr">
        <is>
          <t>2026-01-13</t>
        </is>
      </c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2025-10-07</t>
        </is>
      </c>
      <c r="Z56" s="73" t="inlineStr">
        <is>
          <t>https://app-na2.hubspot.com/contacts/243046792/record/0-3/180556585692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/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/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181960951499</t>
        </is>
      </c>
      <c r="C62" s="73" t="inlineStr"/>
      <c r="D62" s="73" t="inlineStr">
        <is>
          <t>On-Site and Remote Information Technology Support Services for Kimble County, TX</t>
        </is>
      </c>
      <c r="E62" s="73" t="inlineStr">
        <is>
          <t>Concho Valley Council of Governments</t>
        </is>
      </c>
      <c r="F62" s="73" t="inlineStr">
        <is>
          <t>Texas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2025-10-17</t>
        </is>
      </c>
      <c r="L62" s="75" t="n">
        <v>30840</v>
      </c>
      <c r="M62" s="73" t="inlineStr">
        <is>
          <t>Managed Services (MSP)</t>
        </is>
      </c>
      <c r="N62" s="73" t="inlineStr">
        <is>
          <t>Offline</t>
        </is>
      </c>
      <c r="O62" s="73" t="inlineStr">
        <is>
          <t>Jyothsna Nanda kishore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2025-10-09</t>
        </is>
      </c>
      <c r="Z62" s="73" t="inlineStr">
        <is>
          <t>https://app-na2.hubspot.com/contacts/243046792/record/0-3/181960951499</t>
        </is>
      </c>
      <c r="AA62" s="73" t="inlineStr"/>
    </row>
    <row r="63">
      <c r="A63" s="73" t="n">
        <v>62</v>
      </c>
      <c r="B63" s="73" t="inlineStr">
        <is>
          <t>167226780388</t>
        </is>
      </c>
      <c r="C63" s="73" t="inlineStr">
        <is>
          <t>59-25</t>
        </is>
      </c>
      <c r="D63" s="73" t="inlineStr">
        <is>
          <t>Citywide Location Analytics and Intelligence Services</t>
        </is>
      </c>
      <c r="E63" s="73" t="inlineStr">
        <is>
          <t>City of Clearwater</t>
        </is>
      </c>
      <c r="F63" s="73" t="inlineStr">
        <is>
          <t>Florida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2025-10-22</t>
        </is>
      </c>
      <c r="L63" s="75" t="n">
        <v>343000</v>
      </c>
      <c r="M63" s="73" t="inlineStr"/>
      <c r="N63" s="73" t="inlineStr">
        <is>
          <t>Portal</t>
        </is>
      </c>
      <c r="O63" s="73" t="inlineStr">
        <is>
          <t>Abhishek Zalani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2025-09-22</t>
        </is>
      </c>
      <c r="Z63" s="73" t="inlineStr">
        <is>
          <t>https://app-na2.hubspot.com/contacts/243046792/record/0-3/167226780388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Interview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173703260877</t>
        </is>
      </c>
      <c r="C66" s="73" t="inlineStr"/>
      <c r="D66" s="73" t="inlineStr">
        <is>
          <t>Centralized Data Platform and Software as a Service (SaaS)</t>
        </is>
      </c>
      <c r="E66" s="73" t="inlineStr">
        <is>
          <t>Central Ohio Transit Authority</t>
        </is>
      </c>
      <c r="F66" s="73" t="inlineStr">
        <is>
          <t>Ohio</t>
        </is>
      </c>
      <c r="G66" s="73" t="inlineStr">
        <is>
          <t>Submitted</t>
        </is>
      </c>
      <c r="H66" s="73" t="inlineStr"/>
      <c r="I66" s="73" t="inlineStr"/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Platform Implementation (ERP, CRMs)</t>
        </is>
      </c>
      <c r="N66" s="73" t="inlineStr"/>
      <c r="O66" s="73" t="inlineStr">
        <is>
          <t>Abhishek Zalani</t>
        </is>
      </c>
      <c r="P66" s="73" t="inlineStr"/>
      <c r="Q66" s="73" t="inlineStr"/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2025-10-01</t>
        </is>
      </c>
      <c r="Z66" s="73" t="inlineStr">
        <is>
          <t>https://app-na2.hubspot.com/contacts/243046792/record/0-3/173703260877</t>
        </is>
      </c>
      <c r="AA66" s="73" t="inlineStr"/>
    </row>
    <row r="67">
      <c r="A67" s="73" t="n">
        <v>66</v>
      </c>
      <c r="B67" s="73" t="inlineStr">
        <is>
          <t>178774810310</t>
        </is>
      </c>
      <c r="C67" s="73" t="inlineStr"/>
      <c r="D67" s="73" t="inlineStr">
        <is>
          <t>Workday AMS Support Services</t>
        </is>
      </c>
      <c r="E67" s="73" t="inlineStr">
        <is>
          <t>City of Olathe</t>
        </is>
      </c>
      <c r="F67" s="73" t="inlineStr">
        <is>
          <t>Kansas</t>
        </is>
      </c>
      <c r="G67" s="73" t="inlineStr">
        <is>
          <t>Submitted</t>
        </is>
      </c>
      <c r="H67" s="73" t="inlineStr"/>
      <c r="I67" s="73" t="inlineStr"/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Managed Services (MSP)</t>
        </is>
      </c>
      <c r="N67" s="73" t="inlineStr">
        <is>
          <t>Portal</t>
        </is>
      </c>
      <c r="O67" s="73" t="inlineStr">
        <is>
          <t>Jyothsna Nanda kishore</t>
        </is>
      </c>
      <c r="P67" s="73" t="inlineStr"/>
      <c r="Q67" s="73" t="inlineStr"/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https://app-na2.hubspot.com/contacts/243046792/record/0-3/178774810310</t>
        </is>
      </c>
      <c r="AA67" s="73" t="inlineStr"/>
    </row>
    <row r="68">
      <c r="A68" s="73" t="n">
        <v>67</v>
      </c>
      <c r="B68" s="73" t="inlineStr">
        <is>
          <t>176000104170</t>
        </is>
      </c>
      <c r="C68" s="73" t="inlineStr"/>
      <c r="D68" s="73" t="inlineStr">
        <is>
          <t>IT Disaster Recovery Plan</t>
        </is>
      </c>
      <c r="E68" s="73" t="inlineStr">
        <is>
          <t>Washington County</t>
        </is>
      </c>
      <c r="F68" s="73" t="inlineStr">
        <is>
          <t>Minnesota</t>
        </is>
      </c>
      <c r="G68" s="73" t="inlineStr">
        <is>
          <t>Interview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2025-10-24</t>
        </is>
      </c>
      <c r="K68" s="73" t="inlineStr">
        <is>
          <t>2025-10-24</t>
        </is>
      </c>
      <c r="L68" s="73" t="n"/>
      <c r="M68" s="73" t="inlineStr">
        <is>
          <t>Consulting</t>
        </is>
      </c>
      <c r="N68" s="73" t="inlineStr">
        <is>
          <t>Email</t>
        </is>
      </c>
      <c r="O68" s="73" t="inlineStr">
        <is>
          <t>Ashutosh Chauhan</t>
        </is>
      </c>
      <c r="P68" s="73" t="inlineStr"/>
      <c r="Q68" s="73" t="inlineStr">
        <is>
          <t>2025-11-05</t>
        </is>
      </c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2025-10-06</t>
        </is>
      </c>
      <c r="Z68" s="73" t="inlineStr">
        <is>
          <t>https://app-na2.hubspot.com/contacts/243046792/record/0-3/176000104170</t>
        </is>
      </c>
      <c r="AA68" s="73" t="inlineStr"/>
    </row>
    <row r="69">
      <c r="A69" s="73" t="n">
        <v>68</v>
      </c>
      <c r="B69" s="73" t="inlineStr">
        <is>
          <t>180942915280</t>
        </is>
      </c>
      <c r="C69" s="73" t="inlineStr">
        <is>
          <t>2023-RFP-012</t>
        </is>
      </c>
      <c r="D69" s="73" t="inlineStr">
        <is>
          <t>Enterprise Database Management Software Solution (Re-Bid)</t>
        </is>
      </c>
      <c r="E69" s="73" t="inlineStr">
        <is>
          <t>Neoride</t>
        </is>
      </c>
      <c r="F69" s="73" t="inlineStr">
        <is>
          <t>Ohio</t>
        </is>
      </c>
      <c r="G69" s="73" t="inlineStr">
        <is>
          <t>Submitted</t>
        </is>
      </c>
      <c r="H69" s="73" t="inlineStr"/>
      <c r="I69" s="73" t="inlineStr"/>
      <c r="J69" s="73" t="inlineStr">
        <is>
          <t>2025-10-24</t>
        </is>
      </c>
      <c r="K69" s="73" t="inlineStr">
        <is>
          <t>2025-10-24</t>
        </is>
      </c>
      <c r="L69" s="75" t="n">
        <v>1100000</v>
      </c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Abhishek Zalani</t>
        </is>
      </c>
      <c r="P69" s="73" t="inlineStr"/>
      <c r="Q69" s="73" t="inlineStr"/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2025-10-08</t>
        </is>
      </c>
      <c r="Z69" s="73" t="inlineStr">
        <is>
          <t>https://app-na2.hubspot.com/contacts/243046792/record/0-3/180942915280</t>
        </is>
      </c>
      <c r="AA69" s="73" t="inlineStr"/>
    </row>
    <row r="70">
      <c r="A70" s="73" t="n">
        <v>69</v>
      </c>
      <c r="B70" s="73" t="inlineStr">
        <is>
          <t>183648627418</t>
        </is>
      </c>
      <c r="C70" s="73" t="inlineStr"/>
      <c r="D70" s="73" t="inlineStr">
        <is>
          <t>Data Migration Services (Rebid)</t>
        </is>
      </c>
      <c r="E70" s="73" t="inlineStr">
        <is>
          <t>Huntington Park</t>
        </is>
      </c>
      <c r="F70" s="73" t="inlineStr">
        <is>
          <t>California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5" t="n">
        <v>40350</v>
      </c>
      <c r="M70" s="73" t="inlineStr">
        <is>
          <t>Modernization / Migration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2025-10-10</t>
        </is>
      </c>
      <c r="Z70" s="73" t="inlineStr">
        <is>
          <t>https://app-na2.hubspot.com/contacts/243046792/record/0-3/183648627418</t>
        </is>
      </c>
      <c r="AA70" s="73" t="inlineStr"/>
    </row>
    <row r="71">
      <c r="A71" s="73" t="n">
        <v>70</v>
      </c>
      <c r="B71" s="73" t="inlineStr">
        <is>
          <t>178922700534</t>
        </is>
      </c>
      <c r="C71" s="73" t="inlineStr"/>
      <c r="D71" s="73" t="inlineStr">
        <is>
          <t>Data Platform</t>
        </is>
      </c>
      <c r="E71" s="73" t="inlineStr">
        <is>
          <t xml:space="preserve">University of Michigan </t>
        </is>
      </c>
      <c r="F71" s="73" t="inlineStr"/>
      <c r="G71" s="73" t="inlineStr">
        <is>
          <t>Interview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Platform Implementation (ERP, CRMs)</t>
        </is>
      </c>
      <c r="N71" s="73" t="inlineStr">
        <is>
          <t>Portal</t>
        </is>
      </c>
      <c r="O71" s="73" t="inlineStr">
        <is>
          <t>Ashutosh Chauhan</t>
        </is>
      </c>
      <c r="P71" s="73" t="inlineStr"/>
      <c r="Q71" s="73" t="inlineStr">
        <is>
          <t>2026-01-07</t>
        </is>
      </c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2025-10-06</t>
        </is>
      </c>
      <c r="Z71" s="73" t="inlineStr">
        <is>
          <t>https://app-na2.hubspot.com/contacts/243046792/record/0-3/178922700534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/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186933293762</t>
        </is>
      </c>
      <c r="C75" s="73" t="inlineStr"/>
      <c r="D75" s="73" t="inlineStr">
        <is>
          <t>Integration, Programming, and Network Communication Services</t>
        </is>
      </c>
      <c r="E75" s="73" t="inlineStr">
        <is>
          <t xml:space="preserve">Metropolitan Water District of Salt Lake &amp; Sandy </t>
        </is>
      </c>
      <c r="F75" s="73" t="inlineStr">
        <is>
          <t>Utah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Modernization / Migration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2025-10-13</t>
        </is>
      </c>
      <c r="Z75" s="73" t="inlineStr">
        <is>
          <t>https://app-na2.hubspot.com/contacts/243046792/record/0-3/186933293762</t>
        </is>
      </c>
      <c r="AA75" s="73" t="inlineStr"/>
    </row>
    <row r="76">
      <c r="A76" s="73" t="n">
        <v>75</v>
      </c>
      <c r="B76" s="73" t="inlineStr">
        <is>
          <t>178921260738</t>
        </is>
      </c>
      <c r="C76" s="73" t="inlineStr">
        <is>
          <t>26-16</t>
        </is>
      </c>
      <c r="D76" s="73" t="inlineStr">
        <is>
          <t>AI-Powered Student Attendance andIntervention Platform</t>
        </is>
      </c>
      <c r="E76" s="73" t="inlineStr">
        <is>
          <t>San Bernardino City Unified School District</t>
        </is>
      </c>
      <c r="F76" s="73" t="inlineStr"/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Platform Implementation (ERP, CRMs)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2025-10-06</t>
        </is>
      </c>
      <c r="Z76" s="73" t="inlineStr">
        <is>
          <t>https://app-na2.hubspot.com/contacts/243046792/record/0-3/178921260738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/>
      <c r="T77" s="73" t="inlineStr"/>
      <c r="U77" s="73" t="inlineStr">
        <is>
          <t>2026-01-21</t>
        </is>
      </c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>
        <is>
          <t>Ohio</t>
        </is>
      </c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173276108505</t>
        </is>
      </c>
      <c r="C81" s="73" t="inlineStr">
        <is>
          <t>26-016</t>
        </is>
      </c>
      <c r="D81" s="73" t="inlineStr">
        <is>
          <t>Information Technology (IT) Consulting Services</t>
        </is>
      </c>
      <c r="E81" s="73" t="inlineStr">
        <is>
          <t>CalOptima</t>
        </is>
      </c>
      <c r="F81" s="73" t="inlineStr">
        <is>
          <t>California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Managed Services (MSP)</t>
        </is>
      </c>
      <c r="N81" s="73" t="inlineStr">
        <is>
          <t>Portal</t>
        </is>
      </c>
      <c r="O81" s="73" t="inlineStr">
        <is>
          <t>Ashutosh Chauhan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2025-10-01</t>
        </is>
      </c>
      <c r="Z81" s="73" t="inlineStr">
        <is>
          <t>https://app-na2.hubspot.com/contacts/243046792/record/0-3/173276108505</t>
        </is>
      </c>
      <c r="AA81" s="73" t="inlineStr"/>
    </row>
    <row r="82">
      <c r="A82" s="73" t="n">
        <v>81</v>
      </c>
      <c r="B82" s="73" t="inlineStr">
        <is>
          <t>183649351358</t>
        </is>
      </c>
      <c r="C82" s="73" t="inlineStr"/>
      <c r="D82" s="73" t="inlineStr">
        <is>
          <t>FY26 SHORT TERM RENTAL MANAGEMENT SOFTWARE</t>
        </is>
      </c>
      <c r="E82" s="73" t="inlineStr">
        <is>
          <t>Town of Barnstable</t>
        </is>
      </c>
      <c r="F82" s="73" t="inlineStr">
        <is>
          <t>Massachusetts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Platform Implementation (ERP, CRMs)</t>
        </is>
      </c>
      <c r="N82" s="73" t="inlineStr">
        <is>
          <t>Portal</t>
        </is>
      </c>
      <c r="O82" s="73" t="inlineStr">
        <is>
          <t>Abhishek Zalani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2025-10-10</t>
        </is>
      </c>
      <c r="Z82" s="73" t="inlineStr">
        <is>
          <t>https://app-na2.hubspot.com/contacts/243046792/record/0-3/183649351358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/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190919148237</t>
        </is>
      </c>
      <c r="C88" s="73" t="inlineStr">
        <is>
          <t>003836-Oct2025</t>
        </is>
      </c>
      <c r="D88" s="73" t="inlineStr">
        <is>
          <t>WEB MODERNIZATION CONSULTANT</t>
        </is>
      </c>
      <c r="E88" s="73" t="inlineStr">
        <is>
          <t>UNIVERSITY OF CALIFORNIA MERCED</t>
        </is>
      </c>
      <c r="F88" s="73" t="inlineStr">
        <is>
          <t>California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3" t="n"/>
      <c r="M88" s="73" t="inlineStr">
        <is>
          <t>Consulting</t>
        </is>
      </c>
      <c r="N88" s="73" t="inlineStr"/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2025-10-17</t>
        </is>
      </c>
      <c r="Z88" s="73" t="inlineStr">
        <is>
          <t>https://app-na2.hubspot.com/contacts/243046792/record/0-3/190919148237</t>
        </is>
      </c>
      <c r="AA88" s="73" t="inlineStr"/>
    </row>
    <row r="89">
      <c r="A89" s="73" t="n">
        <v>88</v>
      </c>
      <c r="B89" s="73" t="inlineStr">
        <is>
          <t>186926091990</t>
        </is>
      </c>
      <c r="C89" s="73" t="inlineStr"/>
      <c r="D89" s="73" t="inlineStr">
        <is>
          <t>NON-PROFESSIONAL ONCALL CONSULTING SERVICES FOR INFORMATION TECHNOLOGY (IT),CYBERSECURITY AND ARTIFICIAL INTELLIGENCE(AI) SUPPORT</t>
        </is>
      </c>
      <c r="E89" s="73" t="inlineStr">
        <is>
          <t>George Washington Regional Commission</t>
        </is>
      </c>
      <c r="F89" s="73" t="inlineStr">
        <is>
          <t>Virginia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2025-10-31</t>
        </is>
      </c>
      <c r="L89" s="73" t="n"/>
      <c r="M89" s="73" t="inlineStr">
        <is>
          <t>Staff Augmentation</t>
        </is>
      </c>
      <c r="N89" s="73" t="inlineStr"/>
      <c r="O89" s="73" t="inlineStr">
        <is>
          <t>Abhishek Zalani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2025-10-13</t>
        </is>
      </c>
      <c r="Z89" s="73" t="inlineStr">
        <is>
          <t>https://app-na2.hubspot.com/contacts/243046792/record/0-3/186926091990</t>
        </is>
      </c>
      <c r="AA89" s="73" t="inlineStr"/>
    </row>
    <row r="90">
      <c r="A90" s="73" t="n">
        <v>89</v>
      </c>
      <c r="B90" s="73" t="inlineStr">
        <is>
          <t>173703397101</t>
        </is>
      </c>
      <c r="C90" s="73" t="inlineStr"/>
      <c r="D90" s="73" t="inlineStr">
        <is>
          <t>CYBER RISK CONSULTANT</t>
        </is>
      </c>
      <c r="E90" s="73" t="inlineStr">
        <is>
          <t>The Public Entity Joint Insurance fund</t>
        </is>
      </c>
      <c r="F90" s="73" t="inlineStr">
        <is>
          <t>New Jersey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2025-10-31</t>
        </is>
      </c>
      <c r="L90" s="73" t="n"/>
      <c r="M90" s="73" t="inlineStr">
        <is>
          <t>Consulting</t>
        </is>
      </c>
      <c r="N90" s="73" t="inlineStr"/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2025-10-06</t>
        </is>
      </c>
      <c r="Z90" s="73" t="inlineStr">
        <is>
          <t>https://app-na2.hubspot.com/contacts/243046792/record/0-3/173703397101</t>
        </is>
      </c>
      <c r="AA90" s="73" t="inlineStr"/>
    </row>
    <row r="91">
      <c r="A91" s="73" t="n">
        <v>90</v>
      </c>
      <c r="B91" s="73" t="inlineStr">
        <is>
          <t>183188250349</t>
        </is>
      </c>
      <c r="C91" s="73" t="inlineStr">
        <is>
          <t>NDERFP250709</t>
        </is>
      </c>
      <c r="D91" s="73" t="inlineStr">
        <is>
          <t xml:space="preserve">Nebraska Literacy Data Dashboard (NLDD) </t>
        </is>
      </c>
      <c r="E91" s="73" t="inlineStr">
        <is>
          <t xml:space="preserve"> Nebraska Department of Education</t>
        </is>
      </c>
      <c r="F91" s="73" t="inlineStr">
        <is>
          <t>Nebraska</t>
        </is>
      </c>
      <c r="G91" s="73" t="inlineStr">
        <is>
          <t>Interview</t>
        </is>
      </c>
      <c r="H91" s="73" t="inlineStr">
        <is>
          <t>Yes</t>
        </is>
      </c>
      <c r="I91" s="73" t="inlineStr">
        <is>
          <t>Interview</t>
        </is>
      </c>
      <c r="J91" s="73" t="inlineStr">
        <is>
          <t>2025-10-31</t>
        </is>
      </c>
      <c r="K91" s="73" t="inlineStr">
        <is>
          <t>2025-10-30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>
        <is>
          <t>2025-11-21</t>
        </is>
      </c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2025-10-10</t>
        </is>
      </c>
      <c r="Z91" s="73" t="inlineStr">
        <is>
          <t>https://app-na2.hubspot.com/contacts/243046792/record/0-3/183188250349</t>
        </is>
      </c>
      <c r="AA91" s="73" t="inlineStr"/>
    </row>
    <row r="92">
      <c r="A92" s="73" t="n">
        <v>91</v>
      </c>
      <c r="B92" s="73" t="inlineStr">
        <is>
          <t>195157537481</t>
        </is>
      </c>
      <c r="C92" s="73" t="inlineStr">
        <is>
          <t>NET-14311_2025_10_18_11_27_13_61</t>
        </is>
      </c>
      <c r="D92" s="73" t="inlineStr">
        <is>
          <t xml:space="preserve">Internet Technology Services </t>
        </is>
      </c>
      <c r="E92" s="73" t="inlineStr">
        <is>
          <t>Township of Deerfield</t>
        </is>
      </c>
      <c r="F92" s="73" t="inlineStr">
        <is>
          <t>New Jersey</t>
        </is>
      </c>
      <c r="G92" s="73" t="inlineStr">
        <is>
          <t>Submitted</t>
        </is>
      </c>
      <c r="H92" s="73" t="inlineStr"/>
      <c r="I92" s="73" t="inlineStr"/>
      <c r="J92" s="73" t="inlineStr">
        <is>
          <t>2025-10-31</t>
        </is>
      </c>
      <c r="K92" s="73" t="inlineStr">
        <is>
          <t>2025-10-30</t>
        </is>
      </c>
      <c r="L92" s="75" t="n">
        <v>16920</v>
      </c>
      <c r="M92" s="73" t="inlineStr">
        <is>
          <t>Managed Services (MSP)</t>
        </is>
      </c>
      <c r="N92" s="73" t="inlineStr">
        <is>
          <t>Offline</t>
        </is>
      </c>
      <c r="O92" s="73" t="inlineStr">
        <is>
          <t>Abhishek Zalani</t>
        </is>
      </c>
      <c r="P92" s="73" t="inlineStr"/>
      <c r="Q92" s="73" t="inlineStr"/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2025-10-22</t>
        </is>
      </c>
      <c r="Z92" s="73" t="inlineStr">
        <is>
          <t>https://app-na2.hubspot.com/contacts/243046792/record/0-3/195157537481</t>
        </is>
      </c>
      <c r="AA92" s="73" t="inlineStr"/>
    </row>
    <row r="93">
      <c r="A93" s="73" t="n">
        <v>92</v>
      </c>
      <c r="B93" s="73" t="inlineStr">
        <is>
          <t>183644305108</t>
        </is>
      </c>
      <c r="C93" s="73" t="inlineStr"/>
      <c r="D93" s="73" t="inlineStr">
        <is>
          <t xml:space="preserve">Cybersecurity Risk Assessment </t>
        </is>
      </c>
      <c r="E93" s="73" t="inlineStr">
        <is>
          <t>Michigan Advocacy Program</t>
        </is>
      </c>
      <c r="F93" s="73" t="inlineStr">
        <is>
          <t>Michigan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2025-10-31</t>
        </is>
      </c>
      <c r="L93" s="75" t="n">
        <v>66000</v>
      </c>
      <c r="M93" s="73" t="inlineStr"/>
      <c r="N93" s="73" t="inlineStr">
        <is>
          <t>Email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2025-10-10</t>
        </is>
      </c>
      <c r="Z93" s="73" t="inlineStr">
        <is>
          <t>https://app-na2.hubspot.com/contacts/243046792/record/0-3/183644305108</t>
        </is>
      </c>
      <c r="AA93" s="73" t="inlineStr"/>
    </row>
    <row r="94">
      <c r="A94" s="73" t="n">
        <v>93</v>
      </c>
      <c r="B94" s="73" t="inlineStr">
        <is>
          <t>169109642958</t>
        </is>
      </c>
      <c r="C94" s="73" t="inlineStr"/>
      <c r="D94" s="73" t="inlineStr">
        <is>
          <t>CYBER SECURITY MANAGED SERVICES</t>
        </is>
      </c>
      <c r="E94" s="73" t="inlineStr">
        <is>
          <t>City of Santa Monica</t>
        </is>
      </c>
      <c r="F94" s="73" t="inlineStr">
        <is>
          <t>California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Managed Services (MSP)</t>
        </is>
      </c>
      <c r="N94" s="73" t="inlineStr">
        <is>
          <t>Portal</t>
        </is>
      </c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2025-09-24</t>
        </is>
      </c>
      <c r="Z94" s="73" t="inlineStr">
        <is>
          <t>https://app-na2.hubspot.com/contacts/243046792/record/0-3/169109642958</t>
        </is>
      </c>
      <c r="AA94" s="73" t="inlineStr"/>
    </row>
    <row r="95">
      <c r="A95" s="73" t="n">
        <v>94</v>
      </c>
      <c r="B95" s="73" t="inlineStr">
        <is>
          <t>195685931707</t>
        </is>
      </c>
      <c r="C95" s="73" t="inlineStr"/>
      <c r="D95" s="73" t="inlineStr">
        <is>
          <t>Relational Database Administration &amp; Support Services</t>
        </is>
      </c>
      <c r="E95" s="73" t="inlineStr">
        <is>
          <t>Navajo Nation</t>
        </is>
      </c>
      <c r="F95" s="73" t="inlineStr">
        <is>
          <t>Arizona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2025-10-30</t>
        </is>
      </c>
      <c r="L95" s="75" t="n">
        <v>225000</v>
      </c>
      <c r="M95" s="73" t="inlineStr">
        <is>
          <t>Support &amp; Maintenance</t>
        </is>
      </c>
      <c r="N95" s="73" t="inlineStr"/>
      <c r="O95" s="73" t="inlineStr">
        <is>
          <t>Ashutosh Chauhan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2025-10-22</t>
        </is>
      </c>
      <c r="Z95" s="73" t="inlineStr">
        <is>
          <t>https://app-na2.hubspot.com/contacts/243046792/record/0-3/195685931707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/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181350073058</t>
        </is>
      </c>
      <c r="C101" s="73" t="inlineStr"/>
      <c r="D101" s="73" t="inlineStr">
        <is>
          <t>ACCOUNT CLAIM AND IDENTITY VERIFICATION SOFTWARE</t>
        </is>
      </c>
      <c r="E101" s="73" t="inlineStr">
        <is>
          <t>Michigan State University</t>
        </is>
      </c>
      <c r="F101" s="73" t="inlineStr">
        <is>
          <t>Michigan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3" t="n"/>
      <c r="M101" s="73" t="inlineStr">
        <is>
          <t>Platform Implementation (ERP, CRMs)</t>
        </is>
      </c>
      <c r="N101" s="73" t="inlineStr"/>
      <c r="O101" s="73" t="inlineStr">
        <is>
          <t>Abhishek Zalani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2025-10-08</t>
        </is>
      </c>
      <c r="Z101" s="73" t="inlineStr">
        <is>
          <t>https://app-na2.hubspot.com/contacts/243046792/record/0-3/181350073058</t>
        </is>
      </c>
      <c r="AA101" s="73" t="inlineStr"/>
    </row>
    <row r="102">
      <c r="A102" s="73" t="n">
        <v>101</v>
      </c>
      <c r="B102" s="73" t="inlineStr">
        <is>
          <t>189574763220</t>
        </is>
      </c>
      <c r="C102" s="73" t="inlineStr"/>
      <c r="D102" s="73" t="inlineStr">
        <is>
          <t>DPS/ECN RFP PSAPs Cybersecurity Training</t>
        </is>
      </c>
      <c r="E102" s="73" t="inlineStr">
        <is>
          <t>Minnesota Department of Public Safety</t>
        </is>
      </c>
      <c r="F102" s="73" t="inlineStr">
        <is>
          <t>Minnesota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5" t="n">
        <v>28800</v>
      </c>
      <c r="M102" s="73" t="inlineStr">
        <is>
          <t>Training</t>
        </is>
      </c>
      <c r="N102" s="73" t="inlineStr"/>
      <c r="O102" s="73" t="inlineStr">
        <is>
          <t>Jyothsna Nanda kishore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2025-10-16</t>
        </is>
      </c>
      <c r="Z102" s="73" t="inlineStr">
        <is>
          <t>https://app-na2.hubspot.com/contacts/243046792/record/0-3/189574763220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/>
      <c r="T104" s="73" t="inlineStr"/>
      <c r="U104" s="73" t="inlineStr">
        <is>
          <t>2025-10-24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/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197790308051</t>
        </is>
      </c>
      <c r="C108" s="73" t="inlineStr"/>
      <c r="D108" s="73" t="inlineStr">
        <is>
          <t>IT Support Services</t>
        </is>
      </c>
      <c r="E108" s="73" t="inlineStr">
        <is>
          <t>Burlington Township</t>
        </is>
      </c>
      <c r="F108" s="73" t="inlineStr">
        <is>
          <t>New Jersey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2025-10-31</t>
        </is>
      </c>
      <c r="L108" s="75" t="n">
        <v>144000</v>
      </c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Jyothsna Nanda kishore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2025-10-24</t>
        </is>
      </c>
      <c r="Z108" s="73" t="inlineStr">
        <is>
          <t>https://app-na2.hubspot.com/contacts/243046792/record/0-3/197790308051</t>
        </is>
      </c>
      <c r="AA108" s="73" t="inlineStr"/>
    </row>
    <row r="109">
      <c r="A109" s="73" t="n">
        <v>108</v>
      </c>
      <c r="B109" s="73" t="inlineStr">
        <is>
          <t>181347911388</t>
        </is>
      </c>
      <c r="C109" s="73" t="inlineStr">
        <is>
          <t>2025-05</t>
        </is>
      </c>
      <c r="D109" s="73" t="inlineStr">
        <is>
          <t>IT Management Services</t>
        </is>
      </c>
      <c r="E109" s="73" t="inlineStr">
        <is>
          <t xml:space="preserve">Spartanburg Housing Authority </t>
        </is>
      </c>
      <c r="F109" s="73" t="inlineStr">
        <is>
          <t>South Carolina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2025-11-06</t>
        </is>
      </c>
      <c r="L109" s="73" t="n"/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Ashutosh Chauhan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2025-10-08</t>
        </is>
      </c>
      <c r="Z109" s="73" t="inlineStr">
        <is>
          <t>https://app-na2.hubspot.com/contacts/243046792/record/0-3/181347911388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186744999661</t>
        </is>
      </c>
      <c r="C113" s="73" t="inlineStr">
        <is>
          <t>#25-183</t>
        </is>
      </c>
      <c r="D113" s="73" t="inlineStr">
        <is>
          <t>Information Technology &amp; Computer Support Services</t>
        </is>
      </c>
      <c r="E113" s="73" t="inlineStr">
        <is>
          <t>Housing Authority of the City of Bristol</t>
        </is>
      </c>
      <c r="F113" s="73" t="inlineStr">
        <is>
          <t>Connecticut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129480</v>
      </c>
      <c r="M113" s="73" t="inlineStr"/>
      <c r="N113" s="73" t="inlineStr">
        <is>
          <t>Offline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2025-10-13</t>
        </is>
      </c>
      <c r="Z113" s="73" t="inlineStr">
        <is>
          <t>https://app-na2.hubspot.com/contacts/243046792/record/0-3/186744999661</t>
        </is>
      </c>
      <c r="AA113" s="73" t="inlineStr"/>
    </row>
    <row r="114">
      <c r="A114" s="73" t="n">
        <v>113</v>
      </c>
      <c r="B114" s="73" t="inlineStr">
        <is>
          <t>157264849616</t>
        </is>
      </c>
      <c r="C114" s="73" t="inlineStr"/>
      <c r="D114" s="73" t="inlineStr">
        <is>
          <t>IT Software Asset Management (SAM) Solution Implementation Services</t>
        </is>
      </c>
      <c r="E114" s="73" t="inlineStr">
        <is>
          <t>Metropolitan Water District of Southern California</t>
        </is>
      </c>
      <c r="F114" s="73" t="inlineStr">
        <is>
          <t>California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188000</v>
      </c>
      <c r="M114" s="73" t="inlineStr">
        <is>
          <t>Platform Implementation (ERP, CRMs)</t>
        </is>
      </c>
      <c r="N114" s="73" t="inlineStr">
        <is>
          <t>Portal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2025-09-08</t>
        </is>
      </c>
      <c r="Z114" s="73" t="inlineStr">
        <is>
          <t>https://app-na2.hubspot.com/contacts/243046792/record/0-3/157264849616</t>
        </is>
      </c>
      <c r="AA114" s="73" t="inlineStr"/>
    </row>
    <row r="115">
      <c r="A115" s="73" t="n">
        <v>114</v>
      </c>
      <c r="B115" s="73" t="inlineStr">
        <is>
          <t>173494982346</t>
        </is>
      </c>
      <c r="C115" s="73" t="inlineStr">
        <is>
          <t>B-25-019</t>
        </is>
      </c>
      <c r="D115" s="73" t="inlineStr">
        <is>
          <t>Learning Management System Selection and Implementation</t>
        </is>
      </c>
      <c r="E115" s="73" t="inlineStr">
        <is>
          <t>Metro Water Recovery</t>
        </is>
      </c>
      <c r="F115" s="73" t="inlineStr">
        <is>
          <t>Colorado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5" t="n">
        <v>113000</v>
      </c>
      <c r="M115" s="73" t="inlineStr"/>
      <c r="N115" s="73" t="inlineStr">
        <is>
          <t>Portal</t>
        </is>
      </c>
      <c r="O115" s="73" t="inlineStr">
        <is>
          <t>Abhishek Zalani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2025-10-01</t>
        </is>
      </c>
      <c r="Z115" s="73" t="inlineStr">
        <is>
          <t>https://app-na2.hubspot.com/contacts/243046792/record/0-3/173494982346</t>
        </is>
      </c>
      <c r="AA115" s="73" t="inlineStr"/>
    </row>
    <row r="116">
      <c r="A116" s="73" t="n">
        <v>115</v>
      </c>
      <c r="B116" s="73" t="inlineStr">
        <is>
          <t>200525470449</t>
        </is>
      </c>
      <c r="C116" s="73" t="inlineStr"/>
      <c r="D116" s="73" t="inlineStr">
        <is>
          <t>Website Design and Development Project Services Using WordPress CMS</t>
        </is>
      </c>
      <c r="E116" s="73" t="inlineStr">
        <is>
          <t>Fox Waterway Agency</t>
        </is>
      </c>
      <c r="F116" s="73" t="inlineStr">
        <is>
          <t>Illinois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2025-10-31</t>
        </is>
      </c>
      <c r="L116" s="73" t="n"/>
      <c r="M116" s="73" t="inlineStr"/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2025-10-27</t>
        </is>
      </c>
      <c r="Z116" s="73" t="inlineStr">
        <is>
          <t>https://app-na2.hubspot.com/contacts/243046792/record/0-3/200525470449</t>
        </is>
      </c>
      <c r="AA116" s="73" t="inlineStr"/>
    </row>
    <row r="117">
      <c r="A117" s="73" t="n">
        <v>116</v>
      </c>
      <c r="B117" s="73" t="inlineStr">
        <is>
          <t>179112632005</t>
        </is>
      </c>
      <c r="C117" s="73" t="inlineStr"/>
      <c r="D117" s="73" t="inlineStr">
        <is>
          <t>Snake River Water Headwaters Data Dashboard</t>
        </is>
      </c>
      <c r="E117" s="73" t="inlineStr">
        <is>
          <t>Teton Conservation District</t>
        </is>
      </c>
      <c r="F117" s="73" t="inlineStr">
        <is>
          <t>Wyoming</t>
        </is>
      </c>
      <c r="G117" s="73" t="inlineStr">
        <is>
          <t>Submitted</t>
        </is>
      </c>
      <c r="H117" s="73" t="inlineStr"/>
      <c r="I117" s="73" t="inlineStr"/>
      <c r="J117" s="73" t="inlineStr">
        <is>
          <t>2025-11-07</t>
        </is>
      </c>
      <c r="K117" s="73" t="inlineStr">
        <is>
          <t>2025-11-07</t>
        </is>
      </c>
      <c r="L117" s="73" t="n"/>
      <c r="M117" s="73" t="inlineStr">
        <is>
          <t>Consulting;Platform Implementation (ERP, CRMs)</t>
        </is>
      </c>
      <c r="N117" s="73" t="inlineStr"/>
      <c r="O117" s="73" t="inlineStr">
        <is>
          <t>Abhishek Zalani</t>
        </is>
      </c>
      <c r="P117" s="73" t="inlineStr"/>
      <c r="Q117" s="73" t="inlineStr"/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2025-10-06</t>
        </is>
      </c>
      <c r="Z117" s="73" t="inlineStr">
        <is>
          <t>https://app-na2.hubspot.com/contacts/243046792/record/0-3/179112632005</t>
        </is>
      </c>
      <c r="AA117" s="73" t="inlineStr"/>
    </row>
    <row r="118">
      <c r="A118" s="73" t="n">
        <v>117</v>
      </c>
      <c r="B118" s="73" t="inlineStr">
        <is>
          <t>189830098631</t>
        </is>
      </c>
      <c r="C118" s="73" t="inlineStr"/>
      <c r="D118" s="73" t="inlineStr">
        <is>
          <t>District Data Lake, Reporting and Visualization Platform</t>
        </is>
      </c>
      <c r="E118" s="73" t="inlineStr">
        <is>
          <t>Leander ISD</t>
        </is>
      </c>
      <c r="F118" s="73" t="inlineStr">
        <is>
          <t>Texas</t>
        </is>
      </c>
      <c r="G118" s="73" t="inlineStr">
        <is>
          <t>Interview</t>
        </is>
      </c>
      <c r="H118" s="73" t="inlineStr">
        <is>
          <t>Yes</t>
        </is>
      </c>
      <c r="I118" s="73" t="inlineStr">
        <is>
          <t>Interview</t>
        </is>
      </c>
      <c r="J118" s="73" t="inlineStr">
        <is>
          <t>2025-11-07</t>
        </is>
      </c>
      <c r="K118" s="73" t="inlineStr">
        <is>
          <t>2025-11-07</t>
        </is>
      </c>
      <c r="L118" s="75" t="n">
        <v>498500</v>
      </c>
      <c r="M118" s="73" t="inlineStr">
        <is>
          <t>Platform Implementation (ERP, CRMs)</t>
        </is>
      </c>
      <c r="N118" s="73" t="inlineStr">
        <is>
          <t>Portal</t>
        </is>
      </c>
      <c r="O118" s="73" t="inlineStr">
        <is>
          <t>Jyothsna Nanda kishore</t>
        </is>
      </c>
      <c r="P118" s="73" t="inlineStr"/>
      <c r="Q118" s="73" t="inlineStr">
        <is>
          <t>2025-12-01</t>
        </is>
      </c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2025-10-16</t>
        </is>
      </c>
      <c r="Z118" s="73" t="inlineStr">
        <is>
          <t>https://app-na2.hubspot.com/contacts/243046792/record/0-3/189830098631</t>
        </is>
      </c>
      <c r="AA118" s="73" t="inlineStr"/>
    </row>
    <row r="119">
      <c r="A119" s="73" t="n">
        <v>118</v>
      </c>
      <c r="B119" s="73" t="inlineStr">
        <is>
          <t>197746210499</t>
        </is>
      </c>
      <c r="C119" s="73" t="inlineStr"/>
      <c r="D119" s="73" t="inlineStr">
        <is>
          <t>CISCO UNIFIED COMMUNICATIONS MANAGER UPGRADE</t>
        </is>
      </c>
      <c r="E119" s="73" t="inlineStr">
        <is>
          <t>Escambia County</t>
        </is>
      </c>
      <c r="F119" s="73" t="inlineStr">
        <is>
          <t>Florida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2025-11-06</t>
        </is>
      </c>
      <c r="L119" s="73" t="n"/>
      <c r="M119" s="73" t="inlineStr">
        <is>
          <t>Reseller</t>
        </is>
      </c>
      <c r="N119" s="73" t="inlineStr"/>
      <c r="O119" s="73" t="inlineStr">
        <is>
          <t>Abhishek Zalani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2025-10-24</t>
        </is>
      </c>
      <c r="Z119" s="73" t="inlineStr">
        <is>
          <t>https://app-na2.hubspot.com/contacts/243046792/record/0-3/197746210499</t>
        </is>
      </c>
      <c r="AA119" s="73" t="inlineStr"/>
    </row>
    <row r="120">
      <c r="A120" s="73" t="n">
        <v>119</v>
      </c>
      <c r="B120" s="73" t="inlineStr">
        <is>
          <t>211100515005</t>
        </is>
      </c>
      <c r="C120" s="73" t="inlineStr"/>
      <c r="D120" s="73" t="inlineStr">
        <is>
          <t>Managed Services for Oracle PeopleSoft in AWS Cloud</t>
        </is>
      </c>
      <c r="E120" s="73" t="inlineStr">
        <is>
          <t>Central Washington University</t>
        </is>
      </c>
      <c r="F120" s="73" t="inlineStr">
        <is>
          <t>Washington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2025-11-07</t>
        </is>
      </c>
      <c r="L120" s="73" t="n"/>
      <c r="M120" s="73" t="inlineStr">
        <is>
          <t>Managed Services (MSP)</t>
        </is>
      </c>
      <c r="N120" s="73" t="inlineStr"/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2025-11-05</t>
        </is>
      </c>
      <c r="Z120" s="73" t="inlineStr">
        <is>
          <t>https://app-na2.hubspot.com/contacts/243046792/record/0-3/211100515005</t>
        </is>
      </c>
      <c r="AA120" s="73" t="inlineStr"/>
    </row>
    <row r="121">
      <c r="A121" s="73" t="n">
        <v>120</v>
      </c>
      <c r="B121" s="73" t="inlineStr">
        <is>
          <t>181354392264</t>
        </is>
      </c>
      <c r="C121" s="73" t="inlineStr">
        <is>
          <t>25-11</t>
        </is>
      </c>
      <c r="D121" s="73" t="inlineStr">
        <is>
          <t>AIS Technology Consulting Services</t>
        </is>
      </c>
      <c r="E121" s="73" t="inlineStr">
        <is>
          <t>Pittsburgh Regional Transit</t>
        </is>
      </c>
      <c r="F121" s="73" t="inlineStr">
        <is>
          <t>Pennsylvania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3" t="n"/>
      <c r="M121" s="73" t="inlineStr">
        <is>
          <t>Consulting</t>
        </is>
      </c>
      <c r="N121" s="73" t="inlineStr">
        <is>
          <t>Portal</t>
        </is>
      </c>
      <c r="O121" s="73" t="inlineStr">
        <is>
          <t>Ashutosh Chauhan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2025-10-08</t>
        </is>
      </c>
      <c r="Z121" s="73" t="inlineStr">
        <is>
          <t>https://app-na2.hubspot.com/contacts/243046792/record/0-3/181354392264</t>
        </is>
      </c>
      <c r="AA121" s="73" t="inlineStr"/>
    </row>
    <row r="122">
      <c r="A122" s="73" t="n">
        <v>121</v>
      </c>
      <c r="B122" s="73" t="inlineStr">
        <is>
          <t>202088860356</t>
        </is>
      </c>
      <c r="C122" s="73" t="inlineStr"/>
      <c r="D122" s="73" t="inlineStr">
        <is>
          <t>Coworking Software Platform</t>
        </is>
      </c>
      <c r="E122" s="73" t="inlineStr">
        <is>
          <t>Denver Housing Authority</t>
        </is>
      </c>
      <c r="F122" s="73" t="inlineStr">
        <is>
          <t>Colorado</t>
        </is>
      </c>
      <c r="G122" s="73" t="inlineStr">
        <is>
          <t>Interview</t>
        </is>
      </c>
      <c r="H122" s="73" t="inlineStr">
        <is>
          <t>Yes</t>
        </is>
      </c>
      <c r="I122" s="73" t="inlineStr">
        <is>
          <t>Interview</t>
        </is>
      </c>
      <c r="J122" s="73" t="inlineStr">
        <is>
          <t>2025-11-07</t>
        </is>
      </c>
      <c r="K122" s="73" t="inlineStr">
        <is>
          <t>2025-11-06</t>
        </is>
      </c>
      <c r="L122" s="75" t="n">
        <v>61000</v>
      </c>
      <c r="M122" s="73" t="inlineStr">
        <is>
          <t>Platform Implementation (ERP, CRMs)</t>
        </is>
      </c>
      <c r="N122" s="73" t="inlineStr">
        <is>
          <t>Portal</t>
        </is>
      </c>
      <c r="O122" s="73" t="inlineStr">
        <is>
          <t>Ashutosh Chauhan</t>
        </is>
      </c>
      <c r="P122" s="73" t="inlineStr"/>
      <c r="Q122" s="73" t="inlineStr">
        <is>
          <t>2026-01-16</t>
        </is>
      </c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2025-10-28</t>
        </is>
      </c>
      <c r="Z122" s="73" t="inlineStr">
        <is>
          <t>https://app-na2.hubspot.com/contacts/243046792/record/0-3/202088860356</t>
        </is>
      </c>
      <c r="AA122" s="73" t="inlineStr"/>
    </row>
    <row r="123">
      <c r="A123" s="73" t="n">
        <v>122</v>
      </c>
      <c r="B123" s="73" t="inlineStr">
        <is>
          <t>179568478952</t>
        </is>
      </c>
      <c r="C123" s="73" t="inlineStr">
        <is>
          <t>PA000000378</t>
        </is>
      </c>
      <c r="D123" s="73" t="inlineStr">
        <is>
          <t>Cybersecurity Services 2026</t>
        </is>
      </c>
      <c r="E123" s="73" t="inlineStr">
        <is>
          <t>Port of Tacoma</t>
        </is>
      </c>
      <c r="F123" s="73" t="inlineStr">
        <is>
          <t>Washington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2025-11-10</t>
        </is>
      </c>
      <c r="L123" s="75" t="n">
        <v>65000</v>
      </c>
      <c r="M123" s="73" t="inlineStr">
        <is>
          <t>Audits and Assessment</t>
        </is>
      </c>
      <c r="N123" s="73" t="inlineStr">
        <is>
          <t>Portal</t>
        </is>
      </c>
      <c r="O123" s="73" t="inlineStr">
        <is>
          <t>Ashutosh Chauhan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2025-10-07</t>
        </is>
      </c>
      <c r="Z123" s="73" t="inlineStr">
        <is>
          <t>https://app-na2.hubspot.com/contacts/243046792/record/0-3/179568478952</t>
        </is>
      </c>
      <c r="AA123" s="73" t="inlineStr"/>
    </row>
    <row r="124">
      <c r="A124" s="73" t="n">
        <v>123</v>
      </c>
      <c r="B124" s="73" t="inlineStr">
        <is>
          <t>203220831960</t>
        </is>
      </c>
      <c r="C124" s="73" t="inlineStr"/>
      <c r="D124" s="73" t="inlineStr">
        <is>
          <t>CPOR Airtable Maintenance and Enhancements</t>
        </is>
      </c>
      <c r="E124" s="73" t="inlineStr">
        <is>
          <t>Chicago Public Schools</t>
        </is>
      </c>
      <c r="F124" s="73" t="inlineStr">
        <is>
          <t>Illinois</t>
        </is>
      </c>
      <c r="G124" s="73" t="inlineStr">
        <is>
          <t>Submitted</t>
        </is>
      </c>
      <c r="H124" s="73" t="inlineStr"/>
      <c r="I124" s="73" t="inlineStr"/>
      <c r="J124" s="73" t="inlineStr">
        <is>
          <t>2025-11-09</t>
        </is>
      </c>
      <c r="K124" s="73" t="inlineStr">
        <is>
          <t>2025-11-09</t>
        </is>
      </c>
      <c r="L124" s="75" t="n">
        <v>42700</v>
      </c>
      <c r="M124" s="73" t="inlineStr">
        <is>
          <t>Support &amp; Maintenance</t>
        </is>
      </c>
      <c r="N124" s="73" t="inlineStr"/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/>
      <c r="T124" s="73" t="inlineStr"/>
      <c r="U124" s="73" t="inlineStr"/>
      <c r="V124" s="73" t="inlineStr"/>
      <c r="W124" s="73" t="inlineStr"/>
      <c r="X124" s="73" t="inlineStr"/>
      <c r="Y124" s="73" t="inlineStr">
        <is>
          <t>2025-10-30</t>
        </is>
      </c>
      <c r="Z124" s="73" t="inlineStr">
        <is>
          <t>https://app-na2.hubspot.com/contacts/243046792/record/0-3/203220831960</t>
        </is>
      </c>
      <c r="AA124" s="73" t="inlineStr"/>
    </row>
    <row r="125">
      <c r="A125" s="73" t="n">
        <v>124</v>
      </c>
      <c r="B125" s="73" t="inlineStr">
        <is>
          <t>127424133880</t>
        </is>
      </c>
      <c r="C125" s="73" t="inlineStr">
        <is>
          <t>5400028271</t>
        </is>
      </c>
      <c r="D125" s="73" t="inlineStr">
        <is>
          <t>STC Dynamics Managed Service Provider</t>
        </is>
      </c>
      <c r="E125" s="73" t="inlineStr">
        <is>
          <t>State of South Carolina</t>
        </is>
      </c>
      <c r="F125" s="73" t="inlineStr">
        <is>
          <t>South Carolina</t>
        </is>
      </c>
      <c r="G125" s="73" t="inlineStr">
        <is>
          <t>Closed Won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2025-07-22</t>
        </is>
      </c>
      <c r="L125" s="75" t="n">
        <v>62977</v>
      </c>
      <c r="M125" s="73" t="inlineStr">
        <is>
          <t>Managed Services (MSP);Staff Augmentation</t>
        </is>
      </c>
      <c r="N125" s="73" t="inlineStr">
        <is>
          <t>Email</t>
        </is>
      </c>
      <c r="O125" s="73" t="inlineStr">
        <is>
          <t>Jyothsna Nanda kishore</t>
        </is>
      </c>
      <c r="P125" s="73" t="inlineStr"/>
      <c r="Q125" s="73" t="inlineStr"/>
      <c r="R125" s="73" t="inlineStr"/>
      <c r="S125" s="73" t="inlineStr">
        <is>
          <t>2025-11-06</t>
        </is>
      </c>
      <c r="T125" s="73" t="inlineStr"/>
      <c r="U125" s="73" t="inlineStr">
        <is>
          <t>2025-11-06</t>
        </is>
      </c>
      <c r="V125" s="73" t="inlineStr"/>
      <c r="W125" s="73" t="inlineStr"/>
      <c r="X125" s="73" t="inlineStr"/>
      <c r="Y125" s="73" t="inlineStr">
        <is>
          <t>2025-07-22</t>
        </is>
      </c>
      <c r="Z125" s="73" t="inlineStr">
        <is>
          <t>https://app-na2.hubspot.com/contacts/243046792/record/0-3/127424133880</t>
        </is>
      </c>
      <c r="AA125" s="73" t="inlineStr"/>
    </row>
    <row r="126">
      <c r="A126" s="73" t="n">
        <v>125</v>
      </c>
      <c r="B126" s="73" t="inlineStr">
        <is>
          <t>186933291754</t>
        </is>
      </c>
      <c r="C126" s="73" t="inlineStr"/>
      <c r="D126" s="73" t="inlineStr">
        <is>
          <t>ERP Readiness and Tool Selection Consulting Services</t>
        </is>
      </c>
      <c r="E126" s="73" t="inlineStr">
        <is>
          <t>Virginia Tech</t>
        </is>
      </c>
      <c r="F126" s="73" t="inlineStr">
        <is>
          <t>Virginia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2025-11-10</t>
        </is>
      </c>
      <c r="L126" s="73" t="n"/>
      <c r="M126" s="73" t="inlineStr">
        <is>
          <t>Platform Implementation (ERP, CRMs)</t>
        </is>
      </c>
      <c r="N126" s="73" t="inlineStr">
        <is>
          <t>Portal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2025-10-13</t>
        </is>
      </c>
      <c r="Z126" s="73" t="inlineStr">
        <is>
          <t>https://app-na2.hubspot.com/contacts/243046792/record/0-3/186933291754</t>
        </is>
      </c>
      <c r="AA126" s="73" t="inlineStr"/>
    </row>
    <row r="127">
      <c r="A127" s="73" t="n">
        <v>126</v>
      </c>
      <c r="B127" s="73" t="inlineStr">
        <is>
          <t>202088860375</t>
        </is>
      </c>
      <c r="C127" s="73" t="inlineStr">
        <is>
          <t>251-26-216</t>
        </is>
      </c>
      <c r="D127" s="73" t="inlineStr">
        <is>
          <t>Cloud Migration and Technology Infrastructure Modernization for School District</t>
        </is>
      </c>
      <c r="E127" s="73" t="inlineStr">
        <is>
          <t>Wake County Board of Education [NC]</t>
        </is>
      </c>
      <c r="F127" s="73" t="inlineStr">
        <is>
          <t>North Carolina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Modernization / Migration</t>
        </is>
      </c>
      <c r="N127" s="73" t="inlineStr"/>
      <c r="O127" s="73" t="inlineStr">
        <is>
          <t>Ashutosh Chauhan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2025-10-28</t>
        </is>
      </c>
      <c r="Z127" s="73" t="inlineStr">
        <is>
          <t>https://app-na2.hubspot.com/contacts/243046792/record/0-3/202088860375</t>
        </is>
      </c>
      <c r="AA127" s="73" t="inlineStr"/>
    </row>
    <row r="128">
      <c r="A128" s="73" t="n">
        <v>127</v>
      </c>
      <c r="B128" s="73" t="inlineStr">
        <is>
          <t>204679147229</t>
        </is>
      </c>
      <c r="C128" s="73" t="inlineStr"/>
      <c r="D128" s="73" t="inlineStr">
        <is>
          <t>Strategic Planning Consultant</t>
        </is>
      </c>
      <c r="E128" s="73" t="inlineStr">
        <is>
          <t>Cincinnati Public Schools</t>
        </is>
      </c>
      <c r="F128" s="73" t="inlineStr">
        <is>
          <t>Ohio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Consulting</t>
        </is>
      </c>
      <c r="N128" s="73" t="inlineStr"/>
      <c r="O128" s="73" t="inlineStr">
        <is>
          <t>Abhishek Zalani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2025-10-30</t>
        </is>
      </c>
      <c r="Z128" s="73" t="inlineStr">
        <is>
          <t>https://app-na2.hubspot.com/contacts/243046792/record/0-3/204679147229</t>
        </is>
      </c>
      <c r="AA128" s="73" t="inlineStr"/>
    </row>
    <row r="129">
      <c r="A129" s="73" t="n">
        <v>128</v>
      </c>
      <c r="B129" s="73" t="inlineStr">
        <is>
          <t>204626558697</t>
        </is>
      </c>
      <c r="C129" s="73" t="inlineStr">
        <is>
          <t>2026-2028</t>
        </is>
      </c>
      <c r="D129" s="73" t="inlineStr">
        <is>
          <t>Information Technology Services</t>
        </is>
      </c>
      <c r="E129" s="73" t="inlineStr">
        <is>
          <t>City of Greenville</t>
        </is>
      </c>
      <c r="F129" s="73" t="inlineStr">
        <is>
          <t>South Carolina</t>
        </is>
      </c>
      <c r="G129" s="73" t="inlineStr">
        <is>
          <t>Submitted</t>
        </is>
      </c>
      <c r="H129" s="73" t="inlineStr"/>
      <c r="I129" s="73" t="inlineStr"/>
      <c r="J129" s="73" t="inlineStr">
        <is>
          <t>2025-11-10</t>
        </is>
      </c>
      <c r="K129" s="73" t="inlineStr">
        <is>
          <t>2025-11-07</t>
        </is>
      </c>
      <c r="L129" s="75" t="n">
        <v>106000</v>
      </c>
      <c r="M129" s="73" t="inlineStr">
        <is>
          <t>Managed Services (MSP)</t>
        </is>
      </c>
      <c r="N129" s="73" t="inlineStr">
        <is>
          <t>Offline</t>
        </is>
      </c>
      <c r="O129" s="73" t="inlineStr">
        <is>
          <t>Ashutosh Chauhan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2025-10-30</t>
        </is>
      </c>
      <c r="Z129" s="73" t="inlineStr">
        <is>
          <t>https://app-na2.hubspot.com/contacts/243046792/record/0-3/204626558697</t>
        </is>
      </c>
      <c r="AA129" s="73" t="inlineStr"/>
    </row>
    <row r="130">
      <c r="A130" s="73" t="n">
        <v>129</v>
      </c>
      <c r="B130" s="73" t="inlineStr">
        <is>
          <t>137470794439</t>
        </is>
      </c>
      <c r="C130" s="73" t="inlineStr">
        <is>
          <t>ITS-001-26</t>
        </is>
      </c>
      <c r="D130" s="73" t="inlineStr">
        <is>
          <t>HIPAA Privacy &amp; Security Assessment</t>
        </is>
      </c>
      <c r="E130" s="73" t="inlineStr">
        <is>
          <t>Boston Public Health Commission</t>
        </is>
      </c>
      <c r="F130" s="73" t="inlineStr">
        <is>
          <t>Massachusetts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2025-08-22</t>
        </is>
      </c>
      <c r="L130" s="75" t="n">
        <v>56300</v>
      </c>
      <c r="M130" s="73" t="inlineStr">
        <is>
          <t>Consulting</t>
        </is>
      </c>
      <c r="N130" s="73" t="inlineStr">
        <is>
          <t>Email</t>
        </is>
      </c>
      <c r="O130" s="73" t="inlineStr">
        <is>
          <t>Jyothsna Nanda kishore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2025-08-06</t>
        </is>
      </c>
      <c r="Z130" s="73" t="inlineStr">
        <is>
          <t>https://app-na2.hubspot.com/contacts/243046792/record/0-3/137470794439</t>
        </is>
      </c>
      <c r="AA130" s="73" t="inlineStr"/>
    </row>
    <row r="131">
      <c r="A131" s="73" t="n">
        <v>130</v>
      </c>
      <c r="B131" s="73" t="inlineStr">
        <is>
          <t>173508347608</t>
        </is>
      </c>
      <c r="C131" s="73" t="inlineStr"/>
      <c r="D131" s="73" t="inlineStr">
        <is>
          <t>Information Technology Managed Services</t>
        </is>
      </c>
      <c r="E131" s="73" t="inlineStr">
        <is>
          <t>City of McFarland</t>
        </is>
      </c>
      <c r="F131" s="73" t="inlineStr">
        <is>
          <t>California</t>
        </is>
      </c>
      <c r="G131" s="73" t="inlineStr">
        <is>
          <t>Closed Lost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2025-10-31</t>
        </is>
      </c>
      <c r="L131" s="73" t="n"/>
      <c r="M131" s="73" t="inlineStr">
        <is>
          <t>Managed Services (MSP)</t>
        </is>
      </c>
      <c r="N131" s="73" t="inlineStr">
        <is>
          <t>Email</t>
        </is>
      </c>
      <c r="O131" s="73" t="inlineStr">
        <is>
          <t>Ashutosh Chauhan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2025-10-01</t>
        </is>
      </c>
      <c r="Z131" s="73" t="inlineStr">
        <is>
          <t>https://app-na2.hubspot.com/contacts/243046792/record/0-3/173508347608</t>
        </is>
      </c>
      <c r="AA131" s="73" t="inlineStr"/>
    </row>
    <row r="132">
      <c r="A132" s="73" t="n">
        <v>131</v>
      </c>
      <c r="B132" s="73" t="inlineStr">
        <is>
          <t>212006218455</t>
        </is>
      </c>
      <c r="C132" s="73" t="inlineStr"/>
      <c r="D132" s="73" t="inlineStr">
        <is>
          <t>IT Provider Services</t>
        </is>
      </c>
      <c r="E132" s="73" t="inlineStr">
        <is>
          <t>WASATCH PEAK ACADEMY</t>
        </is>
      </c>
      <c r="F132" s="73" t="inlineStr">
        <is>
          <t>Utah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Managed Services (MSP)</t>
        </is>
      </c>
      <c r="N132" s="73" t="inlineStr"/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2025-11-05</t>
        </is>
      </c>
      <c r="Z132" s="73" t="inlineStr">
        <is>
          <t>https://app-na2.hubspot.com/contacts/243046792/record/0-3/212006218455</t>
        </is>
      </c>
      <c r="AA132" s="73" t="inlineStr"/>
    </row>
    <row r="133">
      <c r="A133" s="73" t="n">
        <v>132</v>
      </c>
      <c r="B133" s="73" t="inlineStr">
        <is>
          <t>156444950247</t>
        </is>
      </c>
      <c r="C133" s="73" t="inlineStr"/>
      <c r="D133" s="73" t="inlineStr">
        <is>
          <t>Data Analytics and Artificial Intelligence Services</t>
        </is>
      </c>
      <c r="E133" s="73" t="inlineStr">
        <is>
          <t>San Antonio Water System</t>
        </is>
      </c>
      <c r="F133" s="73" t="inlineStr">
        <is>
          <t>Texas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2025-11-11</t>
        </is>
      </c>
      <c r="K133" s="73" t="inlineStr">
        <is>
          <t>2025-11-11</t>
        </is>
      </c>
      <c r="L133" s="73" t="n"/>
      <c r="M133" s="73" t="inlineStr">
        <is>
          <t>Consulting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2025-09-08</t>
        </is>
      </c>
      <c r="Z133" s="73" t="inlineStr">
        <is>
          <t>https://app-na2.hubspot.com/contacts/243046792/record/0-3/156444950247</t>
        </is>
      </c>
      <c r="AA133" s="73" t="inlineStr"/>
    </row>
    <row r="134">
      <c r="A134" s="73" t="n">
        <v>133</v>
      </c>
      <c r="B134" s="73" t="inlineStr">
        <is>
          <t>212007532245</t>
        </is>
      </c>
      <c r="C134" s="73" t="inlineStr"/>
      <c r="D134" s="73" t="inlineStr">
        <is>
          <t>Managed IT Services</t>
        </is>
      </c>
      <c r="E134" s="73" t="inlineStr">
        <is>
          <t>City of deephaven</t>
        </is>
      </c>
      <c r="F134" s="73" t="inlineStr">
        <is>
          <t>Minnesota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2025-11-12</t>
        </is>
      </c>
      <c r="L134" s="73" t="n"/>
      <c r="M134" s="73" t="inlineStr">
        <is>
          <t>Managed Services (MSP)</t>
        </is>
      </c>
      <c r="N134" s="73" t="inlineStr">
        <is>
          <t>Email</t>
        </is>
      </c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2025-11-05</t>
        </is>
      </c>
      <c r="Z134" s="73" t="inlineStr">
        <is>
          <t>https://app-na2.hubspot.com/contacts/243046792/record/0-3/212007532245</t>
        </is>
      </c>
      <c r="AA134" s="73" t="inlineStr"/>
    </row>
    <row r="135">
      <c r="A135" s="73" t="n">
        <v>134</v>
      </c>
      <c r="B135" s="73" t="inlineStr">
        <is>
          <t>202093180646</t>
        </is>
      </c>
      <c r="C135" s="73" t="inlineStr"/>
      <c r="D135" s="73" t="inlineStr">
        <is>
          <t>OFFLINE Information Technology Management Services</t>
        </is>
      </c>
      <c r="E135" s="73" t="inlineStr">
        <is>
          <t>City of Eagle Pass</t>
        </is>
      </c>
      <c r="F135" s="73" t="inlineStr">
        <is>
          <t>Texas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2025-11-10</t>
        </is>
      </c>
      <c r="L135" s="73" t="n"/>
      <c r="M135" s="73" t="inlineStr">
        <is>
          <t>Managed Services (MSP)</t>
        </is>
      </c>
      <c r="N135" s="73" t="inlineStr"/>
      <c r="O135" s="73" t="inlineStr">
        <is>
          <t>Abhishek Zalani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2025-10-28</t>
        </is>
      </c>
      <c r="Z135" s="73" t="inlineStr">
        <is>
          <t>https://app-na2.hubspot.com/contacts/243046792/record/0-3/202093180646</t>
        </is>
      </c>
      <c r="AA135" s="73" t="inlineStr"/>
    </row>
    <row r="136">
      <c r="A136" s="73" t="n">
        <v>135</v>
      </c>
      <c r="B136" s="73" t="inlineStr">
        <is>
          <t>200525471459</t>
        </is>
      </c>
      <c r="C136" s="73" t="inlineStr"/>
      <c r="D136" s="73" t="inlineStr">
        <is>
          <t>Consulting Roster for Enterprise Resource Planning System</t>
        </is>
      </c>
      <c r="E136" s="73" t="inlineStr">
        <is>
          <t>King County</t>
        </is>
      </c>
      <c r="F136" s="73" t="inlineStr">
        <is>
          <t>Washington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2025-11-12</t>
        </is>
      </c>
      <c r="K136" s="73" t="inlineStr">
        <is>
          <t>2025-11-12</t>
        </is>
      </c>
      <c r="L136" s="73" t="n"/>
      <c r="M136" s="73" t="inlineStr">
        <is>
          <t>Staff Augmentation</t>
        </is>
      </c>
      <c r="N136" s="73" t="inlineStr"/>
      <c r="O136" s="73" t="inlineStr">
        <is>
          <t>Jyothsna Nanda kishore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2025-10-27</t>
        </is>
      </c>
      <c r="Z136" s="73" t="inlineStr">
        <is>
          <t>https://app-na2.hubspot.com/contacts/243046792/record/0-3/200525471459</t>
        </is>
      </c>
      <c r="AA136" s="73" t="inlineStr"/>
    </row>
    <row r="137">
      <c r="A137" s="73" t="n">
        <v>136</v>
      </c>
      <c r="B137" s="73" t="inlineStr">
        <is>
          <t>205497478865</t>
        </is>
      </c>
      <c r="C137" s="73" t="inlineStr"/>
      <c r="D137" s="73" t="inlineStr">
        <is>
          <t>Technology Support Services</t>
        </is>
      </c>
      <c r="E137" s="73" t="inlineStr">
        <is>
          <t>City of Linden</t>
        </is>
      </c>
      <c r="F137" s="73" t="inlineStr">
        <is>
          <t>New Jersey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2025-11-11</t>
        </is>
      </c>
      <c r="L137" s="75" t="n">
        <v>464640</v>
      </c>
      <c r="M137" s="73" t="inlineStr">
        <is>
          <t>Managed Services (MSP)</t>
        </is>
      </c>
      <c r="N137" s="73" t="inlineStr">
        <is>
          <t>Portal</t>
        </is>
      </c>
      <c r="O137" s="73" t="inlineStr">
        <is>
          <t>Jyothsna Nanda kishore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2025-10-31</t>
        </is>
      </c>
      <c r="Z137" s="73" t="inlineStr">
        <is>
          <t>https://app-na2.hubspot.com/contacts/243046792/record/0-3/205497478865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212006933231</t>
        </is>
      </c>
      <c r="C139" s="73" t="inlineStr"/>
      <c r="D139" s="73" t="inlineStr">
        <is>
          <t>Computer and Cybersecurity Maintenance Services</t>
        </is>
      </c>
      <c r="E139" s="73" t="inlineStr">
        <is>
          <t>Borough of Highland Park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2025-11-12</t>
        </is>
      </c>
      <c r="L139" s="75" t="n">
        <v>12300</v>
      </c>
      <c r="M139" s="73" t="inlineStr">
        <is>
          <t>Managed Services (MSP);Support &amp; Maintenance</t>
        </is>
      </c>
      <c r="N139" s="73" t="inlineStr">
        <is>
          <t>Offline</t>
        </is>
      </c>
      <c r="O139" s="73" t="inlineStr">
        <is>
          <t>Abhishek Zalani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2025-11-05</t>
        </is>
      </c>
      <c r="Z139" s="73" t="inlineStr">
        <is>
          <t>https://app-na2.hubspot.com/contacts/243046792/record/0-3/212006933231</t>
        </is>
      </c>
      <c r="AA139" s="73" t="inlineStr"/>
    </row>
    <row r="140">
      <c r="A140" s="73" t="n">
        <v>139</v>
      </c>
      <c r="B140" s="73" t="inlineStr">
        <is>
          <t>202091740908</t>
        </is>
      </c>
      <c r="C140" s="73" t="inlineStr"/>
      <c r="D140" s="73" t="inlineStr">
        <is>
          <t>OFFLINE Exchange Migration Services</t>
        </is>
      </c>
      <c r="E140" s="73" t="inlineStr">
        <is>
          <t>City of Warwick</t>
        </is>
      </c>
      <c r="F140" s="73" t="inlineStr">
        <is>
          <t>Rhode Island</t>
        </is>
      </c>
      <c r="G140" s="73" t="inlineStr">
        <is>
          <t>Submitted</t>
        </is>
      </c>
      <c r="H140" s="73" t="inlineStr"/>
      <c r="I140" s="73" t="inlineStr"/>
      <c r="J140" s="73" t="inlineStr">
        <is>
          <t>2025-11-13</t>
        </is>
      </c>
      <c r="K140" s="73" t="inlineStr">
        <is>
          <t>2025-11-10</t>
        </is>
      </c>
      <c r="L140" s="73" t="n"/>
      <c r="M140" s="73" t="inlineStr">
        <is>
          <t>Modernization / Migration</t>
        </is>
      </c>
      <c r="N140" s="73" t="inlineStr"/>
      <c r="O140" s="73" t="inlineStr">
        <is>
          <t>Abhishek Zalani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2025-10-28</t>
        </is>
      </c>
      <c r="Z140" s="73" t="inlineStr">
        <is>
          <t>https://app-na2.hubspot.com/contacts/243046792/record/0-3/202091740908</t>
        </is>
      </c>
      <c r="AA140" s="73" t="inlineStr"/>
    </row>
    <row r="141">
      <c r="A141" s="73" t="n">
        <v>140</v>
      </c>
      <c r="B141" s="73" t="inlineStr">
        <is>
          <t>148302305009</t>
        </is>
      </c>
      <c r="C141" s="73" t="inlineStr">
        <is>
          <t>2025-012</t>
        </is>
      </c>
      <c r="D141" s="73" t="inlineStr">
        <is>
          <t>TQ. Information Technology (IT) Services</t>
        </is>
      </c>
      <c r="E141" s="73" t="inlineStr">
        <is>
          <t>Brainerd Housing and Redevelopment Authority</t>
        </is>
      </c>
      <c r="F141" s="73" t="inlineStr">
        <is>
          <t>Minnesota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2025-10-14</t>
        </is>
      </c>
      <c r="L141" s="75" t="n">
        <v>25368</v>
      </c>
      <c r="M141" s="73" t="inlineStr">
        <is>
          <t>Managed Services (MSP)</t>
        </is>
      </c>
      <c r="N141" s="73" t="inlineStr">
        <is>
          <t>Offline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2025-08-29</t>
        </is>
      </c>
      <c r="Z141" s="73" t="inlineStr">
        <is>
          <t>https://app-na2.hubspot.com/contacts/243046792/record/0-3/148302305009</t>
        </is>
      </c>
      <c r="AA141" s="73" t="inlineStr"/>
    </row>
    <row r="142">
      <c r="A142" s="73" t="n">
        <v>141</v>
      </c>
      <c r="B142" s="73" t="inlineStr">
        <is>
          <t>190040531654</t>
        </is>
      </c>
      <c r="C142" s="73" t="inlineStr"/>
      <c r="D142" s="73" t="inlineStr">
        <is>
          <t>Information Technology Strategic Planning Services</t>
        </is>
      </c>
      <c r="E142" s="73" t="inlineStr">
        <is>
          <t>City of East Palo Alto</t>
        </is>
      </c>
      <c r="F142" s="73" t="inlineStr">
        <is>
          <t>California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2025-10-20</t>
        </is>
      </c>
      <c r="L142" s="75" t="n">
        <v>26500</v>
      </c>
      <c r="M142" s="73" t="inlineStr">
        <is>
          <t>Consulting</t>
        </is>
      </c>
      <c r="N142" s="73" t="inlineStr">
        <is>
          <t>Email</t>
        </is>
      </c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2025-10-16</t>
        </is>
      </c>
      <c r="Z142" s="73" t="inlineStr">
        <is>
          <t>https://app-na2.hubspot.com/contacts/243046792/record/0-3/190040531654</t>
        </is>
      </c>
      <c r="AA142" s="73" t="inlineStr"/>
    </row>
    <row r="143">
      <c r="A143" s="73" t="n">
        <v>142</v>
      </c>
      <c r="B143" s="73" t="inlineStr">
        <is>
          <t>155752318681</t>
        </is>
      </c>
      <c r="C143" s="73" t="inlineStr">
        <is>
          <t>2026-018</t>
        </is>
      </c>
      <c r="D143" s="73" t="inlineStr">
        <is>
          <t>RFP 2026-018 VMware Managed Services</t>
        </is>
      </c>
      <c r="E143" s="73" t="inlineStr">
        <is>
          <t>University of Maine System</t>
        </is>
      </c>
      <c r="F143" s="73" t="inlineStr">
        <is>
          <t>Maine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2025-09-11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2025-09-04</t>
        </is>
      </c>
      <c r="Z143" s="73" t="inlineStr">
        <is>
          <t>https://app-na2.hubspot.com/contacts/243046792/record/0-3/155752318681</t>
        </is>
      </c>
      <c r="AA143" s="73" t="inlineStr"/>
    </row>
    <row r="144">
      <c r="A144" s="73" t="n">
        <v>143</v>
      </c>
      <c r="B144" s="73" t="inlineStr">
        <is>
          <t>137470794434</t>
        </is>
      </c>
      <c r="C144" s="73" t="inlineStr">
        <is>
          <t>BD-26-1274-TAOFF-TAOFF-119023</t>
        </is>
      </c>
      <c r="D144" s="73" t="inlineStr">
        <is>
          <t>RFP - IT Support Services</t>
        </is>
      </c>
      <c r="E144" s="73" t="inlineStr">
        <is>
          <t>TOWN OF GRAFTON, OFFICE OF THE TOWN ADMINISTRATOR</t>
        </is>
      </c>
      <c r="F144" s="73" t="inlineStr"/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2025-08-16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2025-08-06</t>
        </is>
      </c>
      <c r="Z144" s="73" t="inlineStr">
        <is>
          <t>https://app-na2.hubspot.com/contacts/243046792/record/0-3/137470794434</t>
        </is>
      </c>
      <c r="AA144" s="73" t="inlineStr"/>
    </row>
    <row r="145">
      <c r="A145" s="73" t="n">
        <v>144</v>
      </c>
      <c r="B145" s="73" t="inlineStr">
        <is>
          <t>134586521300</t>
        </is>
      </c>
      <c r="C145" s="73" t="inlineStr"/>
      <c r="D145" s="73" t="inlineStr">
        <is>
          <t>SMUD.org Software and Technical Infrastructure Upgrade</t>
        </is>
      </c>
      <c r="E145" s="73" t="inlineStr">
        <is>
          <t>Sacramento Municipal Utility District</t>
        </is>
      </c>
      <c r="F145" s="73" t="inlineStr">
        <is>
          <t>California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2025-07-30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2025-07-31</t>
        </is>
      </c>
      <c r="Z145" s="73" t="inlineStr">
        <is>
          <t>https://app-na2.hubspot.com/contacts/243046792/record/0-3/134586521300</t>
        </is>
      </c>
      <c r="AA145" s="73" t="inlineStr"/>
    </row>
    <row r="146">
      <c r="A146" s="73" t="n">
        <v>145</v>
      </c>
      <c r="B146" s="73" t="inlineStr">
        <is>
          <t>122926380739</t>
        </is>
      </c>
      <c r="C146" s="73" t="inlineStr"/>
      <c r="D146" s="73" t="inlineStr">
        <is>
          <t>Clark County- Managed IT Services</t>
        </is>
      </c>
      <c r="E146" s="73" t="inlineStr">
        <is>
          <t>Clark County Sheriff's Office</t>
        </is>
      </c>
      <c r="F146" s="73" t="inlineStr">
        <is>
          <t>Ohio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2025-08-07</t>
        </is>
      </c>
      <c r="L146" s="73" t="n"/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2025-07-18</t>
        </is>
      </c>
      <c r="Z146" s="73" t="inlineStr">
        <is>
          <t>https://app-na2.hubspot.com/contacts/243046792/record/0-3/122926380739</t>
        </is>
      </c>
      <c r="AA146" s="73" t="inlineStr"/>
    </row>
    <row r="147">
      <c r="A147" s="73" t="n">
        <v>146</v>
      </c>
      <c r="B147" s="73" t="inlineStr">
        <is>
          <t>118951637707</t>
        </is>
      </c>
      <c r="C147" s="73" t="inlineStr">
        <is>
          <t>RFP_F_0000000055</t>
        </is>
      </c>
      <c r="D147" s="73" t="inlineStr">
        <is>
          <t>CRM ROADMAP: DISCOVERY &amp; PHASE 1 IMPLEMTATION</t>
        </is>
      </c>
      <c r="E147" s="73" t="inlineStr">
        <is>
          <t>University of Colorado</t>
        </is>
      </c>
      <c r="F147" s="73" t="inlineStr">
        <is>
          <t>Colorado</t>
        </is>
      </c>
      <c r="G147" s="73" t="inlineStr">
        <is>
          <t>Closed Lost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2025-07-14</t>
        </is>
      </c>
      <c r="L147" s="75" t="n">
        <v>254000</v>
      </c>
      <c r="M147" s="73" t="inlineStr"/>
      <c r="N147" s="73" t="inlineStr"/>
      <c r="O147" s="73" t="inlineStr">
        <is>
          <t>Jyothsna Nanda kishore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2025-07-11</t>
        </is>
      </c>
      <c r="Z147" s="73" t="inlineStr">
        <is>
          <t>https://app-na2.hubspot.com/contacts/243046792/record/0-3/118951637707</t>
        </is>
      </c>
      <c r="AA147" s="73" t="inlineStr"/>
    </row>
    <row r="148">
      <c r="A148" s="73" t="n">
        <v>147</v>
      </c>
      <c r="B148" s="73" t="inlineStr">
        <is>
          <t>205597215459</t>
        </is>
      </c>
      <c r="C148" s="73" t="inlineStr"/>
      <c r="D148" s="73" t="inlineStr">
        <is>
          <t>SharePoint Migration &amp; LegalServer Integration Project</t>
        </is>
      </c>
      <c r="E148" s="73" t="inlineStr">
        <is>
          <t>Legal Aid Society of Mid-New York, Inc. (LASMNY)</t>
        </is>
      </c>
      <c r="F148" s="73" t="inlineStr"/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2025-11-14</t>
        </is>
      </c>
      <c r="L148" s="73" t="n"/>
      <c r="M148" s="73" t="inlineStr">
        <is>
          <t>Platform Implementation (ERP, CRMs)</t>
        </is>
      </c>
      <c r="N148" s="73" t="inlineStr">
        <is>
          <t>Email</t>
        </is>
      </c>
      <c r="O148" s="73" t="inlineStr">
        <is>
          <t>Abhishek Zalani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2025-10-31</t>
        </is>
      </c>
      <c r="Z148" s="73" t="inlineStr">
        <is>
          <t>https://app-na2.hubspot.com/contacts/243046792/record/0-3/205597215459</t>
        </is>
      </c>
      <c r="AA148" s="73" t="inlineStr"/>
    </row>
    <row r="149">
      <c r="A149" s="73" t="n">
        <v>148</v>
      </c>
      <c r="B149" s="73" t="inlineStr">
        <is>
          <t>204626595515</t>
        </is>
      </c>
      <c r="C149" s="73" t="inlineStr"/>
      <c r="D149" s="73" t="inlineStr">
        <is>
          <t>ServiceNow Development Consultant Service</t>
        </is>
      </c>
      <c r="E149" s="73" t="inlineStr">
        <is>
          <t>Seattle Public Schools</t>
        </is>
      </c>
      <c r="F149" s="73" t="inlineStr">
        <is>
          <t>Washington</t>
        </is>
      </c>
      <c r="G149" s="73" t="inlineStr">
        <is>
          <t>RFx Cancelled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</t>
        </is>
      </c>
      <c r="N149" s="73" t="inlineStr">
        <is>
          <t>Email</t>
        </is>
      </c>
      <c r="O149" s="73" t="inlineStr">
        <is>
          <t>Jyothsna Nanda kishore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2025-10-31</t>
        </is>
      </c>
      <c r="Z149" s="73" t="inlineStr">
        <is>
          <t>https://app-na2.hubspot.com/contacts/243046792/record/0-3/204626595515</t>
        </is>
      </c>
      <c r="AA149" s="73" t="inlineStr"/>
    </row>
    <row r="150">
      <c r="A150" s="73" t="n">
        <v>149</v>
      </c>
      <c r="B150" s="73" t="inlineStr">
        <is>
          <t>200821843696</t>
        </is>
      </c>
      <c r="C150" s="73" t="inlineStr"/>
      <c r="D150" s="73" t="inlineStr">
        <is>
          <t>OFFLINE - Information Technology Services</t>
        </is>
      </c>
      <c r="E150" s="73" t="inlineStr">
        <is>
          <t>Vineland Housing Authority</t>
        </is>
      </c>
      <c r="F150" s="73" t="inlineStr">
        <is>
          <t>New Jersey</t>
        </is>
      </c>
      <c r="G150" s="73" t="inlineStr">
        <is>
          <t>Submitted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2025-11-13</t>
        </is>
      </c>
      <c r="L150" s="75" t="n">
        <v>59920</v>
      </c>
      <c r="M150" s="73" t="inlineStr">
        <is>
          <t>Managed Services (MSP)</t>
        </is>
      </c>
      <c r="N150" s="73" t="inlineStr">
        <is>
          <t>Offline</t>
        </is>
      </c>
      <c r="O150" s="73" t="inlineStr">
        <is>
          <t>Abhishek Zalani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2025-10-27</t>
        </is>
      </c>
      <c r="Z150" s="73" t="inlineStr">
        <is>
          <t>https://app-na2.hubspot.com/contacts/243046792/record/0-3/200821843696</t>
        </is>
      </c>
      <c r="AA150" s="73" t="inlineStr"/>
    </row>
    <row r="151">
      <c r="A151" s="73" t="n">
        <v>150</v>
      </c>
      <c r="B151" s="73" t="inlineStr">
        <is>
          <t>209643402993</t>
        </is>
      </c>
      <c r="C151" s="73" t="inlineStr"/>
      <c r="D151" s="73" t="inlineStr">
        <is>
          <t>Software Solutions Specialist</t>
        </is>
      </c>
      <c r="E151" s="73" t="inlineStr">
        <is>
          <t>NDC Partnership</t>
        </is>
      </c>
      <c r="F151" s="73" t="inlineStr">
        <is>
          <t>Washington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Staff Augmentation</t>
        </is>
      </c>
      <c r="N151" s="73" t="inlineStr">
        <is>
          <t>Email</t>
        </is>
      </c>
      <c r="O151" s="73" t="inlineStr">
        <is>
          <t>Jyothsna Nanda kishore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2025-11-03</t>
        </is>
      </c>
      <c r="Z151" s="73" t="inlineStr">
        <is>
          <t>https://app-na2.hubspot.com/contacts/243046792/record/0-3/209643402993</t>
        </is>
      </c>
      <c r="AA151" s="73" t="inlineStr"/>
    </row>
    <row r="152">
      <c r="A152" s="73" t="n">
        <v>151</v>
      </c>
      <c r="B152" s="73" t="inlineStr">
        <is>
          <t>202003378880</t>
        </is>
      </c>
      <c r="C152" s="73" t="inlineStr"/>
      <c r="D152" s="73" t="inlineStr">
        <is>
          <t>Information Technology Managed Services and Support</t>
        </is>
      </c>
      <c r="E152" s="73" t="inlineStr">
        <is>
          <t>Vashon Island Fire and rescue</t>
        </is>
      </c>
      <c r="F152" s="73" t="inlineStr">
        <is>
          <t>Washington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2025-11-13</t>
        </is>
      </c>
      <c r="L152" s="75" t="n">
        <v>37800</v>
      </c>
      <c r="M152" s="73" t="inlineStr">
        <is>
          <t>Managed Services (MSP)</t>
        </is>
      </c>
      <c r="N152" s="73" t="inlineStr">
        <is>
          <t>Email</t>
        </is>
      </c>
      <c r="O152" s="73" t="inlineStr">
        <is>
          <t>Ashutosh Chauhan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2025-10-28</t>
        </is>
      </c>
      <c r="Z152" s="73" t="inlineStr">
        <is>
          <t>https://app-na2.hubspot.com/contacts/243046792/record/0-3/202003378880</t>
        </is>
      </c>
      <c r="AA152" s="73" t="inlineStr"/>
    </row>
    <row r="153">
      <c r="A153" s="73" t="n">
        <v>152</v>
      </c>
      <c r="B153" s="73" t="inlineStr">
        <is>
          <t>203233555157</t>
        </is>
      </c>
      <c r="C153" s="73" t="inlineStr">
        <is>
          <t>NYSCR 25/26-3562IT</t>
        </is>
      </c>
      <c r="D153" s="73" t="inlineStr">
        <is>
          <t>Identity Consultants Services</t>
        </is>
      </c>
      <c r="E153" s="73" t="inlineStr">
        <is>
          <t>Stony Brook University Hospital</t>
        </is>
      </c>
      <c r="F153" s="73" t="inlineStr">
        <is>
          <t>New York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2025-11-14</t>
        </is>
      </c>
      <c r="K153" s="73" t="inlineStr">
        <is>
          <t>2025-11-21</t>
        </is>
      </c>
      <c r="L153" s="73" t="n"/>
      <c r="M153" s="73" t="inlineStr">
        <is>
          <t>Staff Augmentation</t>
        </is>
      </c>
      <c r="N153" s="73" t="inlineStr"/>
      <c r="O153" s="73" t="inlineStr">
        <is>
          <t>Arshdeep Kaur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2025-10-30</t>
        </is>
      </c>
      <c r="Z153" s="73" t="inlineStr">
        <is>
          <t>https://app-na2.hubspot.com/contacts/243046792/record/0-3/203233555157</t>
        </is>
      </c>
      <c r="AA153" s="73" t="inlineStr"/>
    </row>
    <row r="154">
      <c r="A154" s="73" t="n">
        <v>153</v>
      </c>
      <c r="B154" s="73" t="inlineStr">
        <is>
          <t>197783935728</t>
        </is>
      </c>
      <c r="C154" s="73" t="inlineStr"/>
      <c r="D154" s="73" t="inlineStr">
        <is>
          <t>Information Technology Consultant Services</t>
        </is>
      </c>
      <c r="E154" s="73" t="inlineStr">
        <is>
          <t>McKean County Housing Authority</t>
        </is>
      </c>
      <c r="F154" s="73" t="inlineStr">
        <is>
          <t>Pennsylvania</t>
        </is>
      </c>
      <c r="G154" s="73" t="inlineStr">
        <is>
          <t>Submitted</t>
        </is>
      </c>
      <c r="H154" s="73" t="inlineStr"/>
      <c r="I154" s="73" t="inlineStr"/>
      <c r="J154" s="73" t="inlineStr">
        <is>
          <t>2025-11-14</t>
        </is>
      </c>
      <c r="K154" s="73" t="inlineStr">
        <is>
          <t>2025-11-14</t>
        </is>
      </c>
      <c r="L154" s="73" t="n"/>
      <c r="M154" s="73" t="inlineStr">
        <is>
          <t>Consulting;Support &amp; Maintenance</t>
        </is>
      </c>
      <c r="N154" s="73" t="inlineStr"/>
      <c r="O154" s="73" t="inlineStr">
        <is>
          <t>Abhishek Zalani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2025-10-28</t>
        </is>
      </c>
      <c r="Z154" s="73" t="inlineStr">
        <is>
          <t>https://app-na2.hubspot.com/contacts/243046792/record/0-3/197783935728</t>
        </is>
      </c>
      <c r="AA154" s="73" t="inlineStr"/>
    </row>
    <row r="155">
      <c r="A155" s="73" t="n">
        <v>154</v>
      </c>
      <c r="B155" s="73" t="inlineStr">
        <is>
          <t>197693529836</t>
        </is>
      </c>
      <c r="C155" s="73" t="inlineStr">
        <is>
          <t>K26-0031-25</t>
        </is>
      </c>
      <c r="D155" s="73" t="inlineStr">
        <is>
          <t>Power BI Data Visualization Dashboards</t>
        </is>
      </c>
      <c r="E155" s="73" t="inlineStr">
        <is>
          <t>The Administrative Office of the Courts (AOC)</t>
        </is>
      </c>
      <c r="F155" s="73" t="inlineStr"/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2025-11-18</t>
        </is>
      </c>
      <c r="L155" s="75" t="n">
        <v>39500</v>
      </c>
      <c r="M155" s="73" t="inlineStr"/>
      <c r="N155" s="73" t="inlineStr">
        <is>
          <t>Portal</t>
        </is>
      </c>
      <c r="O155" s="73" t="inlineStr">
        <is>
          <t>Abhishek Zalani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2025-10-24</t>
        </is>
      </c>
      <c r="Z155" s="73" t="inlineStr">
        <is>
          <t>https://app-na2.hubspot.com/contacts/243046792/record/0-3/197693529836</t>
        </is>
      </c>
      <c r="AA155" s="73" t="inlineStr"/>
    </row>
    <row r="156">
      <c r="A156" s="73" t="n">
        <v>155</v>
      </c>
      <c r="B156" s="73" t="inlineStr">
        <is>
          <t>216534863596</t>
        </is>
      </c>
      <c r="C156" s="73" t="inlineStr"/>
      <c r="D156" s="73" t="inlineStr">
        <is>
          <t>Independent Cybersecurity Assessment — #2005728</t>
        </is>
      </c>
      <c r="E156" s="73" t="inlineStr">
        <is>
          <t>Palm Coast</t>
        </is>
      </c>
      <c r="F156" s="73" t="inlineStr">
        <is>
          <t>Florida</t>
        </is>
      </c>
      <c r="G156" s="73" t="inlineStr">
        <is>
          <t>RFx Cancelled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2025-11-17</t>
        </is>
      </c>
      <c r="L156" s="75" t="n">
        <v>34800</v>
      </c>
      <c r="M156" s="73" t="inlineStr">
        <is>
          <t>Audits and Assessment</t>
        </is>
      </c>
      <c r="N156" s="73" t="inlineStr">
        <is>
          <t>Portal</t>
        </is>
      </c>
      <c r="O156" s="73" t="inlineStr">
        <is>
          <t>Abhishek Zalani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2025-11-11</t>
        </is>
      </c>
      <c r="Z156" s="73" t="inlineStr">
        <is>
          <t>https://app-na2.hubspot.com/contacts/243046792/record/0-3/216534863596</t>
        </is>
      </c>
      <c r="AA156" s="73" t="inlineStr"/>
    </row>
    <row r="157">
      <c r="A157" s="73" t="n">
        <v>156</v>
      </c>
      <c r="B157" s="73" t="inlineStr">
        <is>
          <t>197783932640</t>
        </is>
      </c>
      <c r="C157" s="73" t="inlineStr"/>
      <c r="D157" s="73" t="inlineStr">
        <is>
          <t>Amzon Web Services (AWS) Cloud</t>
        </is>
      </c>
      <c r="E157" s="73" t="inlineStr">
        <is>
          <t>Riverside County</t>
        </is>
      </c>
      <c r="F157" s="73" t="inlineStr">
        <is>
          <t>California</t>
        </is>
      </c>
      <c r="G157" s="73" t="inlineStr">
        <is>
          <t>Submitted</t>
        </is>
      </c>
      <c r="H157" s="73" t="inlineStr"/>
      <c r="I157" s="73" t="inlineStr"/>
      <c r="J157" s="73" t="inlineStr">
        <is>
          <t>2025-11-17</t>
        </is>
      </c>
      <c r="K157" s="73" t="inlineStr">
        <is>
          <t>2025-11-12</t>
        </is>
      </c>
      <c r="L157" s="73" t="n"/>
      <c r="M157" s="73" t="inlineStr">
        <is>
          <t>Reseller</t>
        </is>
      </c>
      <c r="N157" s="73" t="inlineStr">
        <is>
          <t>Portal</t>
        </is>
      </c>
      <c r="O157" s="73" t="inlineStr">
        <is>
          <t>Ashutosh Chauhan</t>
        </is>
      </c>
      <c r="P157" s="73" t="inlineStr"/>
      <c r="Q157" s="73" t="inlineStr"/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2025-10-28</t>
        </is>
      </c>
      <c r="Z157" s="73" t="inlineStr">
        <is>
          <t>https://app-na2.hubspot.com/contacts/243046792/record/0-3/197783932640</t>
        </is>
      </c>
      <c r="AA157" s="73" t="inlineStr"/>
    </row>
    <row r="158">
      <c r="A158" s="73" t="n">
        <v>157</v>
      </c>
      <c r="B158" s="73" t="inlineStr">
        <is>
          <t>155021638368</t>
        </is>
      </c>
      <c r="C158" s="73" t="inlineStr"/>
      <c r="D158" s="73" t="inlineStr">
        <is>
          <t>IT Managed Services and Staff Augmentation</t>
        </is>
      </c>
      <c r="E158" s="73" t="inlineStr">
        <is>
          <t>Florida State University</t>
        </is>
      </c>
      <c r="F158" s="73" t="inlineStr">
        <is>
          <t>Florida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2025-11-17</t>
        </is>
      </c>
      <c r="K158" s="73" t="inlineStr">
        <is>
          <t>2025-11-18</t>
        </is>
      </c>
      <c r="L158" s="73" t="n"/>
      <c r="M158" s="73" t="inlineStr">
        <is>
          <t>Managed Services (MSP);Staff Augmentation</t>
        </is>
      </c>
      <c r="N158" s="73" t="inlineStr"/>
      <c r="O158" s="73" t="inlineStr">
        <is>
          <t>Arshdeep Kaur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2025-09-03</t>
        </is>
      </c>
      <c r="Z158" s="73" t="inlineStr">
        <is>
          <t>https://app-na2.hubspot.com/contacts/243046792/record/0-3/155021638368</t>
        </is>
      </c>
      <c r="AA158" s="73" t="inlineStr"/>
    </row>
    <row r="159">
      <c r="A159" s="73" t="n">
        <v>158</v>
      </c>
      <c r="B159" s="73" t="inlineStr">
        <is>
          <t>141008904946</t>
        </is>
      </c>
      <c r="C159" s="73" t="inlineStr">
        <is>
          <t>AD-25-RFP-2027</t>
        </is>
      </c>
      <c r="D159" s="73" t="inlineStr">
        <is>
          <t>IT Outsourced Help Desk and Infrastructure</t>
        </is>
      </c>
      <c r="E159" s="73" t="inlineStr">
        <is>
          <t>Housing Authority of the City of New Haven d/b/a Elm City Communities (ECC)</t>
        </is>
      </c>
      <c r="F159" s="73" t="inlineStr"/>
      <c r="G159" s="73" t="inlineStr">
        <is>
          <t>Closed Lost</t>
        </is>
      </c>
      <c r="H159" s="73" t="inlineStr">
        <is>
          <t>Yes</t>
        </is>
      </c>
      <c r="I159" s="73" t="inlineStr">
        <is>
          <t>Interview</t>
        </is>
      </c>
      <c r="J159" s="73" t="inlineStr">
        <is>
          <t>2025-11-18</t>
        </is>
      </c>
      <c r="K159" s="73" t="inlineStr">
        <is>
          <t>2025-08-22</t>
        </is>
      </c>
      <c r="L159" s="75" t="n">
        <v>3200000</v>
      </c>
      <c r="M159" s="73" t="inlineStr"/>
      <c r="N159" s="73" t="inlineStr">
        <is>
          <t>Portal</t>
        </is>
      </c>
      <c r="O159" s="73" t="inlineStr">
        <is>
          <t>Madhav Mitruka</t>
        </is>
      </c>
      <c r="P159" s="73" t="inlineStr">
        <is>
          <t>Interview Scheduled</t>
        </is>
      </c>
      <c r="Q159" s="73" t="inlineStr">
        <is>
          <t>2025-10-16</t>
        </is>
      </c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2025-08-13</t>
        </is>
      </c>
      <c r="Z159" s="73" t="inlineStr">
        <is>
          <t>https://app-na2.hubspot.com/contacts/243046792/record/0-3/141008904946</t>
        </is>
      </c>
      <c r="AA159" s="73" t="inlineStr"/>
    </row>
    <row r="160">
      <c r="A160" s="73" t="n">
        <v>159</v>
      </c>
      <c r="B160" s="73" t="inlineStr">
        <is>
          <t>186631721675</t>
        </is>
      </c>
      <c r="C160" s="73" t="inlineStr"/>
      <c r="D160" s="73" t="inlineStr">
        <is>
          <t>PeopleSoft Support and Maintenance</t>
        </is>
      </c>
      <c r="E160" s="73" t="inlineStr">
        <is>
          <t>Community Transit</t>
        </is>
      </c>
      <c r="F160" s="73" t="inlineStr">
        <is>
          <t>Washington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2025-11-18</t>
        </is>
      </c>
      <c r="L160" s="73" t="n"/>
      <c r="M160" s="73" t="inlineStr">
        <is>
          <t>Support &amp; Maintenance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2025-10-13</t>
        </is>
      </c>
      <c r="Z160" s="73" t="inlineStr">
        <is>
          <t>https://app-na2.hubspot.com/contacts/243046792/record/0-3/186631721675</t>
        </is>
      </c>
      <c r="AA160" s="73" t="inlineStr"/>
    </row>
    <row r="161">
      <c r="A161" s="73" t="n">
        <v>160</v>
      </c>
      <c r="B161" s="73" t="inlineStr">
        <is>
          <t>205597216474</t>
        </is>
      </c>
      <c r="C161" s="73" t="inlineStr"/>
      <c r="D161" s="73" t="inlineStr">
        <is>
          <t>Offline Digital Accessibility Services</t>
        </is>
      </c>
      <c r="E161" s="73" t="inlineStr">
        <is>
          <t xml:space="preserve">Harper College </t>
        </is>
      </c>
      <c r="F161" s="73" t="inlineStr">
        <is>
          <t>Illinois</t>
        </is>
      </c>
      <c r="G161" s="73" t="inlineStr">
        <is>
          <t>Submitted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2025-11-17</t>
        </is>
      </c>
      <c r="L161" s="73" t="n"/>
      <c r="M161" s="73" t="inlineStr">
        <is>
          <t>Consulting</t>
        </is>
      </c>
      <c r="N161" s="73" t="inlineStr"/>
      <c r="O161" s="73" t="inlineStr">
        <is>
          <t>Abhishek Zalani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2025-10-31</t>
        </is>
      </c>
      <c r="Z161" s="73" t="inlineStr">
        <is>
          <t>https://app-na2.hubspot.com/contacts/243046792/record/0-3/205597216474</t>
        </is>
      </c>
      <c r="AA161" s="73" t="inlineStr"/>
    </row>
    <row r="162">
      <c r="A162" s="73" t="n">
        <v>161</v>
      </c>
      <c r="B162" s="73" t="inlineStr">
        <is>
          <t>215453148909</t>
        </is>
      </c>
      <c r="C162" s="73" t="inlineStr"/>
      <c r="D162" s="73" t="inlineStr">
        <is>
          <t>Information Technology (IT) Consultant Services</t>
        </is>
      </c>
      <c r="E162" s="73" t="inlineStr">
        <is>
          <t xml:space="preserve">Township of Bloomfield </t>
        </is>
      </c>
      <c r="F162" s="73" t="inlineStr">
        <is>
          <t>New Jersey</t>
        </is>
      </c>
      <c r="G162" s="73" t="inlineStr">
        <is>
          <t>Submitted</t>
        </is>
      </c>
      <c r="H162" s="73" t="inlineStr"/>
      <c r="I162" s="73" t="inlineStr"/>
      <c r="J162" s="73" t="inlineStr">
        <is>
          <t>2025-11-18</t>
        </is>
      </c>
      <c r="K162" s="73" t="inlineStr">
        <is>
          <t>2025-11-18</t>
        </is>
      </c>
      <c r="L162" s="73" t="n"/>
      <c r="M162" s="73" t="inlineStr">
        <is>
          <t>Consulting</t>
        </is>
      </c>
      <c r="N162" s="73" t="inlineStr">
        <is>
          <t>Offline</t>
        </is>
      </c>
      <c r="O162" s="73" t="inlineStr">
        <is>
          <t>Jyothsna Nanda kishore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2025-11-10</t>
        </is>
      </c>
      <c r="Z162" s="73" t="inlineStr">
        <is>
          <t>https://app-na2.hubspot.com/contacts/243046792/record/0-3/215453148909</t>
        </is>
      </c>
      <c r="AA162" s="73" t="inlineStr"/>
    </row>
    <row r="163">
      <c r="A163" s="73" t="n">
        <v>162</v>
      </c>
      <c r="B163" s="73" t="inlineStr">
        <is>
          <t>155514382045</t>
        </is>
      </c>
      <c r="C163" s="73" t="inlineStr">
        <is>
          <t>Solicitation No: 226-15</t>
        </is>
      </c>
      <c r="D163" s="73" t="inlineStr">
        <is>
          <t>SQL SERVER MANAGEMENT STUDIO (SSMS) PRODUCTIVITY AND DATABASE TOOLSET</t>
        </is>
      </c>
      <c r="E163" s="73" t="inlineStr">
        <is>
          <t>The School District of Greenville County (District)</t>
        </is>
      </c>
      <c r="F163" s="73" t="inlineStr"/>
      <c r="G163" s="73" t="inlineStr">
        <is>
          <t>RFx Cancelled</t>
        </is>
      </c>
      <c r="H163" s="73" t="inlineStr"/>
      <c r="I163" s="73" t="inlineStr"/>
      <c r="J163" s="73" t="inlineStr">
        <is>
          <t>2025-11-18</t>
        </is>
      </c>
      <c r="K163" s="73" t="inlineStr">
        <is>
          <t>2025-09-24</t>
        </is>
      </c>
      <c r="L163" s="73" t="n"/>
      <c r="M163" s="73" t="inlineStr">
        <is>
          <t>Platform Implementation (ERP, CRMs)</t>
        </is>
      </c>
      <c r="N163" s="73" t="inlineStr"/>
      <c r="O163" s="73" t="inlineStr">
        <is>
          <t>Jyothsna Nanda kishore</t>
        </is>
      </c>
      <c r="P163" s="73" t="inlineStr"/>
      <c r="Q163" s="73" t="inlineStr"/>
      <c r="R163" s="73" t="inlineStr"/>
      <c r="S163" s="73" t="inlineStr"/>
      <c r="T163" s="73" t="inlineStr"/>
      <c r="U163" s="73" t="inlineStr"/>
      <c r="V163" s="73" t="inlineStr"/>
      <c r="W163" s="73" t="inlineStr"/>
      <c r="X163" s="73" t="inlineStr"/>
      <c r="Y163" s="73" t="inlineStr">
        <is>
          <t>2025-09-04</t>
        </is>
      </c>
      <c r="Z163" s="73" t="inlineStr">
        <is>
          <t>https://app-na2.hubspot.com/contacts/243046792/record/0-3/155514382045</t>
        </is>
      </c>
      <c r="AA163" s="73" t="inlineStr"/>
    </row>
    <row r="164">
      <c r="A164" s="73" t="n">
        <v>163</v>
      </c>
      <c r="B164" s="73" t="inlineStr">
        <is>
          <t>196439362287</t>
        </is>
      </c>
      <c r="C164" s="73" t="inlineStr">
        <is>
          <t>226-28</t>
        </is>
      </c>
      <c r="D164" s="73" t="inlineStr">
        <is>
          <t>Redgate Licenses (Rebid)</t>
        </is>
      </c>
      <c r="E164" s="73" t="inlineStr">
        <is>
          <t>The School District of Greenville County (District)</t>
        </is>
      </c>
      <c r="F164" s="73" t="inlineStr"/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2025-10-31</t>
        </is>
      </c>
      <c r="L164" s="75" t="n">
        <v>16933.5</v>
      </c>
      <c r="M164" s="73" t="inlineStr">
        <is>
          <t>Reseller</t>
        </is>
      </c>
      <c r="N164" s="73" t="inlineStr">
        <is>
          <t>Portal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2025-10-23</t>
        </is>
      </c>
      <c r="Z164" s="73" t="inlineStr">
        <is>
          <t>https://app-na2.hubspot.com/contacts/243046792/record/0-3/196439362287</t>
        </is>
      </c>
      <c r="AA164" s="73" t="inlineStr"/>
    </row>
    <row r="165">
      <c r="A165" s="73" t="n">
        <v>164</v>
      </c>
      <c r="B165" s="73" t="inlineStr">
        <is>
          <t>200821843683</t>
        </is>
      </c>
      <c r="C165" s="73" t="inlineStr"/>
      <c r="D165" s="73" t="inlineStr">
        <is>
          <t>Veeam Data Platform Renewal</t>
        </is>
      </c>
      <c r="E165" s="73" t="inlineStr">
        <is>
          <t>Cuyahoga County Board of Elections</t>
        </is>
      </c>
      <c r="F165" s="73" t="inlineStr">
        <is>
          <t>Ohio</t>
        </is>
      </c>
      <c r="G165" s="73" t="inlineStr">
        <is>
          <t>Closed Won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2025-10-29</t>
        </is>
      </c>
      <c r="L165" s="75" t="n">
        <v>6078.19</v>
      </c>
      <c r="M165" s="73" t="inlineStr">
        <is>
          <t>Reseller</t>
        </is>
      </c>
      <c r="N165" s="73" t="inlineStr">
        <is>
          <t>Portal</t>
        </is>
      </c>
      <c r="O165" s="73" t="inlineStr">
        <is>
          <t>Ashutosh Chauhan</t>
        </is>
      </c>
      <c r="P165" s="73" t="inlineStr"/>
      <c r="Q165" s="73" t="inlineStr"/>
      <c r="R165" s="73" t="inlineStr"/>
      <c r="S165" s="73" t="inlineStr">
        <is>
          <t>2025-11-18</t>
        </is>
      </c>
      <c r="T165" s="73" t="inlineStr"/>
      <c r="U165" s="73" t="inlineStr">
        <is>
          <t>2025-11-18</t>
        </is>
      </c>
      <c r="V165" s="73" t="inlineStr"/>
      <c r="W165" s="73" t="inlineStr"/>
      <c r="X165" s="73" t="inlineStr"/>
      <c r="Y165" s="73" t="inlineStr">
        <is>
          <t>2025-10-27</t>
        </is>
      </c>
      <c r="Z165" s="73" t="inlineStr">
        <is>
          <t>https://app-na2.hubspot.com/contacts/243046792/record/0-3/200821843683</t>
        </is>
      </c>
      <c r="AA165" s="73" t="inlineStr"/>
    </row>
    <row r="166">
      <c r="A166" s="73" t="n">
        <v>165</v>
      </c>
      <c r="B166" s="73" t="inlineStr">
        <is>
          <t>173276108533</t>
        </is>
      </c>
      <c r="C166" s="73" t="inlineStr"/>
      <c r="D166" s="73" t="inlineStr">
        <is>
          <t>CYBER RISK CONSULTANT</t>
        </is>
      </c>
      <c r="E166" s="73" t="inlineStr">
        <is>
          <t>The Garden State Municipal Joint Insurance fund</t>
        </is>
      </c>
      <c r="F166" s="73" t="inlineStr">
        <is>
          <t>New Jersey</t>
        </is>
      </c>
      <c r="G166" s="73" t="inlineStr">
        <is>
          <t>Closed Lost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2025-10-30</t>
        </is>
      </c>
      <c r="L166" s="75" t="n">
        <v>35866</v>
      </c>
      <c r="M166" s="73" t="inlineStr">
        <is>
          <t>Consulting</t>
        </is>
      </c>
      <c r="N166" s="73" t="inlineStr">
        <is>
          <t>Offline</t>
        </is>
      </c>
      <c r="O166" s="73" t="inlineStr">
        <is>
          <t>Ashutosh Chauhan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2025-10-01</t>
        </is>
      </c>
      <c r="Z166" s="73" t="inlineStr">
        <is>
          <t>https://app-na2.hubspot.com/contacts/243046792/record/0-3/173276108533</t>
        </is>
      </c>
      <c r="AA166" s="73" t="inlineStr"/>
    </row>
    <row r="167">
      <c r="A167" s="73" t="n">
        <v>166</v>
      </c>
      <c r="B167" s="73" t="inlineStr">
        <is>
          <t>221443571446</t>
        </is>
      </c>
      <c r="C167" s="73" t="inlineStr"/>
      <c r="D167" s="73" t="inlineStr">
        <is>
          <t>OFFLINE AI Professional Development for Administration and Support Staff</t>
        </is>
      </c>
      <c r="E167" s="73" t="inlineStr">
        <is>
          <t>CARTERET PUBLIC SCHOOLS</t>
        </is>
      </c>
      <c r="F167" s="73" t="inlineStr">
        <is>
          <t>New Jersey</t>
        </is>
      </c>
      <c r="G167" s="73" t="inlineStr">
        <is>
          <t>Submitted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2025-11-19</t>
        </is>
      </c>
      <c r="L167" s="73" t="n"/>
      <c r="M167" s="73" t="inlineStr">
        <is>
          <t>Training;Support &amp; Maintenance</t>
        </is>
      </c>
      <c r="N167" s="73" t="inlineStr"/>
      <c r="O167" s="73" t="inlineStr">
        <is>
          <t>Abhishek Zalani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2025-11-17</t>
        </is>
      </c>
      <c r="Z167" s="73" t="inlineStr">
        <is>
          <t>https://app-na2.hubspot.com/contacts/243046792/record/0-3/221443571446</t>
        </is>
      </c>
      <c r="AA167" s="73" t="inlineStr"/>
    </row>
    <row r="168">
      <c r="A168" s="73" t="n">
        <v>167</v>
      </c>
      <c r="B168" s="73" t="inlineStr">
        <is>
          <t>212628218608</t>
        </is>
      </c>
      <c r="C168" s="73" t="inlineStr"/>
      <c r="D168" s="73" t="inlineStr">
        <is>
          <t>Professional Services</t>
        </is>
      </c>
      <c r="E168" s="73" t="inlineStr">
        <is>
          <t>Borough of Neptune City</t>
        </is>
      </c>
      <c r="F168" s="73" t="inlineStr">
        <is>
          <t>New Jersey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2025-11-18</t>
        </is>
      </c>
      <c r="L168" s="73" t="n"/>
      <c r="M168" s="73" t="inlineStr">
        <is>
          <t>Staff Augmentation</t>
        </is>
      </c>
      <c r="N168" s="73" t="inlineStr">
        <is>
          <t>Offline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2025-11-07</t>
        </is>
      </c>
      <c r="Z168" s="73" t="inlineStr">
        <is>
          <t>https://app-na2.hubspot.com/contacts/243046792/record/0-3/212628218608</t>
        </is>
      </c>
      <c r="AA168" s="73" t="inlineStr"/>
    </row>
    <row r="169">
      <c r="A169" s="73" t="n">
        <v>168</v>
      </c>
      <c r="B169" s="73" t="inlineStr">
        <is>
          <t>173488505589</t>
        </is>
      </c>
      <c r="C169" s="73" t="inlineStr"/>
      <c r="D169" s="73" t="inlineStr">
        <is>
          <t>Information Technology Strategic Planning</t>
        </is>
      </c>
      <c r="E169" s="73" t="inlineStr">
        <is>
          <t>City of San Ramon</t>
        </is>
      </c>
      <c r="F169" s="73" t="inlineStr">
        <is>
          <t>California</t>
        </is>
      </c>
      <c r="G169" s="73" t="inlineStr">
        <is>
          <t>Closed Lost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2025-10-16</t>
        </is>
      </c>
      <c r="L169" s="75" t="n">
        <v>45400</v>
      </c>
      <c r="M169" s="73" t="inlineStr">
        <is>
          <t>Consulting</t>
        </is>
      </c>
      <c r="N169" s="73" t="inlineStr">
        <is>
          <t>Offline</t>
        </is>
      </c>
      <c r="O169" s="73" t="inlineStr">
        <is>
          <t>Jyothsna Nanda kishore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2025-10-01</t>
        </is>
      </c>
      <c r="Z169" s="73" t="inlineStr">
        <is>
          <t>https://app-na2.hubspot.com/contacts/243046792/record/0-3/173488505589</t>
        </is>
      </c>
      <c r="AA169" s="73" t="inlineStr"/>
    </row>
    <row r="170">
      <c r="A170" s="73" t="n">
        <v>169</v>
      </c>
      <c r="B170" s="73" t="inlineStr">
        <is>
          <t>212007532248</t>
        </is>
      </c>
      <c r="C170" s="73" t="inlineStr"/>
      <c r="D170" s="73" t="inlineStr">
        <is>
          <t>System Wide CRM Alignment and Implementation Partner</t>
        </is>
      </c>
      <c r="E170" s="73" t="inlineStr">
        <is>
          <t>University System of New Hampshire</t>
        </is>
      </c>
      <c r="F170" s="73" t="inlineStr">
        <is>
          <t>New Hampshire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2025-11-19</t>
        </is>
      </c>
      <c r="K170" s="73" t="inlineStr">
        <is>
          <t>2025-11-19</t>
        </is>
      </c>
      <c r="L170" s="75" t="n">
        <v>69550</v>
      </c>
      <c r="M170" s="73" t="inlineStr"/>
      <c r="N170" s="73" t="inlineStr">
        <is>
          <t>Portal</t>
        </is>
      </c>
      <c r="O170" s="73" t="inlineStr">
        <is>
          <t>Abhishek Zalani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2025-11-05</t>
        </is>
      </c>
      <c r="Z170" s="73" t="inlineStr">
        <is>
          <t>https://app-na2.hubspot.com/contacts/243046792/record/0-3/212007532248</t>
        </is>
      </c>
      <c r="AA170" s="73" t="inlineStr"/>
    </row>
    <row r="171">
      <c r="A171" s="73" t="n">
        <v>170</v>
      </c>
      <c r="B171" s="73" t="inlineStr">
        <is>
          <t>189205106379</t>
        </is>
      </c>
      <c r="C171" s="73" t="inlineStr"/>
      <c r="D171" s="73" t="inlineStr">
        <is>
          <t>ENTERPRISE RESOURCE PLANNING (ERP) SYSTEM CONSULTING SERVICES</t>
        </is>
      </c>
      <c r="E171" s="73" t="inlineStr">
        <is>
          <t>City of Blythe</t>
        </is>
      </c>
      <c r="F171" s="73" t="inlineStr">
        <is>
          <t>California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2025-11-19</t>
        </is>
      </c>
      <c r="K171" s="73" t="inlineStr">
        <is>
          <t>2025-11-18</t>
        </is>
      </c>
      <c r="L171" s="75" t="n">
        <v>98500</v>
      </c>
      <c r="M171" s="73" t="inlineStr">
        <is>
          <t>Platform Implementation (ERP, CRMs)</t>
        </is>
      </c>
      <c r="N171" s="73" t="inlineStr"/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2025-10-15</t>
        </is>
      </c>
      <c r="Z171" s="73" t="inlineStr">
        <is>
          <t>https://app-na2.hubspot.com/contacts/243046792/record/0-3/189205106379</t>
        </is>
      </c>
      <c r="AA171" s="73" t="inlineStr"/>
    </row>
    <row r="172">
      <c r="A172" s="73" t="n">
        <v>171</v>
      </c>
      <c r="B172" s="73" t="inlineStr">
        <is>
          <t>216534906589</t>
        </is>
      </c>
      <c r="C172" s="73" t="inlineStr">
        <is>
          <t>#377-25RFP</t>
        </is>
      </c>
      <c r="D172" s="73" t="inlineStr">
        <is>
          <t>Maintenance and Support of City Software</t>
        </is>
      </c>
      <c r="E172" s="73" t="inlineStr">
        <is>
          <t xml:space="preserve">City of New Brunswick </t>
        </is>
      </c>
      <c r="F172" s="73" t="inlineStr">
        <is>
          <t>New Jersey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2025-11-19</t>
        </is>
      </c>
      <c r="L172" s="73" t="n"/>
      <c r="M172" s="73" t="inlineStr">
        <is>
          <t>Support &amp; Maintenance</t>
        </is>
      </c>
      <c r="N172" s="73" t="inlineStr">
        <is>
          <t>Offline</t>
        </is>
      </c>
      <c r="O172" s="73" t="inlineStr">
        <is>
          <t>Abhishek Zalani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2025-11-12</t>
        </is>
      </c>
      <c r="Z172" s="73" t="inlineStr">
        <is>
          <t>https://app-na2.hubspot.com/contacts/243046792/record/0-3/216534906589</t>
        </is>
      </c>
      <c r="AA172" s="73" t="inlineStr"/>
    </row>
    <row r="173">
      <c r="A173" s="73" t="n">
        <v>172</v>
      </c>
      <c r="B173" s="73" t="inlineStr">
        <is>
          <t>200822611705</t>
        </is>
      </c>
      <c r="C173" s="73" t="inlineStr"/>
      <c r="D173" s="73" t="inlineStr">
        <is>
          <t>Public Records Request Management System</t>
        </is>
      </c>
      <c r="E173" s="73" t="inlineStr">
        <is>
          <t>Ohio Department of Natural Resources</t>
        </is>
      </c>
      <c r="F173" s="73" t="inlineStr">
        <is>
          <t>Ohio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3" t="n"/>
      <c r="M173" s="73" t="inlineStr">
        <is>
          <t>Platform Implementation (ERP, CRMs)</t>
        </is>
      </c>
      <c r="N173" s="73" t="inlineStr"/>
      <c r="O173" s="73" t="inlineStr">
        <is>
          <t>Abhishek Zalani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2025-10-28</t>
        </is>
      </c>
      <c r="Z173" s="73" t="inlineStr">
        <is>
          <t>https://app-na2.hubspot.com/contacts/243046792/record/0-3/200822611705</t>
        </is>
      </c>
      <c r="AA173" s="73" t="inlineStr"/>
    </row>
    <row r="174">
      <c r="A174" s="73" t="n">
        <v>173</v>
      </c>
      <c r="B174" s="73" t="inlineStr">
        <is>
          <t>199601365715</t>
        </is>
      </c>
      <c r="C174" s="73" t="inlineStr"/>
      <c r="D174" s="73" t="inlineStr">
        <is>
          <t>Contracted IT Support Services</t>
        </is>
      </c>
      <c r="E174" s="73" t="inlineStr">
        <is>
          <t>ECS4Kids</t>
        </is>
      </c>
      <c r="F174" s="73" t="inlineStr">
        <is>
          <t>Florida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/>
      <c r="L174" s="75" t="n">
        <v>291141</v>
      </c>
      <c r="M174" s="73" t="inlineStr">
        <is>
          <t>Support &amp; Maintenance</t>
        </is>
      </c>
      <c r="N174" s="73" t="inlineStr">
        <is>
          <t>Portal</t>
        </is>
      </c>
      <c r="O174" s="73" t="inlineStr">
        <is>
          <t>Ashutosh Chauhan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2025-10-28</t>
        </is>
      </c>
      <c r="Z174" s="73" t="inlineStr">
        <is>
          <t>https://app-na2.hubspot.com/contacts/243046792/record/0-3/199601365715</t>
        </is>
      </c>
      <c r="AA174" s="73" t="inlineStr"/>
    </row>
    <row r="175">
      <c r="A175" s="73" t="n">
        <v>174</v>
      </c>
      <c r="B175" s="73" t="inlineStr">
        <is>
          <t>180942916300</t>
        </is>
      </c>
      <c r="C175" s="73" t="inlineStr">
        <is>
          <t>RFP-DS-BI-ADPDI-10-25</t>
        </is>
      </c>
      <c r="D175" s="73" t="inlineStr">
        <is>
          <t>Azure Data Platform Design and Implementation</t>
        </is>
      </c>
      <c r="E175" s="73" t="inlineStr">
        <is>
          <t>Houston-Galveston Area Council</t>
        </is>
      </c>
      <c r="F175" s="73" t="inlineStr">
        <is>
          <t>Texas</t>
        </is>
      </c>
      <c r="G175" s="73" t="inlineStr">
        <is>
          <t>Submitted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2025-11-20</t>
        </is>
      </c>
      <c r="L175" s="75" t="n">
        <v>61000</v>
      </c>
      <c r="M175" s="73" t="inlineStr">
        <is>
          <t>Modernization / Migration</t>
        </is>
      </c>
      <c r="N175" s="73" t="inlineStr">
        <is>
          <t>Portal</t>
        </is>
      </c>
      <c r="O175" s="73" t="inlineStr">
        <is>
          <t>Ashutosh Chauhan</t>
        </is>
      </c>
      <c r="P175" s="73" t="inlineStr"/>
      <c r="Q175" s="73" t="inlineStr"/>
      <c r="R175" s="73" t="inlineStr"/>
      <c r="S175" s="73" t="inlineStr"/>
      <c r="T175" s="73" t="inlineStr"/>
      <c r="U175" s="73" t="inlineStr"/>
      <c r="V175" s="73" t="inlineStr"/>
      <c r="W175" s="73" t="inlineStr"/>
      <c r="X175" s="73" t="inlineStr"/>
      <c r="Y175" s="73" t="inlineStr">
        <is>
          <t>2025-10-08</t>
        </is>
      </c>
      <c r="Z175" s="73" t="inlineStr">
        <is>
          <t>https://app-na2.hubspot.com/contacts/243046792/record/0-3/180942916300</t>
        </is>
      </c>
      <c r="AA175" s="73" t="inlineStr"/>
    </row>
    <row r="176">
      <c r="A176" s="73" t="n">
        <v>175</v>
      </c>
      <c r="B176" s="73" t="inlineStr">
        <is>
          <t>203838417649</t>
        </is>
      </c>
      <c r="C176" s="73" t="inlineStr"/>
      <c r="D176" s="73" t="inlineStr">
        <is>
          <t>RFP - 2026 Professional &amp; IT Services - Fair &amp; Open Process - Computer Services</t>
        </is>
      </c>
      <c r="E176" s="73" t="inlineStr">
        <is>
          <t>Watchung Borough</t>
        </is>
      </c>
      <c r="F176" s="73" t="inlineStr">
        <is>
          <t>New Jersey</t>
        </is>
      </c>
      <c r="G176" s="73" t="inlineStr">
        <is>
          <t>Submitted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2025-11-20</t>
        </is>
      </c>
      <c r="L176" s="73" t="n"/>
      <c r="M176" s="73" t="inlineStr">
        <is>
          <t>Managed Services (MSP)</t>
        </is>
      </c>
      <c r="N176" s="73" t="inlineStr">
        <is>
          <t>Offline</t>
        </is>
      </c>
      <c r="O176" s="73" t="inlineStr">
        <is>
          <t>Ashutosh Chauhan</t>
        </is>
      </c>
      <c r="P176" s="73" t="inlineStr"/>
      <c r="Q176" s="73" t="inlineStr"/>
      <c r="R176" s="73" t="inlineStr"/>
      <c r="S176" s="73" t="inlineStr"/>
      <c r="T176" s="73" t="inlineStr"/>
      <c r="U176" s="73" t="inlineStr"/>
      <c r="V176" s="73" t="inlineStr"/>
      <c r="W176" s="73" t="inlineStr"/>
      <c r="X176" s="73" t="inlineStr"/>
      <c r="Y176" s="73" t="inlineStr">
        <is>
          <t>2025-10-30</t>
        </is>
      </c>
      <c r="Z176" s="73" t="inlineStr">
        <is>
          <t>https://app-na2.hubspot.com/contacts/243046792/record/0-3/203838417649</t>
        </is>
      </c>
      <c r="AA176" s="73" t="inlineStr"/>
    </row>
    <row r="177">
      <c r="A177" s="73" t="n">
        <v>176</v>
      </c>
      <c r="B177" s="73" t="inlineStr">
        <is>
          <t>202093900488</t>
        </is>
      </c>
      <c r="C177" s="73" t="inlineStr"/>
      <c r="D177" s="73" t="inlineStr">
        <is>
          <t>Asset Management and Facilities Services Software Solution</t>
        </is>
      </c>
      <c r="E177" s="73" t="inlineStr">
        <is>
          <t>Butte County</t>
        </is>
      </c>
      <c r="F177" s="73" t="inlineStr">
        <is>
          <t>California</t>
        </is>
      </c>
      <c r="G177" s="73" t="inlineStr">
        <is>
          <t>Submitted</t>
        </is>
      </c>
      <c r="H177" s="73" t="inlineStr"/>
      <c r="I177" s="73" t="inlineStr"/>
      <c r="J177" s="73" t="inlineStr">
        <is>
          <t>2025-11-20</t>
        </is>
      </c>
      <c r="K177" s="73" t="inlineStr">
        <is>
          <t>2025-11-20</t>
        </is>
      </c>
      <c r="L177" s="73" t="n"/>
      <c r="M177" s="73" t="inlineStr">
        <is>
          <t>Platform Implementation (ERP, CRMs)</t>
        </is>
      </c>
      <c r="N177" s="73" t="inlineStr">
        <is>
          <t>Email</t>
        </is>
      </c>
      <c r="O177" s="73" t="inlineStr">
        <is>
          <t>Abhishek Zalani</t>
        </is>
      </c>
      <c r="P177" s="73" t="inlineStr"/>
      <c r="Q177" s="73" t="inlineStr"/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2025-10-28</t>
        </is>
      </c>
      <c r="Z177" s="73" t="inlineStr">
        <is>
          <t>https://app-na2.hubspot.com/contacts/243046792/record/0-3/202093900488</t>
        </is>
      </c>
      <c r="AA177" s="73" t="inlineStr"/>
    </row>
    <row r="178">
      <c r="A178" s="73" t="n">
        <v>177</v>
      </c>
      <c r="B178" s="73" t="inlineStr">
        <is>
          <t>120592685811</t>
        </is>
      </c>
      <c r="C178" s="73" t="inlineStr">
        <is>
          <t>RFQ-1001295</t>
        </is>
      </c>
      <c r="D178" s="73" t="inlineStr">
        <is>
          <t>Cybersecurity Services for Iowa Political Subdivisions</t>
        </is>
      </c>
      <c r="E178" s="73" t="inlineStr">
        <is>
          <t>Iowa State University</t>
        </is>
      </c>
      <c r="F178" s="73" t="inlineStr">
        <is>
          <t>Iowa</t>
        </is>
      </c>
      <c r="G178" s="73" t="inlineStr">
        <is>
          <t>Closed Won</t>
        </is>
      </c>
      <c r="H178" s="73" t="inlineStr"/>
      <c r="I178" s="73" t="inlineStr"/>
      <c r="J178" s="73" t="inlineStr">
        <is>
          <t>2025-11-20</t>
        </is>
      </c>
      <c r="K178" s="73" t="inlineStr">
        <is>
          <t>2025-08-08</t>
        </is>
      </c>
      <c r="L178" s="73" t="n"/>
      <c r="M178" s="73" t="inlineStr">
        <is>
          <t>Audits and Assessment</t>
        </is>
      </c>
      <c r="N178" s="73" t="inlineStr">
        <is>
          <t>Portal</t>
        </is>
      </c>
      <c r="O178" s="73" t="inlineStr">
        <is>
          <t>Jyothsna Nanda kishore</t>
        </is>
      </c>
      <c r="P178" s="73" t="inlineStr"/>
      <c r="Q178" s="73" t="inlineStr"/>
      <c r="R178" s="73" t="inlineStr"/>
      <c r="S178" s="73" t="inlineStr">
        <is>
          <t>2026-11-21</t>
        </is>
      </c>
      <c r="T178" s="73" t="inlineStr"/>
      <c r="U178" s="73" t="inlineStr">
        <is>
          <t>2026-11-21</t>
        </is>
      </c>
      <c r="V178" s="73" t="inlineStr"/>
      <c r="W178" s="73" t="inlineStr"/>
      <c r="X178" s="73" t="inlineStr"/>
      <c r="Y178" s="73" t="inlineStr">
        <is>
          <t>2025-07-15</t>
        </is>
      </c>
      <c r="Z178" s="73" t="inlineStr">
        <is>
          <t>https://app-na2.hubspot.com/contacts/243046792/record/0-3/120592685811</t>
        </is>
      </c>
      <c r="AA178" s="73" t="inlineStr"/>
    </row>
    <row r="179">
      <c r="A179" s="73" t="n">
        <v>178</v>
      </c>
      <c r="B179" s="73" t="inlineStr">
        <is>
          <t>114864544502</t>
        </is>
      </c>
      <c r="C179" s="73" t="inlineStr"/>
      <c r="D179" s="73" t="inlineStr">
        <is>
          <t>Workday Related Staff Augmentation and Project Work</t>
        </is>
      </c>
      <c r="E179" s="73" t="inlineStr">
        <is>
          <t>University System of New Hampshire</t>
        </is>
      </c>
      <c r="F179" s="73" t="inlineStr">
        <is>
          <t>New Hampshire</t>
        </is>
      </c>
      <c r="G179" s="73" t="inlineStr">
        <is>
          <t>Closed Won</t>
        </is>
      </c>
      <c r="H179" s="73" t="inlineStr"/>
      <c r="I179" s="73" t="inlineStr"/>
      <c r="J179" s="73" t="inlineStr">
        <is>
          <t>2025-11-20</t>
        </is>
      </c>
      <c r="K179" s="73" t="inlineStr">
        <is>
          <t>2025-07-23</t>
        </is>
      </c>
      <c r="L179" s="73" t="n"/>
      <c r="M179" s="73" t="inlineStr"/>
      <c r="N179" s="73" t="inlineStr">
        <is>
          <t>Portal</t>
        </is>
      </c>
      <c r="O179" s="73" t="inlineStr">
        <is>
          <t>Madhav Mitruka</t>
        </is>
      </c>
      <c r="P179" s="73" t="inlineStr"/>
      <c r="Q179" s="73" t="inlineStr"/>
      <c r="R179" s="73" t="inlineStr"/>
      <c r="S179" s="73" t="inlineStr">
        <is>
          <t>2025-11-20</t>
        </is>
      </c>
      <c r="T179" s="73" t="inlineStr"/>
      <c r="U179" s="73" t="inlineStr">
        <is>
          <t>2025-12-18</t>
        </is>
      </c>
      <c r="V179" s="73" t="inlineStr"/>
      <c r="W179" s="73" t="inlineStr"/>
      <c r="X179" s="73" t="inlineStr"/>
      <c r="Y179" s="73" t="inlineStr">
        <is>
          <t>2025-07-08</t>
        </is>
      </c>
      <c r="Z179" s="73" t="inlineStr">
        <is>
          <t>https://app-na2.hubspot.com/contacts/243046792/record/0-3/114864544502</t>
        </is>
      </c>
      <c r="AA179" s="73" t="inlineStr"/>
    </row>
    <row r="180">
      <c r="A180" s="73" t="n">
        <v>179</v>
      </c>
      <c r="B180" s="73" t="inlineStr">
        <is>
          <t>211098716921</t>
        </is>
      </c>
      <c r="C180" s="73" t="inlineStr">
        <is>
          <t>STATE 0000000159SL</t>
        </is>
      </c>
      <c r="D180" s="73" t="inlineStr">
        <is>
          <t>Endpoint Data Loss Prevention Security Services (REBID)</t>
        </is>
      </c>
      <c r="E180" s="73" t="inlineStr">
        <is>
          <t>Missouri Information Technology Services Division</t>
        </is>
      </c>
      <c r="F180" s="73" t="inlineStr">
        <is>
          <t>Missouri</t>
        </is>
      </c>
      <c r="G180" s="73" t="inlineStr">
        <is>
          <t>Interview</t>
        </is>
      </c>
      <c r="H180" s="73" t="inlineStr">
        <is>
          <t>Yes</t>
        </is>
      </c>
      <c r="I180" s="73" t="inlineStr">
        <is>
          <t>BAFO</t>
        </is>
      </c>
      <c r="J180" s="73" t="inlineStr">
        <is>
          <t>2025-11-21</t>
        </is>
      </c>
      <c r="K180" s="73" t="inlineStr">
        <is>
          <t>2025-11-21</t>
        </is>
      </c>
      <c r="L180" s="73" t="n"/>
      <c r="M180" s="73" t="inlineStr">
        <is>
          <t>Support &amp; Maintenance</t>
        </is>
      </c>
      <c r="N180" s="73" t="inlineStr"/>
      <c r="O180" s="73" t="inlineStr">
        <is>
          <t>Jyothsna Nanda kishore</t>
        </is>
      </c>
      <c r="P180" s="73" t="inlineStr">
        <is>
          <t>BAFO</t>
        </is>
      </c>
      <c r="Q180" s="73" t="inlineStr"/>
      <c r="R180" s="73" t="inlineStr">
        <is>
          <t>2026-02-25</t>
        </is>
      </c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2025-11-05</t>
        </is>
      </c>
      <c r="Z180" s="73" t="inlineStr">
        <is>
          <t>https://app-na2.hubspot.com/contacts/243046792/record/0-3/211098716921</t>
        </is>
      </c>
      <c r="AA180" s="73" t="inlineStr"/>
    </row>
    <row r="181">
      <c r="A181" s="73" t="n">
        <v>180</v>
      </c>
      <c r="B181" s="73" t="inlineStr">
        <is>
          <t>203233555138</t>
        </is>
      </c>
      <c r="C181" s="73" t="inlineStr"/>
      <c r="D181" s="73" t="inlineStr">
        <is>
          <t>PROFESSIONAL INFORMATION TECHNOLOGY (IT) SERVICES</t>
        </is>
      </c>
      <c r="E181" s="73" t="inlineStr">
        <is>
          <t>Avon Lake Regional Water</t>
        </is>
      </c>
      <c r="F181" s="73" t="inlineStr">
        <is>
          <t>Ohio</t>
        </is>
      </c>
      <c r="G181" s="73" t="inlineStr">
        <is>
          <t>Interview</t>
        </is>
      </c>
      <c r="H181" s="73" t="inlineStr">
        <is>
          <t>Yes</t>
        </is>
      </c>
      <c r="I181" s="73" t="inlineStr">
        <is>
          <t>Interview</t>
        </is>
      </c>
      <c r="J181" s="73" t="inlineStr">
        <is>
          <t>2025-11-21</t>
        </is>
      </c>
      <c r="K181" s="73" t="inlineStr">
        <is>
          <t>2025-11-20</t>
        </is>
      </c>
      <c r="L181" s="73" t="n"/>
      <c r="M181" s="73" t="inlineStr">
        <is>
          <t>Managed Services (MSP)</t>
        </is>
      </c>
      <c r="N181" s="73" t="inlineStr">
        <is>
          <t>Offline</t>
        </is>
      </c>
      <c r="O181" s="73" t="inlineStr">
        <is>
          <t>Jyothsna Nanda kishore</t>
        </is>
      </c>
      <c r="P181" s="73" t="inlineStr">
        <is>
          <t>Interview Scheduled</t>
        </is>
      </c>
      <c r="Q181" s="73" t="inlineStr">
        <is>
          <t>2026-01-09</t>
        </is>
      </c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2025-10-30</t>
        </is>
      </c>
      <c r="Z181" s="73" t="inlineStr">
        <is>
          <t>https://app-na2.hubspot.com/contacts/243046792/record/0-3/203233555138</t>
        </is>
      </c>
      <c r="AA181" s="73" t="inlineStr"/>
    </row>
    <row r="182">
      <c r="A182" s="73" t="n">
        <v>181</v>
      </c>
      <c r="B182" s="73" t="inlineStr">
        <is>
          <t>212647352025</t>
        </is>
      </c>
      <c r="C182" s="73" t="inlineStr">
        <is>
          <t>#0000003885</t>
        </is>
      </c>
      <c r="D182" s="73" t="inlineStr">
        <is>
          <t>RFP_IT_WCAG 2.1 Assessment</t>
        </is>
      </c>
      <c r="E182" s="73" t="inlineStr">
        <is>
          <t>City of Minneapolis</t>
        </is>
      </c>
      <c r="F182" s="73" t="inlineStr"/>
      <c r="G182" s="73" t="inlineStr">
        <is>
          <t>Submitted</t>
        </is>
      </c>
      <c r="H182" s="73" t="inlineStr"/>
      <c r="I182" s="73" t="inlineStr"/>
      <c r="J182" s="73" t="inlineStr">
        <is>
          <t>2025-11-21</t>
        </is>
      </c>
      <c r="K182" s="73" t="inlineStr">
        <is>
          <t>2025-11-21</t>
        </is>
      </c>
      <c r="L182" s="75" t="n">
        <v>41850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2025-11-06</t>
        </is>
      </c>
      <c r="Z182" s="73" t="inlineStr">
        <is>
          <t>https://app-na2.hubspot.com/contacts/243046792/record/0-3/212647352025</t>
        </is>
      </c>
      <c r="AA182" s="73" t="inlineStr"/>
    </row>
    <row r="183">
      <c r="A183" s="73" t="n">
        <v>182</v>
      </c>
      <c r="B183" s="73" t="inlineStr">
        <is>
          <t>197783879408</t>
        </is>
      </c>
      <c r="C183" s="73" t="inlineStr"/>
      <c r="D183" s="73" t="inlineStr">
        <is>
          <t>Managed Services Support</t>
        </is>
      </c>
      <c r="E183" s="73" t="inlineStr">
        <is>
          <t>Shelby County Government</t>
        </is>
      </c>
      <c r="F183" s="73" t="inlineStr">
        <is>
          <t>Tennessee</t>
        </is>
      </c>
      <c r="G183" s="73" t="inlineStr">
        <is>
          <t>RFx Cancelled</t>
        </is>
      </c>
      <c r="H183" s="73" t="inlineStr"/>
      <c r="I183" s="73" t="inlineStr"/>
      <c r="J183" s="73" t="inlineStr">
        <is>
          <t>2025-11-25</t>
        </is>
      </c>
      <c r="K183" s="73" t="inlineStr">
        <is>
          <t>2025-11-24</t>
        </is>
      </c>
      <c r="L183" s="75" t="n">
        <v>242540</v>
      </c>
      <c r="M183" s="73" t="inlineStr">
        <is>
          <t>Managed Services (MSP)</t>
        </is>
      </c>
      <c r="N183" s="73" t="inlineStr">
        <is>
          <t>Offline</t>
        </is>
      </c>
      <c r="O183" s="73" t="inlineStr">
        <is>
          <t>Ashutosh Chauhan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2025-10-27</t>
        </is>
      </c>
      <c r="Z183" s="73" t="inlineStr">
        <is>
          <t>https://app-na2.hubspot.com/contacts/243046792/record/0-3/197783879408</t>
        </is>
      </c>
      <c r="AA183" s="73" t="inlineStr"/>
    </row>
    <row r="184">
      <c r="A184" s="73" t="n">
        <v>183</v>
      </c>
      <c r="B184" s="73" t="inlineStr">
        <is>
          <t>202002661057</t>
        </is>
      </c>
      <c r="C184" s="73" t="inlineStr"/>
      <c r="D184" s="73" t="inlineStr">
        <is>
          <t>Information Technology Consultant</t>
        </is>
      </c>
      <c r="E184" s="73" t="inlineStr">
        <is>
          <t>THE TOWNSHIP OF LYNDHURST</t>
        </is>
      </c>
      <c r="F184" s="73" t="inlineStr">
        <is>
          <t>New Jersey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2025-11-25</t>
        </is>
      </c>
      <c r="K184" s="73" t="inlineStr">
        <is>
          <t>2025-11-24</t>
        </is>
      </c>
      <c r="L184" s="75" t="n">
        <v>16080</v>
      </c>
      <c r="M184" s="73" t="inlineStr">
        <is>
          <t>Consulting</t>
        </is>
      </c>
      <c r="N184" s="73" t="inlineStr">
        <is>
          <t>Offline</t>
        </is>
      </c>
      <c r="O184" s="73" t="inlineStr">
        <is>
          <t>Ashutosh Chauhan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2025-10-28</t>
        </is>
      </c>
      <c r="Z184" s="73" t="inlineStr">
        <is>
          <t>https://app-na2.hubspot.com/contacts/243046792/record/0-3/202002661057</t>
        </is>
      </c>
      <c r="AA184" s="73" t="inlineStr"/>
    </row>
    <row r="185">
      <c r="A185" s="73" t="n">
        <v>184</v>
      </c>
      <c r="B185" s="73" t="inlineStr">
        <is>
          <t>216637087420</t>
        </is>
      </c>
      <c r="C185" s="73" t="inlineStr"/>
      <c r="D185" s="73" t="inlineStr">
        <is>
          <t>NERC-CIP Cyber Security Consultant</t>
        </is>
      </c>
      <c r="E185" s="73" t="inlineStr">
        <is>
          <t>Lansing Board of Water and Light</t>
        </is>
      </c>
      <c r="F185" s="73" t="inlineStr">
        <is>
          <t>Michigan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2025-11-25</t>
        </is>
      </c>
      <c r="K185" s="73" t="inlineStr">
        <is>
          <t>2025-11-30</t>
        </is>
      </c>
      <c r="L185" s="73" t="n"/>
      <c r="M185" s="73" t="inlineStr">
        <is>
          <t>Consulting;Staff Augmentation</t>
        </is>
      </c>
      <c r="N185" s="73" t="inlineStr">
        <is>
          <t>Portal</t>
        </is>
      </c>
      <c r="O185" s="73" t="inlineStr">
        <is>
          <t>Abhishek Zalani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2025-11-11</t>
        </is>
      </c>
      <c r="Z185" s="73" t="inlineStr">
        <is>
          <t>https://app-na2.hubspot.com/contacts/243046792/record/0-3/216637087420</t>
        </is>
      </c>
      <c r="AA185" s="73" t="inlineStr"/>
    </row>
    <row r="186">
      <c r="A186" s="73" t="n">
        <v>185</v>
      </c>
      <c r="B186" s="73" t="inlineStr">
        <is>
          <t>221717095098</t>
        </is>
      </c>
      <c r="C186" s="73" t="inlineStr"/>
      <c r="D186" s="73" t="inlineStr">
        <is>
          <t>Microsoft 365 G5 Plan 2 Licenses</t>
        </is>
      </c>
      <c r="E186" s="73" t="inlineStr">
        <is>
          <t>City of Warren</t>
        </is>
      </c>
      <c r="F186" s="73" t="inlineStr">
        <is>
          <t>Michigan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2025-11-26</t>
        </is>
      </c>
      <c r="K186" s="73" t="inlineStr">
        <is>
          <t>2025-11-30</t>
        </is>
      </c>
      <c r="L186" s="75" t="n">
        <v>906663</v>
      </c>
      <c r="M186" s="73" t="inlineStr"/>
      <c r="N186" s="73" t="inlineStr">
        <is>
          <t>Portal</t>
        </is>
      </c>
      <c r="O186" s="73" t="inlineStr">
        <is>
          <t>Abhishek Zalani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2025-11-17</t>
        </is>
      </c>
      <c r="Z186" s="73" t="inlineStr">
        <is>
          <t>https://app-na2.hubspot.com/contacts/243046792/record/0-3/221717095098</t>
        </is>
      </c>
      <c r="AA186" s="73" t="inlineStr"/>
    </row>
    <row r="187">
      <c r="A187" s="73" t="n">
        <v>186</v>
      </c>
      <c r="B187" s="73" t="inlineStr">
        <is>
          <t>199601370831</t>
        </is>
      </c>
      <c r="C187" s="73" t="inlineStr">
        <is>
          <t>RFP #25-011</t>
        </is>
      </c>
      <c r="D187" s="73" t="inlineStr">
        <is>
          <t>Website Design and Development Services</t>
        </is>
      </c>
      <c r="E187" s="73" t="inlineStr">
        <is>
          <t>Housing Authority of Salt Lake City</t>
        </is>
      </c>
      <c r="F187" s="73" t="inlineStr">
        <is>
          <t>Utah</t>
        </is>
      </c>
      <c r="G187" s="73" t="inlineStr">
        <is>
          <t>Submitted</t>
        </is>
      </c>
      <c r="H187" s="73" t="inlineStr"/>
      <c r="I187" s="73" t="inlineStr"/>
      <c r="J187" s="73" t="inlineStr">
        <is>
          <t>2025-11-26</t>
        </is>
      </c>
      <c r="K187" s="73" t="inlineStr">
        <is>
          <t>2025-11-26</t>
        </is>
      </c>
      <c r="L187" s="75" t="n">
        <v>47600</v>
      </c>
      <c r="M187" s="73" t="inlineStr">
        <is>
          <t>Consulting;Support &amp; Maintenance</t>
        </is>
      </c>
      <c r="N187" s="73" t="inlineStr">
        <is>
          <t>Portal</t>
        </is>
      </c>
      <c r="O187" s="73" t="inlineStr">
        <is>
          <t>Abhishek Zalani</t>
        </is>
      </c>
      <c r="P187" s="73" t="inlineStr"/>
      <c r="Q187" s="73" t="inlineStr"/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2025-10-28</t>
        </is>
      </c>
      <c r="Z187" s="73" t="inlineStr">
        <is>
          <t>https://app-na2.hubspot.com/contacts/243046792/record/0-3/199601370831</t>
        </is>
      </c>
      <c r="AA187" s="73" t="inlineStr"/>
    </row>
    <row r="188">
      <c r="A188" s="73" t="n">
        <v>187</v>
      </c>
      <c r="B188" s="73" t="inlineStr">
        <is>
          <t>161660339927</t>
        </is>
      </c>
      <c r="C188" s="73" t="inlineStr">
        <is>
          <t>RFP #S-19800-00014589</t>
        </is>
      </c>
      <c r="D188" s="73" t="inlineStr">
        <is>
          <t>OFFLINE - Website Accessibility Audit - OJD Public Facing Content</t>
        </is>
      </c>
      <c r="E188" s="73" t="inlineStr">
        <is>
          <t>Oregon Judicial Department</t>
        </is>
      </c>
      <c r="F188" s="73" t="inlineStr">
        <is>
          <t>Oregon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2025-11-26</t>
        </is>
      </c>
      <c r="K188" s="73" t="inlineStr">
        <is>
          <t>2025-11-26</t>
        </is>
      </c>
      <c r="L188" s="75" t="n">
        <v>51000</v>
      </c>
      <c r="M188" s="73" t="inlineStr">
        <is>
          <t>Audits and Assessment</t>
        </is>
      </c>
      <c r="N188" s="73" t="inlineStr">
        <is>
          <t>Offline</t>
        </is>
      </c>
      <c r="O188" s="73" t="inlineStr">
        <is>
          <t>Abhishek Zalani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2025-09-17</t>
        </is>
      </c>
      <c r="Z188" s="73" t="inlineStr">
        <is>
          <t>https://app-na2.hubspot.com/contacts/243046792/record/0-3/161660339927</t>
        </is>
      </c>
      <c r="AA188" s="73" t="inlineStr"/>
    </row>
    <row r="189">
      <c r="A189" s="73" t="n">
        <v>188</v>
      </c>
      <c r="B189" s="73" t="inlineStr">
        <is>
          <t>199601365713</t>
        </is>
      </c>
      <c r="C189" s="73" t="inlineStr"/>
      <c r="D189" s="73" t="inlineStr">
        <is>
          <t>Managed IT Services with Embedded On-Site Staff</t>
        </is>
      </c>
      <c r="E189" s="73" t="inlineStr">
        <is>
          <t xml:space="preserve">Legal Services of the Hudson Valley </t>
        </is>
      </c>
      <c r="F189" s="73" t="inlineStr">
        <is>
          <t>New York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2025-11-28</t>
        </is>
      </c>
      <c r="K189" s="73" t="inlineStr">
        <is>
          <t>2025-11-24</t>
        </is>
      </c>
      <c r="L189" s="73" t="n"/>
      <c r="M189" s="73" t="inlineStr">
        <is>
          <t>Managed Services (MSP)</t>
        </is>
      </c>
      <c r="N189" s="73" t="inlineStr"/>
      <c r="O189" s="73" t="inlineStr">
        <is>
          <t>Ashutosh Chauhan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2025-10-28</t>
        </is>
      </c>
      <c r="Z189" s="73" t="inlineStr">
        <is>
          <t>https://app-na2.hubspot.com/contacts/243046792/record/0-3/199601365713</t>
        </is>
      </c>
      <c r="AA189" s="73" t="inlineStr"/>
    </row>
    <row r="190">
      <c r="A190" s="73" t="n">
        <v>189</v>
      </c>
      <c r="B190" s="73" t="inlineStr">
        <is>
          <t>218382308088</t>
        </is>
      </c>
      <c r="C190" s="73" t="inlineStr"/>
      <c r="D190" s="73" t="inlineStr">
        <is>
          <t>Technology Hardware, Software and Services</t>
        </is>
      </c>
      <c r="E190" s="73" t="inlineStr">
        <is>
          <t>FRIENDSHIP PUBLIC CHARTER SCHOOL</t>
        </is>
      </c>
      <c r="F190" s="73" t="inlineStr">
        <is>
          <t>DC</t>
        </is>
      </c>
      <c r="G190" s="73" t="inlineStr">
        <is>
          <t>Submitted</t>
        </is>
      </c>
      <c r="H190" s="73" t="inlineStr"/>
      <c r="I190" s="73" t="inlineStr"/>
      <c r="J190" s="73" t="inlineStr">
        <is>
          <t>2025-11-28</t>
        </is>
      </c>
      <c r="K190" s="73" t="inlineStr">
        <is>
          <t>2025-11-24</t>
        </is>
      </c>
      <c r="L190" s="73" t="n"/>
      <c r="M190" s="73" t="inlineStr">
        <is>
          <t>Support &amp; Maintenance</t>
        </is>
      </c>
      <c r="N190" s="73" t="inlineStr">
        <is>
          <t>Email</t>
        </is>
      </c>
      <c r="O190" s="73" t="inlineStr">
        <is>
          <t>Jyothsna Nanda kishore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2025-11-13</t>
        </is>
      </c>
      <c r="Z190" s="73" t="inlineStr">
        <is>
          <t>https://app-na2.hubspot.com/contacts/243046792/record/0-3/218382308088</t>
        </is>
      </c>
      <c r="AA190" s="73" t="inlineStr"/>
    </row>
    <row r="191">
      <c r="A191" s="73" t="n">
        <v>190</v>
      </c>
      <c r="B191" s="73" t="inlineStr">
        <is>
          <t>173703980764</t>
        </is>
      </c>
      <c r="C191" s="73" t="inlineStr">
        <is>
          <t>2509-700-394</t>
        </is>
      </c>
      <c r="D191" s="73" t="inlineStr">
        <is>
          <t>Software &amp; Applications</t>
        </is>
      </c>
      <c r="E191" s="73" t="inlineStr">
        <is>
          <t>Belton Independent School District ( District )</t>
        </is>
      </c>
      <c r="F191" s="73" t="inlineStr"/>
      <c r="G191" s="73" t="inlineStr">
        <is>
          <t>Submitted</t>
        </is>
      </c>
      <c r="H191" s="73" t="inlineStr"/>
      <c r="I191" s="73" t="inlineStr"/>
      <c r="J191" s="73" t="inlineStr">
        <is>
          <t>2025-12-01</t>
        </is>
      </c>
      <c r="K191" s="73" t="inlineStr">
        <is>
          <t>2025-11-20</t>
        </is>
      </c>
      <c r="L191" s="73" t="n"/>
      <c r="M191" s="73" t="inlineStr">
        <is>
          <t>Reseller</t>
        </is>
      </c>
      <c r="N191" s="73" t="inlineStr">
        <is>
          <t>Portal</t>
        </is>
      </c>
      <c r="O191" s="73" t="inlineStr">
        <is>
          <t>Jyothsna Nanda kishore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2025-10-01</t>
        </is>
      </c>
      <c r="Z191" s="73" t="inlineStr">
        <is>
          <t>https://app-na2.hubspot.com/contacts/243046792/record/0-3/173703980764</t>
        </is>
      </c>
      <c r="AA191" s="73" t="inlineStr"/>
    </row>
    <row r="192">
      <c r="A192" s="73" t="n">
        <v>191</v>
      </c>
      <c r="B192" s="73" t="inlineStr">
        <is>
          <t>209420244717</t>
        </is>
      </c>
      <c r="C192" s="73" t="inlineStr"/>
      <c r="D192" s="73" t="inlineStr">
        <is>
          <t>IT Services</t>
        </is>
      </c>
      <c r="E192" s="73" t="inlineStr">
        <is>
          <t>Allen Metropolitan Housing Authority</t>
        </is>
      </c>
      <c r="F192" s="73" t="inlineStr">
        <is>
          <t>Ohio</t>
        </is>
      </c>
      <c r="G192" s="73" t="inlineStr">
        <is>
          <t>Interview</t>
        </is>
      </c>
      <c r="H192" s="73" t="inlineStr">
        <is>
          <t>Yes</t>
        </is>
      </c>
      <c r="I192" s="73" t="inlineStr">
        <is>
          <t>Interview</t>
        </is>
      </c>
      <c r="J192" s="73" t="inlineStr">
        <is>
          <t>2025-12-01</t>
        </is>
      </c>
      <c r="K192" s="73" t="inlineStr">
        <is>
          <t>2025-12-01</t>
        </is>
      </c>
      <c r="L192" s="73" t="n"/>
      <c r="M192" s="73" t="inlineStr">
        <is>
          <t>Managed Services (MSP)</t>
        </is>
      </c>
      <c r="N192" s="73" t="inlineStr">
        <is>
          <t>Offline</t>
        </is>
      </c>
      <c r="O192" s="73" t="inlineStr">
        <is>
          <t>Ashutosh Chauhan</t>
        </is>
      </c>
      <c r="P192" s="73" t="inlineStr"/>
      <c r="Q192" s="73" t="inlineStr">
        <is>
          <t>2026-03-16</t>
        </is>
      </c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2025-11-03</t>
        </is>
      </c>
      <c r="Z192" s="73" t="inlineStr">
        <is>
          <t>https://app-na2.hubspot.com/contacts/243046792/record/0-3/209420244717</t>
        </is>
      </c>
      <c r="AA192" s="73" t="inlineStr"/>
    </row>
    <row r="193">
      <c r="A193" s="73" t="n">
        <v>192</v>
      </c>
      <c r="B193" s="73" t="inlineStr">
        <is>
          <t>144659614422</t>
        </is>
      </c>
      <c r="C193" s="73" t="inlineStr">
        <is>
          <t>373GHS00006</t>
        </is>
      </c>
      <c r="D193" s="73" t="inlineStr">
        <is>
          <t>Microsoft Software Licensing Compliance and Optimization Assessment and Advisory Services</t>
        </is>
      </c>
      <c r="E193" s="73" t="inlineStr">
        <is>
          <t>Granville Health System</t>
        </is>
      </c>
      <c r="F193" s="73" t="inlineStr">
        <is>
          <t>North Carolina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2025-12-01</t>
        </is>
      </c>
      <c r="K193" s="73" t="inlineStr">
        <is>
          <t>2025-11-20</t>
        </is>
      </c>
      <c r="L193" s="73" t="n"/>
      <c r="M193" s="73" t="inlineStr">
        <is>
          <t>Audits and Assessment;Consulting</t>
        </is>
      </c>
      <c r="N193" s="73" t="inlineStr">
        <is>
          <t>Email</t>
        </is>
      </c>
      <c r="O193" s="73" t="inlineStr">
        <is>
          <t>Jyothsna Nanda kishore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2025-08-22</t>
        </is>
      </c>
      <c r="Z193" s="73" t="inlineStr">
        <is>
          <t>https://app-na2.hubspot.com/contacts/243046792/record/0-3/144659614422</t>
        </is>
      </c>
      <c r="AA193" s="73" t="inlineStr"/>
    </row>
    <row r="194">
      <c r="A194" s="73" t="n">
        <v>193</v>
      </c>
      <c r="B194" s="73" t="inlineStr">
        <is>
          <t>142160624331</t>
        </is>
      </c>
      <c r="C194" s="73" t="inlineStr">
        <is>
          <t>RFP194982</t>
        </is>
      </c>
      <c r="D194" s="73" t="inlineStr">
        <is>
          <t>Customer Program Tracking and Management Platform</t>
        </is>
      </c>
      <c r="E194" s="73" t="inlineStr">
        <is>
          <t>City of Palo Alto</t>
        </is>
      </c>
      <c r="F194" s="73" t="inlineStr">
        <is>
          <t>California</t>
        </is>
      </c>
      <c r="G194" s="73" t="inlineStr">
        <is>
          <t>Closed Lost</t>
        </is>
      </c>
      <c r="H194" s="73" t="inlineStr"/>
      <c r="I194" s="73" t="inlineStr"/>
      <c r="J194" s="73" t="inlineStr">
        <is>
          <t>2025-12-02</t>
        </is>
      </c>
      <c r="K194" s="73" t="inlineStr">
        <is>
          <t>2025-09-11</t>
        </is>
      </c>
      <c r="L194" s="75" t="n">
        <v>1095180</v>
      </c>
      <c r="M194" s="73" t="inlineStr">
        <is>
          <t>Platform Implementation (ERP, CRMs)</t>
        </is>
      </c>
      <c r="N194" s="73" t="inlineStr">
        <is>
          <t>Portal</t>
        </is>
      </c>
      <c r="O194" s="73" t="inlineStr">
        <is>
          <t>Ashutosh Chauhan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2025-08-14</t>
        </is>
      </c>
      <c r="Z194" s="73" t="inlineStr">
        <is>
          <t>https://app-na2.hubspot.com/contacts/243046792/record/0-3/142160624331</t>
        </is>
      </c>
      <c r="AA194" s="73" t="inlineStr"/>
    </row>
    <row r="195">
      <c r="A195" s="73" t="n">
        <v>194</v>
      </c>
      <c r="B195" s="73" t="inlineStr">
        <is>
          <t>224457121527</t>
        </is>
      </c>
      <c r="C195" s="73" t="inlineStr"/>
      <c r="D195" s="73" t="inlineStr">
        <is>
          <t>IT Support</t>
        </is>
      </c>
      <c r="E195" s="73" t="inlineStr">
        <is>
          <t>Township of Mantua</t>
        </is>
      </c>
      <c r="F195" s="73" t="inlineStr">
        <is>
          <t>New Jersey</t>
        </is>
      </c>
      <c r="G195" s="73" t="inlineStr">
        <is>
          <t>Submitted</t>
        </is>
      </c>
      <c r="H195" s="73" t="inlineStr"/>
      <c r="I195" s="73" t="inlineStr"/>
      <c r="J195" s="73" t="inlineStr">
        <is>
          <t>2025-12-02</t>
        </is>
      </c>
      <c r="K195" s="73" t="inlineStr">
        <is>
          <t>2025-12-01</t>
        </is>
      </c>
      <c r="L195" s="73" t="n"/>
      <c r="M195" s="73" t="inlineStr">
        <is>
          <t>Support &amp; Maintenance</t>
        </is>
      </c>
      <c r="N195" s="73" t="inlineStr"/>
      <c r="O195" s="73" t="inlineStr">
        <is>
          <t>Abhishek Zalani</t>
        </is>
      </c>
      <c r="P195" s="73" t="inlineStr"/>
      <c r="Q195" s="73" t="inlineStr"/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2025-11-24</t>
        </is>
      </c>
      <c r="Z195" s="73" t="inlineStr">
        <is>
          <t>https://app-na2.hubspot.com/contacts/243046792/record/0-3/224457121527</t>
        </is>
      </c>
      <c r="AA195" s="73" t="inlineStr"/>
    </row>
    <row r="196">
      <c r="A196" s="73" t="n">
        <v>195</v>
      </c>
      <c r="B196" s="73" t="inlineStr">
        <is>
          <t>201731879633</t>
        </is>
      </c>
      <c r="C196" s="73" t="inlineStr">
        <is>
          <t xml:space="preserve">RFP 1001-26 </t>
        </is>
      </c>
      <c r="D196" s="73" t="inlineStr">
        <is>
          <t xml:space="preserve">Artificial Intelligence </t>
        </is>
      </c>
      <c r="E196" s="73" t="inlineStr">
        <is>
          <t xml:space="preserve">COMMUNITY HEALTHCORE </t>
        </is>
      </c>
      <c r="F196" s="73" t="inlineStr">
        <is>
          <t>Texas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2025-12-02</t>
        </is>
      </c>
      <c r="K196" s="73" t="inlineStr">
        <is>
          <t>2025-12-02</t>
        </is>
      </c>
      <c r="L196" s="75" t="n">
        <v>102900</v>
      </c>
      <c r="M196" s="73" t="inlineStr">
        <is>
          <t>Modernization / Migration</t>
        </is>
      </c>
      <c r="N196" s="73" t="inlineStr">
        <is>
          <t>Email</t>
        </is>
      </c>
      <c r="O196" s="73" t="inlineStr">
        <is>
          <t>Ashutosh Chauhan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2025-10-28</t>
        </is>
      </c>
      <c r="Z196" s="73" t="inlineStr">
        <is>
          <t>https://app-na2.hubspot.com/contacts/243046792/record/0-3/201731879633</t>
        </is>
      </c>
      <c r="AA196" s="73" t="inlineStr"/>
    </row>
    <row r="197">
      <c r="A197" s="73" t="n">
        <v>196</v>
      </c>
      <c r="B197" s="73" t="inlineStr">
        <is>
          <t>195160456927</t>
        </is>
      </c>
      <c r="C197" s="73" t="inlineStr"/>
      <c r="D197" s="73" t="inlineStr">
        <is>
          <t>Airport IT Staff Augmentation Services (Rebid)</t>
        </is>
      </c>
      <c r="E197" s="73" t="inlineStr">
        <is>
          <t>City of Colorado Springs</t>
        </is>
      </c>
      <c r="F197" s="73" t="inlineStr">
        <is>
          <t>Colorado</t>
        </is>
      </c>
      <c r="G197" s="73" t="inlineStr">
        <is>
          <t>Submitted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2025-12-03</t>
        </is>
      </c>
      <c r="L197" s="73" t="n"/>
      <c r="M197" s="73" t="inlineStr">
        <is>
          <t>Staff Augmentation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2025-10-23</t>
        </is>
      </c>
      <c r="Z197" s="73" t="inlineStr">
        <is>
          <t>https://app-na2.hubspot.com/contacts/243046792/record/0-3/195160456927</t>
        </is>
      </c>
      <c r="AA197" s="73" t="inlineStr"/>
    </row>
    <row r="198">
      <c r="A198" s="73" t="n">
        <v>197</v>
      </c>
      <c r="B198" s="73" t="inlineStr">
        <is>
          <t>253070244584</t>
        </is>
      </c>
      <c r="C198" s="73" t="inlineStr"/>
      <c r="D198" s="73" t="inlineStr">
        <is>
          <t>Website Theme Upgrade and Compatibility Improvements</t>
        </is>
      </c>
      <c r="E198" s="73" t="inlineStr">
        <is>
          <t>Collier County</t>
        </is>
      </c>
      <c r="F198" s="73" t="inlineStr">
        <is>
          <t>Florida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2025-12-03</t>
        </is>
      </c>
      <c r="K198" s="73" t="inlineStr">
        <is>
          <t>2025-12-03</t>
        </is>
      </c>
      <c r="L198" s="73" t="n"/>
      <c r="M198" s="73" t="inlineStr">
        <is>
          <t>Consulting</t>
        </is>
      </c>
      <c r="N198" s="73" t="inlineStr"/>
      <c r="O198" s="73" t="inlineStr">
        <is>
          <t>Vinay Srinivasan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2026-01-06</t>
        </is>
      </c>
      <c r="Z198" s="73" t="inlineStr">
        <is>
          <t>https://app-na2.hubspot.com/contacts/243046792/record/0-3/253070244584</t>
        </is>
      </c>
      <c r="AA198" s="73" t="inlineStr"/>
    </row>
    <row r="199">
      <c r="A199" s="73" t="n">
        <v>198</v>
      </c>
      <c r="B199" s="73" t="inlineStr">
        <is>
          <t>200525516480</t>
        </is>
      </c>
      <c r="C199" s="73" t="inlineStr"/>
      <c r="D199" s="73" t="inlineStr">
        <is>
          <t>INFORMATION AND CYBERSECURITY SERVICES</t>
        </is>
      </c>
      <c r="E199" s="73" t="inlineStr">
        <is>
          <t xml:space="preserve">Washington State Department of Enterprise Services </t>
        </is>
      </c>
      <c r="F199" s="73" t="inlineStr">
        <is>
          <t>Washington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2025-12-03</t>
        </is>
      </c>
      <c r="K199" s="73" t="inlineStr">
        <is>
          <t>2025-12-03</t>
        </is>
      </c>
      <c r="L199" s="73" t="n"/>
      <c r="M199" s="73" t="inlineStr">
        <is>
          <t>Managed Services (MSP);Staff Augmentation;Support &amp; Maintenance;Consulting</t>
        </is>
      </c>
      <c r="N199" s="73" t="inlineStr"/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2025-10-28</t>
        </is>
      </c>
      <c r="Z199" s="73" t="inlineStr">
        <is>
          <t>https://app-na2.hubspot.com/contacts/243046792/record/0-3/200525516480</t>
        </is>
      </c>
      <c r="AA199" s="73" t="inlineStr"/>
    </row>
    <row r="200">
      <c r="A200" s="73" t="n">
        <v>199</v>
      </c>
      <c r="B200" s="73" t="inlineStr">
        <is>
          <t>215719776967</t>
        </is>
      </c>
      <c r="C200" s="73" t="inlineStr"/>
      <c r="D200" s="73" t="inlineStr">
        <is>
          <t>Medical Licensure / Records Database Maintenance System</t>
        </is>
      </c>
      <c r="E200" s="73" t="inlineStr">
        <is>
          <t>West Virginia Board of Medicine</t>
        </is>
      </c>
      <c r="F200" s="73" t="inlineStr">
        <is>
          <t>West Virginia</t>
        </is>
      </c>
      <c r="G200" s="73" t="inlineStr">
        <is>
          <t>Interview</t>
        </is>
      </c>
      <c r="H200" s="73" t="inlineStr">
        <is>
          <t>Yes</t>
        </is>
      </c>
      <c r="I200" s="73" t="inlineStr">
        <is>
          <t>Interview</t>
        </is>
      </c>
      <c r="J200" s="73" t="inlineStr">
        <is>
          <t>2025-12-03</t>
        </is>
      </c>
      <c r="K200" s="73" t="inlineStr">
        <is>
          <t>2025-11-24</t>
        </is>
      </c>
      <c r="L200" s="75" t="n">
        <v>666000</v>
      </c>
      <c r="M200" s="73" t="inlineStr">
        <is>
          <t>Modernization / Migration</t>
        </is>
      </c>
      <c r="N200" s="73" t="inlineStr">
        <is>
          <t>Offline;Portal</t>
        </is>
      </c>
      <c r="O200" s="73" t="inlineStr">
        <is>
          <t>Jyothsna Nanda kishore</t>
        </is>
      </c>
      <c r="P200" s="73" t="inlineStr"/>
      <c r="Q200" s="73" t="inlineStr">
        <is>
          <t>2026-02-12</t>
        </is>
      </c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2025-11-11</t>
        </is>
      </c>
      <c r="Z200" s="73" t="inlineStr">
        <is>
          <t>https://app-na2.hubspot.com/contacts/243046792/record/0-3/215719776967</t>
        </is>
      </c>
      <c r="AA200" s="73" t="inlineStr"/>
    </row>
    <row r="201">
      <c r="A201" s="73" t="n">
        <v>200</v>
      </c>
      <c r="B201" s="73" t="inlineStr">
        <is>
          <t>173494982350</t>
        </is>
      </c>
      <c r="C201" s="73" t="inlineStr"/>
      <c r="D201" s="73" t="inlineStr">
        <is>
          <t>25-09 - Plan and Execute a Tabletop Exercise of the Incident Response Plan (IRP) and Emergency Operations Plan (EOP)</t>
        </is>
      </c>
      <c r="E201" s="73" t="inlineStr">
        <is>
          <t>BRISTOL BAY BOROUGH</t>
        </is>
      </c>
      <c r="F201" s="73" t="inlineStr">
        <is>
          <t>Alaska</t>
        </is>
      </c>
      <c r="G201" s="73" t="inlineStr">
        <is>
          <t>Closed Lost</t>
        </is>
      </c>
      <c r="H201" s="73" t="inlineStr"/>
      <c r="I201" s="73" t="inlineStr"/>
      <c r="J201" s="73" t="inlineStr">
        <is>
          <t>2025-12-03</t>
        </is>
      </c>
      <c r="K201" s="73" t="inlineStr">
        <is>
          <t>2025-10-31</t>
        </is>
      </c>
      <c r="L201" s="75" t="n">
        <v>18150</v>
      </c>
      <c r="M201" s="73" t="inlineStr">
        <is>
          <t>Training</t>
        </is>
      </c>
      <c r="N201" s="73" t="inlineStr"/>
      <c r="O201" s="73" t="inlineStr">
        <is>
          <t>Ashutosh Chauhan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2025-10-01</t>
        </is>
      </c>
      <c r="Z201" s="73" t="inlineStr">
        <is>
          <t>https://app-na2.hubspot.com/contacts/243046792/record/0-3/173494982350</t>
        </is>
      </c>
      <c r="AA201" s="73" t="inlineStr"/>
    </row>
    <row r="202">
      <c r="A202" s="73" t="n">
        <v>201</v>
      </c>
      <c r="B202" s="73" t="inlineStr">
        <is>
          <t>203233554153</t>
        </is>
      </c>
      <c r="C202" s="73" t="inlineStr"/>
      <c r="D202" s="73" t="inlineStr">
        <is>
          <t>IT Legacy Systems Replacement</t>
        </is>
      </c>
      <c r="E202" s="73" t="inlineStr">
        <is>
          <t xml:space="preserve">California State Auditor s Office </t>
        </is>
      </c>
      <c r="F202" s="73" t="inlineStr">
        <is>
          <t>California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2025-12-04</t>
        </is>
      </c>
      <c r="K202" s="73" t="inlineStr">
        <is>
          <t>2025-11-27</t>
        </is>
      </c>
      <c r="L202" s="73" t="n"/>
      <c r="M202" s="73" t="inlineStr">
        <is>
          <t>Modernization / Migration</t>
        </is>
      </c>
      <c r="N202" s="73" t="inlineStr"/>
      <c r="O202" s="73" t="inlineStr">
        <is>
          <t>Jyothsna Nanda kishore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2025-10-30</t>
        </is>
      </c>
      <c r="Z202" s="73" t="inlineStr">
        <is>
          <t>https://app-na2.hubspot.com/contacts/243046792/record/0-3/203233554153</t>
        </is>
      </c>
      <c r="AA202" s="73" t="inlineStr"/>
    </row>
    <row r="203">
      <c r="A203" s="73" t="n">
        <v>202</v>
      </c>
      <c r="B203" s="73" t="inlineStr">
        <is>
          <t>217562393327</t>
        </is>
      </c>
      <c r="C203" s="73" t="inlineStr"/>
      <c r="D203" s="73" t="inlineStr">
        <is>
          <t>IT Staff Augmentation Services</t>
        </is>
      </c>
      <c r="E203" s="73" t="inlineStr">
        <is>
          <t>University of Maryland Global Campus (UMGC)</t>
        </is>
      </c>
      <c r="F203" s="73" t="inlineStr"/>
      <c r="G203" s="73" t="inlineStr">
        <is>
          <t>Submitted</t>
        </is>
      </c>
      <c r="H203" s="73" t="inlineStr"/>
      <c r="I203" s="73" t="inlineStr"/>
      <c r="J203" s="73" t="inlineStr">
        <is>
          <t>2025-12-04</t>
        </is>
      </c>
      <c r="K203" s="73" t="inlineStr">
        <is>
          <t>2025-12-04</t>
        </is>
      </c>
      <c r="L203" s="73" t="n"/>
      <c r="M203" s="73" t="inlineStr">
        <is>
          <t>Staff Augmentation</t>
        </is>
      </c>
      <c r="N203" s="73" t="inlineStr">
        <is>
          <t>Portal</t>
        </is>
      </c>
      <c r="O203" s="73" t="inlineStr">
        <is>
          <t>Jyothsna Nanda kishore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2025-11-13</t>
        </is>
      </c>
      <c r="Z203" s="73" t="inlineStr">
        <is>
          <t>https://app-na2.hubspot.com/contacts/243046792/record/0-3/217562393327</t>
        </is>
      </c>
      <c r="AA203" s="73" t="inlineStr"/>
    </row>
    <row r="204">
      <c r="A204" s="73" t="n">
        <v>203</v>
      </c>
      <c r="B204" s="73" t="inlineStr">
        <is>
          <t>202821960428</t>
        </is>
      </c>
      <c r="C204" s="73" t="inlineStr"/>
      <c r="D204" s="73" t="inlineStr">
        <is>
          <t>IT Services</t>
        </is>
      </c>
      <c r="E204" s="73" t="inlineStr">
        <is>
          <t>Port of Pend Oreille</t>
        </is>
      </c>
      <c r="F204" s="73" t="inlineStr">
        <is>
          <t>Washington</t>
        </is>
      </c>
      <c r="G204" s="73" t="inlineStr">
        <is>
          <t>Closed Lost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2025-11-13</t>
        </is>
      </c>
      <c r="L204" s="73" t="n"/>
      <c r="M204" s="73" t="inlineStr">
        <is>
          <t>Managed Services (MSP)</t>
        </is>
      </c>
      <c r="N204" s="73" t="inlineStr">
        <is>
          <t>Offline</t>
        </is>
      </c>
      <c r="O204" s="73" t="inlineStr">
        <is>
          <t>Ashutosh Chauhan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2025-10-29</t>
        </is>
      </c>
      <c r="Z204" s="73" t="inlineStr">
        <is>
          <t>https://app-na2.hubspot.com/contacts/243046792/record/0-3/202821960428</t>
        </is>
      </c>
      <c r="AA204" s="73" t="inlineStr"/>
    </row>
    <row r="205">
      <c r="A205" s="73" t="n">
        <v>204</v>
      </c>
      <c r="B205" s="73" t="inlineStr">
        <is>
          <t>211158518511</t>
        </is>
      </c>
      <c r="C205" s="73" t="inlineStr"/>
      <c r="D205" s="73" t="inlineStr">
        <is>
          <t>OFF-Computer Systems, Software Applications &amp; General Maintenance/IT Services</t>
        </is>
      </c>
      <c r="E205" s="73" t="inlineStr">
        <is>
          <t>Township of West Caldwell</t>
        </is>
      </c>
      <c r="F205" s="73" t="inlineStr">
        <is>
          <t>New Jersey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2025-12-04</t>
        </is>
      </c>
      <c r="L205" s="75" t="n">
        <v>29940</v>
      </c>
      <c r="M205" s="73" t="inlineStr">
        <is>
          <t>Managed Services (MSP)</t>
        </is>
      </c>
      <c r="N205" s="73" t="inlineStr">
        <is>
          <t>Offline</t>
        </is>
      </c>
      <c r="O205" s="73" t="inlineStr">
        <is>
          <t>Ashutosh Chauhan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2025-11-05</t>
        </is>
      </c>
      <c r="Z205" s="73" t="inlineStr">
        <is>
          <t>https://app-na2.hubspot.com/contacts/243046792/record/0-3/211158518511</t>
        </is>
      </c>
      <c r="AA205" s="73" t="inlineStr"/>
    </row>
    <row r="206">
      <c r="A206" s="73" t="n">
        <v>205</v>
      </c>
      <c r="B206" s="73" t="inlineStr">
        <is>
          <t>231112581865</t>
        </is>
      </c>
      <c r="C206" s="73" t="inlineStr"/>
      <c r="D206" s="73" t="inlineStr">
        <is>
          <t xml:space="preserve">Integrated Data Management System </t>
        </is>
      </c>
      <c r="E206" s="73" t="inlineStr">
        <is>
          <t xml:space="preserve">County of York </t>
        </is>
      </c>
      <c r="F206" s="73" t="inlineStr">
        <is>
          <t>Pennsylvania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Consulting</t>
        </is>
      </c>
      <c r="N206" s="73" t="inlineStr">
        <is>
          <t>Portal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2025-12-01</t>
        </is>
      </c>
      <c r="Z206" s="73" t="inlineStr">
        <is>
          <t>https://app-na2.hubspot.com/contacts/243046792/record/0-3/231112581865</t>
        </is>
      </c>
      <c r="AA206" s="73" t="inlineStr"/>
    </row>
    <row r="207">
      <c r="A207" s="73" t="n">
        <v>206</v>
      </c>
      <c r="B207" s="73" t="inlineStr">
        <is>
          <t>202092460757</t>
        </is>
      </c>
      <c r="C207" s="73" t="inlineStr"/>
      <c r="D207" s="73" t="inlineStr">
        <is>
          <t>Technical Staff Augmentation Consulting Services</t>
        </is>
      </c>
      <c r="E207" s="73" t="inlineStr">
        <is>
          <t>New Mexico State University [NM]</t>
        </is>
      </c>
      <c r="F207" s="73" t="inlineStr"/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2025-11-26</t>
        </is>
      </c>
      <c r="L207" s="73" t="n"/>
      <c r="M207" s="73" t="inlineStr">
        <is>
          <t>Staff Augmentation</t>
        </is>
      </c>
      <c r="N207" s="73" t="inlineStr">
        <is>
          <t>Portal</t>
        </is>
      </c>
      <c r="O207" s="73" t="inlineStr">
        <is>
          <t>Abhishek Zalani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2025-10-28</t>
        </is>
      </c>
      <c r="Z207" s="73" t="inlineStr">
        <is>
          <t>https://app-na2.hubspot.com/contacts/243046792/record/0-3/202092460757</t>
        </is>
      </c>
      <c r="AA207" s="73" t="inlineStr"/>
    </row>
    <row r="208">
      <c r="A208" s="73" t="n">
        <v>207</v>
      </c>
      <c r="B208" s="73" t="inlineStr">
        <is>
          <t>227566173914</t>
        </is>
      </c>
      <c r="C208" s="73" t="inlineStr"/>
      <c r="D208" s="73" t="inlineStr">
        <is>
          <t>Digital Platform Maintenance and Enhancement for H2Ohio Administration</t>
        </is>
      </c>
      <c r="E208" s="73" t="inlineStr">
        <is>
          <t xml:space="preserve">Ohio Department of Agriculture </t>
        </is>
      </c>
      <c r="F208" s="73" t="inlineStr">
        <is>
          <t>Ohio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2025-12-05</t>
        </is>
      </c>
      <c r="K208" s="73" t="inlineStr">
        <is>
          <t>2025-12-05</t>
        </is>
      </c>
      <c r="L208" s="73" t="n"/>
      <c r="M208" s="73" t="inlineStr">
        <is>
          <t>Support &amp; Maintenance</t>
        </is>
      </c>
      <c r="N208" s="73" t="inlineStr"/>
      <c r="O208" s="73" t="inlineStr">
        <is>
          <t>Abhishek Zalani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2025-11-25</t>
        </is>
      </c>
      <c r="Z208" s="73" t="inlineStr">
        <is>
          <t>https://app-na2.hubspot.com/contacts/243046792/record/0-3/227566173914</t>
        </is>
      </c>
      <c r="AA208" s="73" t="inlineStr"/>
    </row>
    <row r="209">
      <c r="A209" s="73" t="n">
        <v>208</v>
      </c>
      <c r="B209" s="73" t="inlineStr">
        <is>
          <t>220701567684</t>
        </is>
      </c>
      <c r="C209" s="73" t="inlineStr"/>
      <c r="D209" s="73" t="inlineStr">
        <is>
          <t xml:space="preserve">Microsoft Licensing 2025 </t>
        </is>
      </c>
      <c r="E209" s="73" t="inlineStr">
        <is>
          <t>Wentzville School District</t>
        </is>
      </c>
      <c r="F209" s="73" t="inlineStr">
        <is>
          <t>Missouri</t>
        </is>
      </c>
      <c r="G209" s="73" t="inlineStr">
        <is>
          <t>Submitted</t>
        </is>
      </c>
      <c r="H209" s="73" t="inlineStr"/>
      <c r="I209" s="73" t="inlineStr"/>
      <c r="J209" s="73" t="inlineStr">
        <is>
          <t>2025-12-05</t>
        </is>
      </c>
      <c r="K209" s="73" t="inlineStr">
        <is>
          <t>2025-12-05</t>
        </is>
      </c>
      <c r="L209" s="75" t="n">
        <v>224355</v>
      </c>
      <c r="M209" s="73" t="inlineStr">
        <is>
          <t>Reseller</t>
        </is>
      </c>
      <c r="N209" s="73" t="inlineStr"/>
      <c r="O209" s="73" t="inlineStr">
        <is>
          <t>Jyothsna Nanda kishore</t>
        </is>
      </c>
      <c r="P209" s="73" t="inlineStr"/>
      <c r="Q209" s="73" t="inlineStr"/>
      <c r="R209" s="73" t="inlineStr"/>
      <c r="S209" s="73" t="inlineStr"/>
      <c r="T209" s="73" t="inlineStr"/>
      <c r="U209" s="73" t="inlineStr"/>
      <c r="V209" s="73" t="inlineStr"/>
      <c r="W209" s="73" t="inlineStr"/>
      <c r="X209" s="73" t="inlineStr"/>
      <c r="Y209" s="73" t="inlineStr">
        <is>
          <t>2025-11-17</t>
        </is>
      </c>
      <c r="Z209" s="73" t="inlineStr">
        <is>
          <t>https://app-na2.hubspot.com/contacts/243046792/record/0-3/220701567684</t>
        </is>
      </c>
      <c r="AA209" s="73" t="inlineStr"/>
    </row>
    <row r="210">
      <c r="A210" s="73" t="n">
        <v>209</v>
      </c>
      <c r="B210" s="73" t="inlineStr">
        <is>
          <t>225968263907</t>
        </is>
      </c>
      <c r="C210" s="73" t="inlineStr"/>
      <c r="D210" s="73" t="inlineStr">
        <is>
          <t xml:space="preserve"> Information Technology Microsoft 365 Licensing for 2026</t>
        </is>
      </c>
      <c r="E210" s="73" t="inlineStr">
        <is>
          <t xml:space="preserve">Barton County </t>
        </is>
      </c>
      <c r="F210" s="73" t="inlineStr">
        <is>
          <t>Kansas</t>
        </is>
      </c>
      <c r="G210" s="73" t="inlineStr">
        <is>
          <t>Submitted</t>
        </is>
      </c>
      <c r="H210" s="73" t="inlineStr"/>
      <c r="I210" s="73" t="inlineStr"/>
      <c r="J210" s="73" t="inlineStr">
        <is>
          <t>2025-12-05</t>
        </is>
      </c>
      <c r="K210" s="73" t="inlineStr">
        <is>
          <t>2025-12-05</t>
        </is>
      </c>
      <c r="L210" s="73" t="n"/>
      <c r="M210" s="73" t="inlineStr">
        <is>
          <t>Reseller</t>
        </is>
      </c>
      <c r="N210" s="73" t="inlineStr">
        <is>
          <t>Portal</t>
        </is>
      </c>
      <c r="O210" s="73" t="inlineStr">
        <is>
          <t>Ashutosh Chauhan</t>
        </is>
      </c>
      <c r="P210" s="73" t="inlineStr"/>
      <c r="Q210" s="73" t="inlineStr"/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2025-11-24</t>
        </is>
      </c>
      <c r="Z210" s="73" t="inlineStr">
        <is>
          <t>https://app-na2.hubspot.com/contacts/243046792/record/0-3/225968263907</t>
        </is>
      </c>
      <c r="AA210" s="73" t="inlineStr"/>
    </row>
    <row r="211">
      <c r="A211" s="73" t="n">
        <v>210</v>
      </c>
      <c r="B211" s="73" t="inlineStr">
        <is>
          <t>213938568948</t>
        </is>
      </c>
      <c r="C211" s="73" t="inlineStr"/>
      <c r="D211" s="73" t="inlineStr">
        <is>
          <t>Managed Detection and Response (MDR) Services</t>
        </is>
      </c>
      <c r="E211" s="73" t="inlineStr">
        <is>
          <t>City of Pasadena</t>
        </is>
      </c>
      <c r="F211" s="73" t="inlineStr">
        <is>
          <t>California</t>
        </is>
      </c>
      <c r="G211" s="73" t="inlineStr">
        <is>
          <t>Submitted</t>
        </is>
      </c>
      <c r="H211" s="73" t="inlineStr"/>
      <c r="I211" s="73" t="inlineStr"/>
      <c r="J211" s="73" t="inlineStr">
        <is>
          <t>2025-12-05</t>
        </is>
      </c>
      <c r="K211" s="73" t="inlineStr">
        <is>
          <t>2025-12-05</t>
        </is>
      </c>
      <c r="L211" s="73" t="n"/>
      <c r="M211" s="73" t="inlineStr">
        <is>
          <t>Managed Services (MSP)</t>
        </is>
      </c>
      <c r="N211" s="73" t="inlineStr">
        <is>
          <t>Portal</t>
        </is>
      </c>
      <c r="O211" s="73" t="inlineStr">
        <is>
          <t>Ashutosh Chauhan</t>
        </is>
      </c>
      <c r="P211" s="73" t="inlineStr"/>
      <c r="Q211" s="73" t="inlineStr"/>
      <c r="R211" s="73" t="inlineStr"/>
      <c r="S211" s="73" t="inlineStr"/>
      <c r="T211" s="73" t="inlineStr"/>
      <c r="U211" s="73" t="inlineStr"/>
      <c r="V211" s="73" t="inlineStr"/>
      <c r="W211" s="73" t="inlineStr"/>
      <c r="X211" s="73" t="inlineStr"/>
      <c r="Y211" s="73" t="inlineStr">
        <is>
          <t>2025-11-10</t>
        </is>
      </c>
      <c r="Z211" s="73" t="inlineStr">
        <is>
          <t>https://app-na2.hubspot.com/contacts/243046792/record/0-3/213938568948</t>
        </is>
      </c>
      <c r="AA211" s="73" t="inlineStr"/>
    </row>
    <row r="212">
      <c r="A212" s="73" t="n">
        <v>211</v>
      </c>
      <c r="B212" s="73" t="inlineStr">
        <is>
          <t>181354391289</t>
        </is>
      </c>
      <c r="C212" s="73" t="inlineStr"/>
      <c r="D212" s="73" t="inlineStr">
        <is>
          <t>Salesforce Customer Relationship Management (CRM) Implementation Services</t>
        </is>
      </c>
      <c r="E212" s="73" t="inlineStr">
        <is>
          <t>San Mateo County Transit District</t>
        </is>
      </c>
      <c r="F212" s="73" t="inlineStr">
        <is>
          <t>California</t>
        </is>
      </c>
      <c r="G212" s="73" t="inlineStr">
        <is>
          <t>Submitted</t>
        </is>
      </c>
      <c r="H212" s="73" t="inlineStr"/>
      <c r="I212" s="73" t="inlineStr"/>
      <c r="J212" s="73" t="inlineStr">
        <is>
          <t>2025-12-05</t>
        </is>
      </c>
      <c r="K212" s="73" t="inlineStr">
        <is>
          <t>2025-12-05</t>
        </is>
      </c>
      <c r="L212" s="75" t="n">
        <v>65784</v>
      </c>
      <c r="M212" s="73" t="inlineStr">
        <is>
          <t>Platform Implementation (ERP, CRMs)</t>
        </is>
      </c>
      <c r="N212" s="73" t="inlineStr">
        <is>
          <t>Portal</t>
        </is>
      </c>
      <c r="O212" s="73" t="inlineStr">
        <is>
          <t>Ashutosh Chauhan</t>
        </is>
      </c>
      <c r="P212" s="73" t="inlineStr"/>
      <c r="Q212" s="73" t="inlineStr"/>
      <c r="R212" s="73" t="inlineStr"/>
      <c r="S212" s="73" t="inlineStr"/>
      <c r="T212" s="73" t="inlineStr"/>
      <c r="U212" s="73" t="inlineStr"/>
      <c r="V212" s="73" t="inlineStr"/>
      <c r="W212" s="73" t="inlineStr"/>
      <c r="X212" s="73" t="inlineStr"/>
      <c r="Y212" s="73" t="inlineStr">
        <is>
          <t>2025-10-08</t>
        </is>
      </c>
      <c r="Z212" s="73" t="inlineStr">
        <is>
          <t>https://app-na2.hubspot.com/contacts/243046792/record/0-3/181354391289</t>
        </is>
      </c>
      <c r="AA212" s="73" t="inlineStr"/>
    </row>
    <row r="213">
      <c r="A213" s="73" t="n">
        <v>212</v>
      </c>
      <c r="B213" s="73" t="inlineStr">
        <is>
          <t>225970422482</t>
        </is>
      </c>
      <c r="C213" s="73" t="inlineStr"/>
      <c r="D213" s="73" t="inlineStr">
        <is>
          <t xml:space="preserve"> INFORMATION TECHNOLOGY MANAGED SERVICES</t>
        </is>
      </c>
      <c r="E213" s="73" t="inlineStr">
        <is>
          <t>Village of Romeo</t>
        </is>
      </c>
      <c r="F213" s="73" t="inlineStr">
        <is>
          <t>Michigan</t>
        </is>
      </c>
      <c r="G213" s="73" t="inlineStr">
        <is>
          <t>Submitted</t>
        </is>
      </c>
      <c r="H213" s="73" t="inlineStr"/>
      <c r="I213" s="73" t="inlineStr"/>
      <c r="J213" s="73" t="inlineStr">
        <is>
          <t>2025-12-08</t>
        </is>
      </c>
      <c r="K213" s="73" t="inlineStr">
        <is>
          <t>2025-12-08</t>
        </is>
      </c>
      <c r="L213" s="73" t="n"/>
      <c r="M213" s="73" t="inlineStr">
        <is>
          <t>Managed Services (MSP)</t>
        </is>
      </c>
      <c r="N213" s="73" t="inlineStr">
        <is>
          <t>Offline</t>
        </is>
      </c>
      <c r="O213" s="73" t="inlineStr">
        <is>
          <t>Ashutosh Chauhan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2025-11-24</t>
        </is>
      </c>
      <c r="Z213" s="73" t="inlineStr">
        <is>
          <t>https://app-na2.hubspot.com/contacts/243046792/record/0-3/225970422482</t>
        </is>
      </c>
      <c r="AA213" s="73" t="inlineStr"/>
    </row>
    <row r="214">
      <c r="A214" s="73" t="n">
        <v>213</v>
      </c>
      <c r="B214" s="73" t="inlineStr">
        <is>
          <t>235860602564</t>
        </is>
      </c>
      <c r="C214" s="73" t="inlineStr">
        <is>
          <t>RFQ-AR-1398</t>
        </is>
      </c>
      <c r="D214" s="73" t="inlineStr">
        <is>
          <t xml:space="preserve">On-Call Information Technology Cybersecurity Services </t>
        </is>
      </c>
      <c r="E214" s="73" t="inlineStr">
        <is>
          <t>Metropolitan Water District of Southern California</t>
        </is>
      </c>
      <c r="F214" s="73" t="inlineStr">
        <is>
          <t>California</t>
        </is>
      </c>
      <c r="G214" s="73" t="inlineStr">
        <is>
          <t>Closed Won</t>
        </is>
      </c>
      <c r="H214" s="73" t="inlineStr"/>
      <c r="I214" s="73" t="inlineStr"/>
      <c r="J214" s="73" t="inlineStr">
        <is>
          <t>2025-12-08</t>
        </is>
      </c>
      <c r="K214" s="73" t="inlineStr">
        <is>
          <t>2025-04-24</t>
        </is>
      </c>
      <c r="L214" s="73" t="n"/>
      <c r="M214" s="73" t="inlineStr"/>
      <c r="N214" s="73" t="inlineStr"/>
      <c r="O214" s="73" t="inlineStr">
        <is>
          <t>Madhav Mitruka</t>
        </is>
      </c>
      <c r="P214" s="73" t="inlineStr"/>
      <c r="Q214" s="73" t="inlineStr"/>
      <c r="R214" s="73" t="inlineStr"/>
      <c r="S214" s="73" t="inlineStr">
        <is>
          <t>2025-12-02</t>
        </is>
      </c>
      <c r="T214" s="73" t="inlineStr"/>
      <c r="U214" s="73" t="inlineStr">
        <is>
          <t>2025-12-02</t>
        </is>
      </c>
      <c r="V214" s="73" t="inlineStr"/>
      <c r="W214" s="73" t="inlineStr"/>
      <c r="X214" s="73" t="inlineStr"/>
      <c r="Y214" s="73" t="inlineStr">
        <is>
          <t>2025-12-08</t>
        </is>
      </c>
      <c r="Z214" s="73" t="inlineStr">
        <is>
          <t>https://app-na2.hubspot.com/contacts/243046792/record/0-3/235860602564</t>
        </is>
      </c>
      <c r="AA214" s="73" t="inlineStr"/>
    </row>
    <row r="215">
      <c r="A215" s="73" t="n">
        <v>214</v>
      </c>
      <c r="B215" s="73" t="inlineStr">
        <is>
          <t>114864545523</t>
        </is>
      </c>
      <c r="C215" s="73" t="inlineStr">
        <is>
          <t>25-003QP</t>
        </is>
      </c>
      <c r="D215" s="73" t="inlineStr">
        <is>
          <t>25-003QP-Accela Business Systems Analysis</t>
        </is>
      </c>
      <c r="E215" s="73" t="inlineStr">
        <is>
          <t>City of Seattle</t>
        </is>
      </c>
      <c r="F215" s="73" t="inlineStr">
        <is>
          <t>Washington</t>
        </is>
      </c>
      <c r="G215" s="73" t="inlineStr">
        <is>
          <t>Closed Lost</t>
        </is>
      </c>
      <c r="H215" s="73" t="inlineStr">
        <is>
          <t>Yes</t>
        </is>
      </c>
      <c r="I215" s="73" t="inlineStr">
        <is>
          <t>Interview</t>
        </is>
      </c>
      <c r="J215" s="73" t="inlineStr">
        <is>
          <t>2025-12-08</t>
        </is>
      </c>
      <c r="K215" s="73" t="inlineStr">
        <is>
          <t>2025-08-07</t>
        </is>
      </c>
      <c r="L215" s="75" t="n">
        <v>477043</v>
      </c>
      <c r="M215" s="73" t="inlineStr">
        <is>
          <t>Consulting;Staff Augmentation</t>
        </is>
      </c>
      <c r="N215" s="73" t="inlineStr">
        <is>
          <t>Portal</t>
        </is>
      </c>
      <c r="O215" s="73" t="inlineStr">
        <is>
          <t>Ashutosh Chauhan</t>
        </is>
      </c>
      <c r="P215" s="73" t="inlineStr">
        <is>
          <t>Interview Scheduled</t>
        </is>
      </c>
      <c r="Q215" s="73" t="inlineStr">
        <is>
          <t>2025-11-05</t>
        </is>
      </c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2025-07-08</t>
        </is>
      </c>
      <c r="Z215" s="73" t="inlineStr">
        <is>
          <t>https://app-na2.hubspot.com/contacts/243046792/record/0-3/114864545523</t>
        </is>
      </c>
      <c r="AA215" s="73" t="inlineStr"/>
    </row>
    <row r="216">
      <c r="A216" s="73" t="n">
        <v>215</v>
      </c>
      <c r="B216" s="73" t="inlineStr">
        <is>
          <t>122926374597</t>
        </is>
      </c>
      <c r="C216" s="73" t="inlineStr"/>
      <c r="D216" s="73" t="inlineStr">
        <is>
          <t>Managed IT Services</t>
        </is>
      </c>
      <c r="E216" s="73" t="inlineStr">
        <is>
          <t>City of Sultan</t>
        </is>
      </c>
      <c r="F216" s="73" t="inlineStr">
        <is>
          <t>Washington</t>
        </is>
      </c>
      <c r="G216" s="73" t="inlineStr">
        <is>
          <t>Closed Lost</t>
        </is>
      </c>
      <c r="H216" s="73" t="inlineStr">
        <is>
          <t>Yes</t>
        </is>
      </c>
      <c r="I216" s="73" t="inlineStr">
        <is>
          <t>Interview</t>
        </is>
      </c>
      <c r="J216" s="73" t="inlineStr">
        <is>
          <t>2025-12-08</t>
        </is>
      </c>
      <c r="K216" s="73" t="inlineStr">
        <is>
          <t>2025-08-20</t>
        </is>
      </c>
      <c r="L216" s="73" t="n"/>
      <c r="M216" s="73" t="inlineStr">
        <is>
          <t>Managed Services (MSP)</t>
        </is>
      </c>
      <c r="N216" s="73" t="inlineStr"/>
      <c r="O216" s="73" t="inlineStr">
        <is>
          <t>Madhav Mitruka</t>
        </is>
      </c>
      <c r="P216" s="73" t="inlineStr">
        <is>
          <t>Interview Scheduled</t>
        </is>
      </c>
      <c r="Q216" s="73" t="inlineStr">
        <is>
          <t>2025-09-17</t>
        </is>
      </c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2025-07-18</t>
        </is>
      </c>
      <c r="Z216" s="73" t="inlineStr">
        <is>
          <t>https://app-na2.hubspot.com/contacts/243046792/record/0-3/122926374597</t>
        </is>
      </c>
      <c r="AA216" s="73" t="inlineStr"/>
    </row>
    <row r="217">
      <c r="A217" s="73" t="n">
        <v>216</v>
      </c>
      <c r="B217" s="73" t="inlineStr">
        <is>
          <t>140123456196</t>
        </is>
      </c>
      <c r="C217" s="73" t="inlineStr">
        <is>
          <t>24-RFP-10</t>
        </is>
      </c>
      <c r="D217" s="73" t="inlineStr">
        <is>
          <t>Agreement for Professional Development Program for Management Development and IT (Years 2025–2027)</t>
        </is>
      </c>
      <c r="E217" s="73" t="inlineStr">
        <is>
          <t>Metropolitan Water Reclamation District of Greater Chicago</t>
        </is>
      </c>
      <c r="F217" s="73" t="inlineStr">
        <is>
          <t>Illinois</t>
        </is>
      </c>
      <c r="G217" s="73" t="inlineStr">
        <is>
          <t>Intent to Award</t>
        </is>
      </c>
      <c r="H217" s="73" t="inlineStr">
        <is>
          <t>Yes</t>
        </is>
      </c>
      <c r="I217" s="73" t="inlineStr">
        <is>
          <t>Interview</t>
        </is>
      </c>
      <c r="J217" s="73" t="inlineStr">
        <is>
          <t>2025-12-08</t>
        </is>
      </c>
      <c r="K217" s="73" t="inlineStr"/>
      <c r="L217" s="75" t="n">
        <v>18620</v>
      </c>
      <c r="M217" s="73" t="inlineStr">
        <is>
          <t>Training</t>
        </is>
      </c>
      <c r="N217" s="73" t="inlineStr"/>
      <c r="O217" s="73" t="inlineStr">
        <is>
          <t>Madhav Mitruka</t>
        </is>
      </c>
      <c r="P217" s="73" t="inlineStr">
        <is>
          <t>Interview Scheduled</t>
        </is>
      </c>
      <c r="Q217" s="73" t="inlineStr">
        <is>
          <t>2025-08-28</t>
        </is>
      </c>
      <c r="R217" s="73" t="inlineStr"/>
      <c r="S217" s="73" t="inlineStr">
        <is>
          <t>2026-01-08</t>
        </is>
      </c>
      <c r="T217" s="73" t="inlineStr"/>
      <c r="U217" s="73" t="inlineStr">
        <is>
          <t>2026-03-17</t>
        </is>
      </c>
      <c r="V217" s="73" t="inlineStr">
        <is>
          <t>In Process</t>
        </is>
      </c>
      <c r="W217" s="73" t="inlineStr"/>
      <c r="X217" s="73" t="inlineStr"/>
      <c r="Y217" s="73" t="inlineStr">
        <is>
          <t>2025-08-11</t>
        </is>
      </c>
      <c r="Z217" s="73" t="inlineStr">
        <is>
          <t>https://app-na2.hubspot.com/contacts/243046792/record/0-3/140123456196</t>
        </is>
      </c>
      <c r="AA217" s="73" t="inlineStr">
        <is>
          <t>Yes</t>
        </is>
      </c>
    </row>
    <row r="218">
      <c r="A218" s="73" t="n">
        <v>217</v>
      </c>
      <c r="B218" s="73" t="inlineStr">
        <is>
          <t>229810011872</t>
        </is>
      </c>
      <c r="C218" s="73" t="inlineStr"/>
      <c r="D218" s="73" t="inlineStr">
        <is>
          <t>myAlaska Mobile Application Enhancement</t>
        </is>
      </c>
      <c r="E218" s="73" t="inlineStr">
        <is>
          <t>Alaska Department of Administration</t>
        </is>
      </c>
      <c r="F218" s="73" t="inlineStr">
        <is>
          <t>Alaska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2025-12-08</t>
        </is>
      </c>
      <c r="K218" s="73" t="inlineStr">
        <is>
          <t>2025-12-08</t>
        </is>
      </c>
      <c r="L218" s="73" t="n"/>
      <c r="M218" s="73" t="inlineStr">
        <is>
          <t>Modernization / Migration</t>
        </is>
      </c>
      <c r="N218" s="73" t="inlineStr"/>
      <c r="O218" s="73" t="inlineStr">
        <is>
          <t>Ashutosh Chauhan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2025-11-30</t>
        </is>
      </c>
      <c r="Z218" s="73" t="inlineStr">
        <is>
          <t>https://app-na2.hubspot.com/contacts/243046792/record/0-3/229810011872</t>
        </is>
      </c>
      <c r="AA218" s="73" t="inlineStr"/>
    </row>
    <row r="219">
      <c r="A219" s="73" t="n">
        <v>218</v>
      </c>
      <c r="B219" s="73" t="inlineStr">
        <is>
          <t>182745089732</t>
        </is>
      </c>
      <c r="C219" s="73" t="inlineStr">
        <is>
          <t>RFP 26-02</t>
        </is>
      </c>
      <c r="D219" s="73" t="inlineStr">
        <is>
          <t>Information Technology Outsourcing and Staffing Services</t>
        </is>
      </c>
      <c r="E219" s="73" t="inlineStr">
        <is>
          <t>Texas Southmost College</t>
        </is>
      </c>
      <c r="F219" s="73" t="inlineStr">
        <is>
          <t>Texas</t>
        </is>
      </c>
      <c r="G219" s="73" t="inlineStr">
        <is>
          <t>Closed Lost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2025-10-22</t>
        </is>
      </c>
      <c r="L219" s="73" t="n"/>
      <c r="M219" s="73" t="inlineStr">
        <is>
          <t>Staff Augmentation</t>
        </is>
      </c>
      <c r="N219" s="73" t="inlineStr"/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2025-10-10</t>
        </is>
      </c>
      <c r="Z219" s="73" t="inlineStr">
        <is>
          <t>https://app-na2.hubspot.com/contacts/243046792/record/0-3/182745089732</t>
        </is>
      </c>
      <c r="AA219" s="73" t="inlineStr"/>
    </row>
    <row r="220">
      <c r="A220" s="73" t="n">
        <v>219</v>
      </c>
      <c r="B220" s="73" t="inlineStr">
        <is>
          <t>218273109715</t>
        </is>
      </c>
      <c r="C220" s="73" t="inlineStr"/>
      <c r="D220" s="73" t="inlineStr">
        <is>
          <t>RIDER INFORMATION &amp; TRIP PLANNING PLATFORM SOLUTION</t>
        </is>
      </c>
      <c r="E220" s="73" t="inlineStr">
        <is>
          <t>Ben Franklin Transit</t>
        </is>
      </c>
      <c r="F220" s="73" t="inlineStr">
        <is>
          <t>Washington</t>
        </is>
      </c>
      <c r="G220" s="73" t="inlineStr">
        <is>
          <t>Interview</t>
        </is>
      </c>
      <c r="H220" s="73" t="inlineStr">
        <is>
          <t>Yes</t>
        </is>
      </c>
      <c r="I220" s="73" t="inlineStr">
        <is>
          <t>Interview</t>
        </is>
      </c>
      <c r="J220" s="73" t="inlineStr">
        <is>
          <t>2025-12-09</t>
        </is>
      </c>
      <c r="K220" s="73" t="inlineStr">
        <is>
          <t>2025-12-09</t>
        </is>
      </c>
      <c r="L220" s="73" t="n"/>
      <c r="M220" s="73" t="inlineStr">
        <is>
          <t>Consulting</t>
        </is>
      </c>
      <c r="N220" s="73" t="inlineStr">
        <is>
          <t>Portal</t>
        </is>
      </c>
      <c r="O220" s="73" t="inlineStr">
        <is>
          <t>Ashutosh Chauhan</t>
        </is>
      </c>
      <c r="P220" s="73" t="inlineStr"/>
      <c r="Q220" s="73" t="inlineStr">
        <is>
          <t>2026-02-09</t>
        </is>
      </c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2025-11-13</t>
        </is>
      </c>
      <c r="Z220" s="73" t="inlineStr">
        <is>
          <t>https://app-na2.hubspot.com/contacts/243046792/record/0-3/218273109715</t>
        </is>
      </c>
      <c r="AA220" s="73" t="inlineStr"/>
    </row>
    <row r="221">
      <c r="A221" s="73" t="n">
        <v>220</v>
      </c>
      <c r="B221" s="73" t="inlineStr">
        <is>
          <t>231962415825</t>
        </is>
      </c>
      <c r="C221" s="73" t="inlineStr"/>
      <c r="D221" s="73" t="inlineStr">
        <is>
          <t>INFORMATION TECHNOLOGY PROFESSIONAL CONSULTANT</t>
        </is>
      </c>
      <c r="E221" s="73" t="inlineStr">
        <is>
          <t>Borough of Elmwood Park</t>
        </is>
      </c>
      <c r="F221" s="73" t="inlineStr">
        <is>
          <t>New Jersey</t>
        </is>
      </c>
      <c r="G221" s="73" t="inlineStr">
        <is>
          <t>Submitted</t>
        </is>
      </c>
      <c r="H221" s="73" t="inlineStr"/>
      <c r="I221" s="73" t="inlineStr"/>
      <c r="J221" s="73" t="inlineStr">
        <is>
          <t>2025-12-09</t>
        </is>
      </c>
      <c r="K221" s="73" t="inlineStr">
        <is>
          <t>2025-12-08</t>
        </is>
      </c>
      <c r="L221" s="75" t="n">
        <v>29560</v>
      </c>
      <c r="M221" s="73" t="inlineStr">
        <is>
          <t>Consulting</t>
        </is>
      </c>
      <c r="N221" s="73" t="inlineStr">
        <is>
          <t>Offline</t>
        </is>
      </c>
      <c r="O221" s="73" t="inlineStr">
        <is>
          <t>Ashutosh Chauhan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2025-12-02</t>
        </is>
      </c>
      <c r="Z221" s="73" t="inlineStr">
        <is>
          <t>https://app-na2.hubspot.com/contacts/243046792/record/0-3/231962415825</t>
        </is>
      </c>
      <c r="AA221" s="73" t="inlineStr"/>
    </row>
    <row r="222">
      <c r="A222" s="73" t="n">
        <v>221</v>
      </c>
      <c r="B222" s="73" t="inlineStr">
        <is>
          <t>215696708315</t>
        </is>
      </c>
      <c r="C222" s="73" t="inlineStr"/>
      <c r="D222" s="73" t="inlineStr">
        <is>
          <t>Campus Housing &amp; Dining Web-Based Computerized Maintenance Management System</t>
        </is>
      </c>
      <c r="E222" s="73" t="inlineStr">
        <is>
          <t>University of Wyoming</t>
        </is>
      </c>
      <c r="F222" s="73" t="inlineStr">
        <is>
          <t>Wyoming</t>
        </is>
      </c>
      <c r="G222" s="73" t="inlineStr">
        <is>
          <t>Submitted</t>
        </is>
      </c>
      <c r="H222" s="73" t="inlineStr"/>
      <c r="I222" s="73" t="inlineStr"/>
      <c r="J222" s="73" t="inlineStr">
        <is>
          <t>2025-12-09</t>
        </is>
      </c>
      <c r="K222" s="73" t="inlineStr">
        <is>
          <t>2025-12-10</t>
        </is>
      </c>
      <c r="L222" s="75" t="n">
        <v>115500</v>
      </c>
      <c r="M222" s="73" t="inlineStr">
        <is>
          <t>Platform Implementation (ERP, CRMs)</t>
        </is>
      </c>
      <c r="N222" s="73" t="inlineStr">
        <is>
          <t>Portal</t>
        </is>
      </c>
      <c r="O222" s="73" t="inlineStr">
        <is>
          <t>Abhishek Zalani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2025-11-10</t>
        </is>
      </c>
      <c r="Z222" s="73" t="inlineStr">
        <is>
          <t>https://app-na2.hubspot.com/contacts/243046792/record/0-3/215696708315</t>
        </is>
      </c>
      <c r="AA222" s="73" t="inlineStr"/>
    </row>
    <row r="223">
      <c r="A223" s="73" t="n">
        <v>222</v>
      </c>
      <c r="B223" s="73" t="inlineStr">
        <is>
          <t>222376720086</t>
        </is>
      </c>
      <c r="C223" s="73" t="inlineStr"/>
      <c r="D223" s="73" t="inlineStr">
        <is>
          <t>Human Resources Information Systems Solution and Implementation Services</t>
        </is>
      </c>
      <c r="E223" s="73" t="inlineStr">
        <is>
          <t>Village of Schaumburg</t>
        </is>
      </c>
      <c r="F223" s="73" t="inlineStr">
        <is>
          <t>Illinois</t>
        </is>
      </c>
      <c r="G223" s="73" t="inlineStr">
        <is>
          <t>Submitted</t>
        </is>
      </c>
      <c r="H223" s="73" t="inlineStr"/>
      <c r="I223" s="73" t="inlineStr"/>
      <c r="J223" s="73" t="inlineStr">
        <is>
          <t>2025-12-09</t>
        </is>
      </c>
      <c r="K223" s="73" t="inlineStr">
        <is>
          <t>2025-12-09</t>
        </is>
      </c>
      <c r="L223" s="73" t="n"/>
      <c r="M223" s="73" t="inlineStr">
        <is>
          <t>Platform Implementation (ERP, CRMs)</t>
        </is>
      </c>
      <c r="N223" s="73" t="inlineStr"/>
      <c r="O223" s="73" t="inlineStr">
        <is>
          <t>Jyothsna Nanda kishore</t>
        </is>
      </c>
      <c r="P223" s="73" t="inlineStr"/>
      <c r="Q223" s="73" t="inlineStr"/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2025-11-18</t>
        </is>
      </c>
      <c r="Z223" s="73" t="inlineStr">
        <is>
          <t>https://app-na2.hubspot.com/contacts/243046792/record/0-3/222376720086</t>
        </is>
      </c>
      <c r="AA223" s="73" t="inlineStr"/>
    </row>
    <row r="224">
      <c r="A224" s="73" t="n">
        <v>223</v>
      </c>
      <c r="B224" s="73" t="inlineStr">
        <is>
          <t>222885192383</t>
        </is>
      </c>
      <c r="C224" s="73" t="inlineStr"/>
      <c r="D224" s="73" t="inlineStr">
        <is>
          <t>INFORMATION TECHNOLOGYPROFESSIONAL CONSULTANT</t>
        </is>
      </c>
      <c r="E224" s="73" t="inlineStr">
        <is>
          <t>City of Garfield</t>
        </is>
      </c>
      <c r="F224" s="73" t="inlineStr">
        <is>
          <t>New Jersey</t>
        </is>
      </c>
      <c r="G224" s="73" t="inlineStr">
        <is>
          <t>Submitted</t>
        </is>
      </c>
      <c r="H224" s="73" t="inlineStr"/>
      <c r="I224" s="73" t="inlineStr"/>
      <c r="J224" s="73" t="inlineStr">
        <is>
          <t>2025-12-09</t>
        </is>
      </c>
      <c r="K224" s="73" t="inlineStr">
        <is>
          <t>2025-12-08</t>
        </is>
      </c>
      <c r="L224" s="75" t="n">
        <v>49800</v>
      </c>
      <c r="M224" s="73" t="inlineStr">
        <is>
          <t>Managed Services (MSP)</t>
        </is>
      </c>
      <c r="N224" s="73" t="inlineStr">
        <is>
          <t>Offline</t>
        </is>
      </c>
      <c r="O224" s="73" t="inlineStr">
        <is>
          <t>Jyothsna Nanda kishore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2025-11-19</t>
        </is>
      </c>
      <c r="Z224" s="73" t="inlineStr">
        <is>
          <t>https://app-na2.hubspot.com/contacts/243046792/record/0-3/222885192383</t>
        </is>
      </c>
      <c r="AA224" s="73" t="inlineStr"/>
    </row>
    <row r="225">
      <c r="A225" s="73" t="n">
        <v>224</v>
      </c>
      <c r="B225" s="73" t="inlineStr">
        <is>
          <t>197746216661</t>
        </is>
      </c>
      <c r="C225" s="73" t="inlineStr"/>
      <c r="D225" s="73" t="inlineStr">
        <is>
          <t>Fundraising CRM/Database Solution</t>
        </is>
      </c>
      <c r="E225" s="73" t="inlineStr">
        <is>
          <t>National Forest Foundation</t>
        </is>
      </c>
      <c r="F225" s="73" t="inlineStr">
        <is>
          <t>Montana</t>
        </is>
      </c>
      <c r="G225" s="73" t="inlineStr">
        <is>
          <t>Closed Lost</t>
        </is>
      </c>
      <c r="H225" s="73" t="inlineStr"/>
      <c r="I225" s="73" t="inlineStr"/>
      <c r="J225" s="73" t="inlineStr">
        <is>
          <t>2025-12-09</t>
        </is>
      </c>
      <c r="K225" s="73" t="inlineStr">
        <is>
          <t>2025-11-07</t>
        </is>
      </c>
      <c r="L225" s="75" t="n">
        <v>223250</v>
      </c>
      <c r="M225" s="73" t="inlineStr">
        <is>
          <t>Platform Implementation (ERP, CRMs)</t>
        </is>
      </c>
      <c r="N225" s="73" t="inlineStr">
        <is>
          <t>Email</t>
        </is>
      </c>
      <c r="O225" s="73" t="inlineStr">
        <is>
          <t>Jyothsna Nanda kishore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2025-10-24</t>
        </is>
      </c>
      <c r="Z225" s="73" t="inlineStr">
        <is>
          <t>https://app-na2.hubspot.com/contacts/243046792/record/0-3/197746216661</t>
        </is>
      </c>
      <c r="AA225" s="73" t="inlineStr"/>
    </row>
    <row r="226">
      <c r="A226" s="73" t="n">
        <v>225</v>
      </c>
      <c r="B226" s="73" t="inlineStr">
        <is>
          <t>162089209576</t>
        </is>
      </c>
      <c r="C226" s="73" t="inlineStr"/>
      <c r="D226" s="73" t="inlineStr">
        <is>
          <t>Managed IT Services (Rebid)</t>
        </is>
      </c>
      <c r="E226" s="73" t="inlineStr">
        <is>
          <t>San Joaquin Council of Governments (SJCOG)</t>
        </is>
      </c>
      <c r="F226" s="73" t="inlineStr">
        <is>
          <t>California</t>
        </is>
      </c>
      <c r="G226" s="73" t="inlineStr">
        <is>
          <t>Closed Lost</t>
        </is>
      </c>
      <c r="H226" s="73" t="inlineStr"/>
      <c r="I226" s="73" t="inlineStr"/>
      <c r="J226" s="73" t="inlineStr">
        <is>
          <t>2025-12-10</t>
        </is>
      </c>
      <c r="K226" s="73" t="inlineStr">
        <is>
          <t>2025-10-16</t>
        </is>
      </c>
      <c r="L226" s="75" t="n">
        <v>416150.13</v>
      </c>
      <c r="M226" s="73" t="inlineStr">
        <is>
          <t>Managed Services (MSP)</t>
        </is>
      </c>
      <c r="N226" s="73" t="inlineStr"/>
      <c r="O226" s="73" t="inlineStr">
        <is>
          <t>Jyothsna Nanda kishore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2025-09-17</t>
        </is>
      </c>
      <c r="Z226" s="73" t="inlineStr">
        <is>
          <t>https://app-na2.hubspot.com/contacts/243046792/record/0-3/162089209576</t>
        </is>
      </c>
      <c r="AA226" s="73" t="inlineStr"/>
    </row>
    <row r="227">
      <c r="A227" s="73" t="n">
        <v>226</v>
      </c>
      <c r="B227" s="73" t="inlineStr">
        <is>
          <t>155021639360</t>
        </is>
      </c>
      <c r="C227" s="73" t="inlineStr"/>
      <c r="D227" s="73" t="inlineStr">
        <is>
          <t>IT and Cybersecurity</t>
        </is>
      </c>
      <c r="E227" s="73" t="inlineStr">
        <is>
          <t>City of Mary Esther</t>
        </is>
      </c>
      <c r="F227" s="73" t="inlineStr">
        <is>
          <t>Florida</t>
        </is>
      </c>
      <c r="G227" s="73" t="inlineStr">
        <is>
          <t>Closed Lost</t>
        </is>
      </c>
      <c r="H227" s="73" t="inlineStr"/>
      <c r="I227" s="73" t="inlineStr"/>
      <c r="J227" s="73" t="inlineStr">
        <is>
          <t>2025-12-10</t>
        </is>
      </c>
      <c r="K227" s="73" t="inlineStr">
        <is>
          <t>2025-09-12</t>
        </is>
      </c>
      <c r="L227" s="73" t="n"/>
      <c r="M227" s="73" t="inlineStr"/>
      <c r="N227" s="73" t="inlineStr"/>
      <c r="O227" s="73" t="inlineStr">
        <is>
          <t>Jyothsna Nanda kishore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2025-09-03</t>
        </is>
      </c>
      <c r="Z227" s="73" t="inlineStr">
        <is>
          <t>https://app-na2.hubspot.com/contacts/243046792/record/0-3/155021639360</t>
        </is>
      </c>
      <c r="AA227" s="73" t="inlineStr"/>
    </row>
    <row r="228">
      <c r="A228" s="73" t="n">
        <v>227</v>
      </c>
      <c r="B228" s="73" t="inlineStr">
        <is>
          <t>216534863554</t>
        </is>
      </c>
      <c r="C228" s="73" t="inlineStr"/>
      <c r="D228" s="73" t="inlineStr">
        <is>
          <t>Timekeeping Support Services for Infor Workforce Management Software</t>
        </is>
      </c>
      <c r="E228" s="73" t="inlineStr">
        <is>
          <t>County of San Mateo</t>
        </is>
      </c>
      <c r="F228" s="73" t="inlineStr">
        <is>
          <t>California</t>
        </is>
      </c>
      <c r="G228" s="73" t="inlineStr">
        <is>
          <t>Closed Lost</t>
        </is>
      </c>
      <c r="H228" s="73" t="inlineStr">
        <is>
          <t>Yes</t>
        </is>
      </c>
      <c r="I228" s="73" t="inlineStr">
        <is>
          <t>Interview</t>
        </is>
      </c>
      <c r="J228" s="73" t="inlineStr">
        <is>
          <t>2025-12-10</t>
        </is>
      </c>
      <c r="K228" s="73" t="inlineStr">
        <is>
          <t>2025-11-24</t>
        </is>
      </c>
      <c r="L228" s="73" t="n"/>
      <c r="M228" s="73" t="inlineStr">
        <is>
          <t>Support &amp; Maintenance</t>
        </is>
      </c>
      <c r="N228" s="73" t="inlineStr">
        <is>
          <t>Portal</t>
        </is>
      </c>
      <c r="O228" s="73" t="inlineStr">
        <is>
          <t>Ashutosh Chauhan</t>
        </is>
      </c>
      <c r="P228" s="73" t="inlineStr">
        <is>
          <t>Interview Scheduled</t>
        </is>
      </c>
      <c r="Q228" s="73" t="inlineStr">
        <is>
          <t>2025-12-04</t>
        </is>
      </c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2025-11-11</t>
        </is>
      </c>
      <c r="Z228" s="73" t="inlineStr">
        <is>
          <t>https://app-na2.hubspot.com/contacts/243046792/record/0-3/216534863554</t>
        </is>
      </c>
      <c r="AA228" s="73" t="inlineStr"/>
    </row>
    <row r="229">
      <c r="A229" s="73" t="n">
        <v>228</v>
      </c>
      <c r="B229" s="73" t="inlineStr">
        <is>
          <t>176000104133</t>
        </is>
      </c>
      <c r="C229" s="73" t="inlineStr"/>
      <c r="D229" s="73" t="inlineStr">
        <is>
          <t>Managed Services Provider</t>
        </is>
      </c>
      <c r="E229" s="73" t="inlineStr">
        <is>
          <t>National Forest Foundation</t>
        </is>
      </c>
      <c r="F229" s="73" t="inlineStr">
        <is>
          <t>Montana</t>
        </is>
      </c>
      <c r="G229" s="73" t="inlineStr">
        <is>
          <t>Closed Lost</t>
        </is>
      </c>
      <c r="H229" s="73" t="inlineStr"/>
      <c r="I229" s="73" t="inlineStr"/>
      <c r="J229" s="73" t="inlineStr">
        <is>
          <t>2025-12-10</t>
        </is>
      </c>
      <c r="K229" s="73" t="inlineStr">
        <is>
          <t>2025-10-27</t>
        </is>
      </c>
      <c r="L229" s="73" t="n"/>
      <c r="M229" s="73" t="inlineStr">
        <is>
          <t>Managed Services (MSP)</t>
        </is>
      </c>
      <c r="N229" s="73" t="inlineStr">
        <is>
          <t>Email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2025-10-06</t>
        </is>
      </c>
      <c r="Z229" s="73" t="inlineStr">
        <is>
          <t>https://app-na2.hubspot.com/contacts/243046792/record/0-3/176000104133</t>
        </is>
      </c>
      <c r="AA229" s="73" t="inlineStr"/>
    </row>
    <row r="230">
      <c r="A230" s="73" t="n">
        <v>229</v>
      </c>
      <c r="B230" s="73" t="inlineStr">
        <is>
          <t>222284969679</t>
        </is>
      </c>
      <c r="C230" s="73" t="inlineStr"/>
      <c r="D230" s="73" t="inlineStr">
        <is>
          <t>Application Programming Interfaces (API) Integration Services for Multiple City Systems</t>
        </is>
      </c>
      <c r="E230" s="73" t="inlineStr">
        <is>
          <t>City of Irving</t>
        </is>
      </c>
      <c r="F230" s="73" t="inlineStr">
        <is>
          <t>Texas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2025-12-10</t>
        </is>
      </c>
      <c r="K230" s="73" t="inlineStr">
        <is>
          <t>2025-12-10</t>
        </is>
      </c>
      <c r="L230" s="73" t="n"/>
      <c r="M230" s="73" t="inlineStr">
        <is>
          <t>Modernization / Migration;Support &amp; Maintenance</t>
        </is>
      </c>
      <c r="N230" s="73" t="inlineStr"/>
      <c r="O230" s="73" t="inlineStr">
        <is>
          <t>Jyothsna Nanda kishore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2025-11-18</t>
        </is>
      </c>
      <c r="Z230" s="73" t="inlineStr">
        <is>
          <t>https://app-na2.hubspot.com/contacts/243046792/record/0-3/222284969679</t>
        </is>
      </c>
      <c r="AA230" s="73" t="inlineStr"/>
    </row>
    <row r="231">
      <c r="A231" s="73" t="n">
        <v>230</v>
      </c>
      <c r="B231" s="73" t="inlineStr">
        <is>
          <t>231822287599</t>
        </is>
      </c>
      <c r="C231" s="73" t="inlineStr"/>
      <c r="D231" s="73" t="inlineStr">
        <is>
          <t>HRIS Consultant</t>
        </is>
      </c>
      <c r="E231" s="73" t="inlineStr">
        <is>
          <t>City of Portland</t>
        </is>
      </c>
      <c r="F231" s="73" t="inlineStr">
        <is>
          <t>Maine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2025-12-11</t>
        </is>
      </c>
      <c r="K231" s="73" t="inlineStr">
        <is>
          <t>2025-12-11</t>
        </is>
      </c>
      <c r="L231" s="73" t="n"/>
      <c r="M231" s="73" t="inlineStr">
        <is>
          <t>Platform Implementation (ERP, CRMs)</t>
        </is>
      </c>
      <c r="N231" s="73" t="inlineStr"/>
      <c r="O231" s="73" t="inlineStr">
        <is>
          <t>Ashutosh Chauhan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2025-12-02</t>
        </is>
      </c>
      <c r="Z231" s="73" t="inlineStr">
        <is>
          <t>https://app-na2.hubspot.com/contacts/243046792/record/0-3/231822287599</t>
        </is>
      </c>
      <c r="AA231" s="73" t="inlineStr"/>
    </row>
    <row r="232">
      <c r="A232" s="73" t="n">
        <v>231</v>
      </c>
      <c r="B232" s="73" t="inlineStr">
        <is>
          <t>222282955460</t>
        </is>
      </c>
      <c r="C232" s="73" t="inlineStr"/>
      <c r="D232" s="73" t="inlineStr">
        <is>
          <t>Offline - IT Services</t>
        </is>
      </c>
      <c r="E232" s="73" t="inlineStr">
        <is>
          <t>Borough of Lewistown</t>
        </is>
      </c>
      <c r="F232" s="73" t="inlineStr">
        <is>
          <t>Pennsylvania</t>
        </is>
      </c>
      <c r="G232" s="73" t="inlineStr">
        <is>
          <t>Submitted</t>
        </is>
      </c>
      <c r="H232" s="73" t="inlineStr"/>
      <c r="I232" s="73" t="inlineStr"/>
      <c r="J232" s="73" t="inlineStr">
        <is>
          <t>2025-12-12</t>
        </is>
      </c>
      <c r="K232" s="73" t="inlineStr">
        <is>
          <t>2025-12-11</t>
        </is>
      </c>
      <c r="L232" s="73" t="n"/>
      <c r="M232" s="73" t="inlineStr">
        <is>
          <t>Consulting</t>
        </is>
      </c>
      <c r="N232" s="73" t="inlineStr"/>
      <c r="O232" s="73" t="inlineStr">
        <is>
          <t>Abhishek Zalani</t>
        </is>
      </c>
      <c r="P232" s="73" t="inlineStr"/>
      <c r="Q232" s="73" t="inlineStr"/>
      <c r="R232" s="73" t="inlineStr"/>
      <c r="S232" s="73" t="inlineStr"/>
      <c r="T232" s="73" t="inlineStr"/>
      <c r="U232" s="73" t="inlineStr"/>
      <c r="V232" s="73" t="inlineStr"/>
      <c r="W232" s="73" t="inlineStr"/>
      <c r="X232" s="73" t="inlineStr"/>
      <c r="Y232" s="73" t="inlineStr">
        <is>
          <t>2025-11-21</t>
        </is>
      </c>
      <c r="Z232" s="73" t="inlineStr">
        <is>
          <t>https://app-na2.hubspot.com/contacts/243046792/record/0-3/222282955460</t>
        </is>
      </c>
      <c r="AA232" s="73" t="inlineStr"/>
    </row>
    <row r="233">
      <c r="A233" s="73" t="n">
        <v>232</v>
      </c>
      <c r="B233" s="73" t="inlineStr">
        <is>
          <t>231556769499</t>
        </is>
      </c>
      <c r="C233" s="73" t="inlineStr"/>
      <c r="D233" s="73" t="inlineStr">
        <is>
          <t>Advanced Power BI Consultant (Rebid)</t>
        </is>
      </c>
      <c r="E233" s="73" t="inlineStr">
        <is>
          <t>NM Health</t>
        </is>
      </c>
      <c r="F233" s="73" t="inlineStr">
        <is>
          <t>New Mexico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2025-12-12</t>
        </is>
      </c>
      <c r="K233" s="73" t="inlineStr">
        <is>
          <t>2025-12-12</t>
        </is>
      </c>
      <c r="L233" s="73" t="n"/>
      <c r="M233" s="73" t="inlineStr">
        <is>
          <t>Consulting</t>
        </is>
      </c>
      <c r="N233" s="73" t="inlineStr">
        <is>
          <t>Portal</t>
        </is>
      </c>
      <c r="O233" s="73" t="inlineStr">
        <is>
          <t>Jyothsna Nanda kishore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2025-12-02</t>
        </is>
      </c>
      <c r="Z233" s="73" t="inlineStr">
        <is>
          <t>https://app-na2.hubspot.com/contacts/243046792/record/0-3/231556769499</t>
        </is>
      </c>
      <c r="AA233" s="73" t="inlineStr"/>
    </row>
    <row r="234">
      <c r="A234" s="73" t="n">
        <v>233</v>
      </c>
      <c r="B234" s="73" t="inlineStr">
        <is>
          <t>222884414179</t>
        </is>
      </c>
      <c r="C234" s="73" t="inlineStr"/>
      <c r="D234" s="73" t="inlineStr">
        <is>
          <t>CISCO DUO MFA SUBSCRIPTION</t>
        </is>
      </c>
      <c r="E234" s="73" t="inlineStr">
        <is>
          <t>Greenville County</t>
        </is>
      </c>
      <c r="F234" s="73" t="inlineStr">
        <is>
          <t>South Carolina</t>
        </is>
      </c>
      <c r="G234" s="73" t="inlineStr">
        <is>
          <t>Submitted</t>
        </is>
      </c>
      <c r="H234" s="73" t="inlineStr"/>
      <c r="I234" s="73" t="inlineStr"/>
      <c r="J234" s="73" t="inlineStr">
        <is>
          <t>2025-12-12</t>
        </is>
      </c>
      <c r="K234" s="73" t="inlineStr">
        <is>
          <t>2025-12-12</t>
        </is>
      </c>
      <c r="L234" s="73" t="n"/>
      <c r="M234" s="73" t="inlineStr">
        <is>
          <t>Reseller</t>
        </is>
      </c>
      <c r="N234" s="73" t="inlineStr"/>
      <c r="O234" s="73" t="inlineStr">
        <is>
          <t>Abhishek Zalani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2025-11-18</t>
        </is>
      </c>
      <c r="Z234" s="73" t="inlineStr">
        <is>
          <t>https://app-na2.hubspot.com/contacts/243046792/record/0-3/222884414179</t>
        </is>
      </c>
      <c r="AA234" s="73" t="inlineStr"/>
    </row>
    <row r="235">
      <c r="A235" s="73" t="n">
        <v>234</v>
      </c>
      <c r="B235" s="73" t="inlineStr">
        <is>
          <t>217459208895</t>
        </is>
      </c>
      <c r="C235" s="73" t="inlineStr"/>
      <c r="D235" s="73" t="inlineStr">
        <is>
          <t>Town-Wide Penetration Testing</t>
        </is>
      </c>
      <c r="E235" s="73" t="inlineStr">
        <is>
          <t>Town of Nantucket</t>
        </is>
      </c>
      <c r="F235" s="73" t="inlineStr">
        <is>
          <t>Massachusetts</t>
        </is>
      </c>
      <c r="G235" s="73" t="inlineStr">
        <is>
          <t>Submitted</t>
        </is>
      </c>
      <c r="H235" s="73" t="inlineStr"/>
      <c r="I235" s="73" t="inlineStr"/>
      <c r="J235" s="73" t="inlineStr">
        <is>
          <t>2025-12-12</t>
        </is>
      </c>
      <c r="K235" s="73" t="inlineStr">
        <is>
          <t>2025-12-12</t>
        </is>
      </c>
      <c r="L235" s="73" t="n"/>
      <c r="M235" s="73" t="inlineStr">
        <is>
          <t>Audits and Assessment</t>
        </is>
      </c>
      <c r="N235" s="73" t="inlineStr">
        <is>
          <t>Portal</t>
        </is>
      </c>
      <c r="O235" s="73" t="inlineStr">
        <is>
          <t>Ashutosh Chauhan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2025-11-12</t>
        </is>
      </c>
      <c r="Z235" s="73" t="inlineStr">
        <is>
          <t>https://app-na2.hubspot.com/contacts/243046792/record/0-3/217459208895</t>
        </is>
      </c>
      <c r="AA235" s="73" t="inlineStr"/>
    </row>
    <row r="236">
      <c r="A236" s="73" t="n">
        <v>235</v>
      </c>
      <c r="B236" s="73" t="inlineStr">
        <is>
          <t>189205825272</t>
        </is>
      </c>
      <c r="C236" s="73" t="inlineStr"/>
      <c r="D236" s="73" t="inlineStr">
        <is>
          <t xml:space="preserve">Offline - INFORMATION TECHNOLGY SUPPORT SERVICES </t>
        </is>
      </c>
      <c r="E236" s="73" t="inlineStr">
        <is>
          <t>City of Inman</t>
        </is>
      </c>
      <c r="F236" s="73" t="inlineStr">
        <is>
          <t>South Carolina</t>
        </is>
      </c>
      <c r="G236" s="73" t="inlineStr">
        <is>
          <t>Submitted</t>
        </is>
      </c>
      <c r="H236" s="73" t="inlineStr"/>
      <c r="I236" s="73" t="inlineStr"/>
      <c r="J236" s="73" t="inlineStr">
        <is>
          <t>2025-12-13</t>
        </is>
      </c>
      <c r="K236" s="73" t="inlineStr">
        <is>
          <t>2025-12-11</t>
        </is>
      </c>
      <c r="L236" s="73" t="n"/>
      <c r="M236" s="73" t="inlineStr">
        <is>
          <t>Consulting</t>
        </is>
      </c>
      <c r="N236" s="73" t="inlineStr"/>
      <c r="O236" s="73" t="inlineStr">
        <is>
          <t>Abhishek Zalani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2025-10-15</t>
        </is>
      </c>
      <c r="Z236" s="73" t="inlineStr">
        <is>
          <t>https://app-na2.hubspot.com/contacts/243046792/record/0-3/189205825272</t>
        </is>
      </c>
      <c r="AA236" s="73" t="inlineStr"/>
    </row>
    <row r="237">
      <c r="A237" s="73" t="n">
        <v>236</v>
      </c>
      <c r="B237" s="73" t="inlineStr">
        <is>
          <t>261982669555</t>
        </is>
      </c>
      <c r="C237" s="73" t="inlineStr"/>
      <c r="D237" s="73" t="inlineStr">
        <is>
          <t xml:space="preserve">IT Backfill for ERP Configuration </t>
        </is>
      </c>
      <c r="E237" s="73" t="inlineStr">
        <is>
          <t>Madison Metropolitan Sewerage District</t>
        </is>
      </c>
      <c r="F237" s="73" t="inlineStr">
        <is>
          <t>Wisconsin</t>
        </is>
      </c>
      <c r="G237" s="73" t="inlineStr">
        <is>
          <t>Closed Won</t>
        </is>
      </c>
      <c r="H237" s="73" t="inlineStr"/>
      <c r="I237" s="73" t="inlineStr"/>
      <c r="J237" s="73" t="inlineStr">
        <is>
          <t>2025-12-15</t>
        </is>
      </c>
      <c r="K237" s="73" t="inlineStr"/>
      <c r="L237" s="75" t="n">
        <v>157000</v>
      </c>
      <c r="M237" s="73" t="inlineStr">
        <is>
          <t>Staff Augmentation</t>
        </is>
      </c>
      <c r="N237" s="73" t="inlineStr"/>
      <c r="O237" s="73" t="inlineStr">
        <is>
          <t>Madhav Mitruka</t>
        </is>
      </c>
      <c r="P237" s="73" t="inlineStr"/>
      <c r="Q237" s="73" t="inlineStr"/>
      <c r="R237" s="73" t="inlineStr"/>
      <c r="S237" s="73" t="inlineStr">
        <is>
          <t>2025-10-24</t>
        </is>
      </c>
      <c r="T237" s="73" t="inlineStr"/>
      <c r="U237" s="73" t="inlineStr">
        <is>
          <t>2026-01-15</t>
        </is>
      </c>
      <c r="V237" s="73" t="inlineStr"/>
      <c r="W237" s="73" t="inlineStr"/>
      <c r="X237" s="73" t="inlineStr"/>
      <c r="Y237" s="73" t="inlineStr">
        <is>
          <t>2026-01-14</t>
        </is>
      </c>
      <c r="Z237" s="73" t="inlineStr">
        <is>
          <t>https://app-na2.hubspot.com/contacts/243046792/record/0-3/261982669555</t>
        </is>
      </c>
      <c r="AA237" s="73" t="inlineStr"/>
    </row>
    <row r="238">
      <c r="A238" s="73" t="n">
        <v>237</v>
      </c>
      <c r="B238" s="73" t="inlineStr">
        <is>
          <t>222282811080</t>
        </is>
      </c>
      <c r="C238" s="73" t="inlineStr"/>
      <c r="D238" s="73" t="inlineStr">
        <is>
          <t>Training &amp; Consultation for Ellucian Colleague</t>
        </is>
      </c>
      <c r="E238" s="73" t="inlineStr">
        <is>
          <t>Spartanburg Community College</t>
        </is>
      </c>
      <c r="F238" s="73" t="inlineStr">
        <is>
          <t>South Carolina</t>
        </is>
      </c>
      <c r="G238" s="73" t="inlineStr">
        <is>
          <t>Submitted</t>
        </is>
      </c>
      <c r="H238" s="73" t="inlineStr"/>
      <c r="I238" s="73" t="inlineStr"/>
      <c r="J238" s="73" t="inlineStr">
        <is>
          <t>2025-12-15</t>
        </is>
      </c>
      <c r="K238" s="73" t="inlineStr">
        <is>
          <t>2025-12-15</t>
        </is>
      </c>
      <c r="L238" s="73" t="n"/>
      <c r="M238" s="73" t="inlineStr">
        <is>
          <t>Training</t>
        </is>
      </c>
      <c r="N238" s="73" t="inlineStr"/>
      <c r="O238" s="73" t="inlineStr">
        <is>
          <t>Jyothsna Nanda kishore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2025-11-18</t>
        </is>
      </c>
      <c r="Z238" s="73" t="inlineStr">
        <is>
          <t>https://app-na2.hubspot.com/contacts/243046792/record/0-3/222282811080</t>
        </is>
      </c>
      <c r="AA238" s="73" t="inlineStr"/>
    </row>
    <row r="239">
      <c r="A239" s="73" t="n">
        <v>238</v>
      </c>
      <c r="B239" s="73" t="inlineStr">
        <is>
          <t>222376728277</t>
        </is>
      </c>
      <c r="C239" s="73" t="inlineStr"/>
      <c r="D239" s="73" t="inlineStr">
        <is>
          <t>Vulnerability Assessment, Cybersecurity Audit, &amp; Penetration Testing Services</t>
        </is>
      </c>
      <c r="E239" s="73" t="inlineStr">
        <is>
          <t>Marina Coast Water District</t>
        </is>
      </c>
      <c r="F239" s="73" t="inlineStr">
        <is>
          <t>California</t>
        </is>
      </c>
      <c r="G239" s="73" t="inlineStr">
        <is>
          <t>Submitted</t>
        </is>
      </c>
      <c r="H239" s="73" t="inlineStr"/>
      <c r="I239" s="73" t="inlineStr"/>
      <c r="J239" s="73" t="inlineStr">
        <is>
          <t>2025-12-15</t>
        </is>
      </c>
      <c r="K239" s="73" t="inlineStr">
        <is>
          <t>2025-12-15</t>
        </is>
      </c>
      <c r="L239" s="73" t="n"/>
      <c r="M239" s="73" t="inlineStr">
        <is>
          <t>Consulting</t>
        </is>
      </c>
      <c r="N239" s="73" t="inlineStr"/>
      <c r="O239" s="73" t="inlineStr">
        <is>
          <t>Abhishek Zalani</t>
        </is>
      </c>
      <c r="P239" s="73" t="inlineStr"/>
      <c r="Q239" s="73" t="inlineStr"/>
      <c r="R239" s="73" t="inlineStr"/>
      <c r="S239" s="73" t="inlineStr"/>
      <c r="T239" s="73" t="inlineStr"/>
      <c r="U239" s="73" t="inlineStr"/>
      <c r="V239" s="73" t="inlineStr"/>
      <c r="W239" s="73" t="inlineStr"/>
      <c r="X239" s="73" t="inlineStr"/>
      <c r="Y239" s="73" t="inlineStr">
        <is>
          <t>2025-11-18</t>
        </is>
      </c>
      <c r="Z239" s="73" t="inlineStr">
        <is>
          <t>https://app-na2.hubspot.com/contacts/243046792/record/0-3/222376728277</t>
        </is>
      </c>
      <c r="AA239" s="73" t="inlineStr"/>
    </row>
    <row r="240">
      <c r="A240" s="73" t="n">
        <v>239</v>
      </c>
      <c r="B240" s="73" t="inlineStr">
        <is>
          <t>168227148525</t>
        </is>
      </c>
      <c r="C240" s="73" t="inlineStr"/>
      <c r="D240" s="73" t="inlineStr">
        <is>
          <t xml:space="preserve">ENTERPRISE RESOURCE PLANNING CONSULTING SERVICES </t>
        </is>
      </c>
      <c r="E240" s="73" t="inlineStr">
        <is>
          <t>City of Gastonia</t>
        </is>
      </c>
      <c r="F240" s="73" t="inlineStr">
        <is>
          <t>North Carolina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2025-09-30</t>
        </is>
      </c>
      <c r="L240" s="73" t="n"/>
      <c r="M240" s="73" t="inlineStr">
        <is>
          <t>Platform Implementation (ERP, CRMs)</t>
        </is>
      </c>
      <c r="N240" s="73" t="inlineStr">
        <is>
          <t>Email</t>
        </is>
      </c>
      <c r="O240" s="73" t="inlineStr">
        <is>
          <t>Ritoban Maitra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2025-09-23</t>
        </is>
      </c>
      <c r="Z240" s="73" t="inlineStr">
        <is>
          <t>https://app-na2.hubspot.com/contacts/243046792/record/0-3/168227148525</t>
        </is>
      </c>
      <c r="AA240" s="73" t="inlineStr"/>
    </row>
    <row r="241">
      <c r="A241" s="73" t="n">
        <v>240</v>
      </c>
      <c r="B241" s="73" t="inlineStr">
        <is>
          <t>215711179494</t>
        </is>
      </c>
      <c r="C241" s="73" t="inlineStr"/>
      <c r="D241" s="73" t="inlineStr">
        <is>
          <t>IT Security Audit</t>
        </is>
      </c>
      <c r="E241" s="73" t="inlineStr">
        <is>
          <t>City of Durango</t>
        </is>
      </c>
      <c r="F241" s="73" t="inlineStr"/>
      <c r="G241" s="73" t="inlineStr">
        <is>
          <t>Submitted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2025-12-16</t>
        </is>
      </c>
      <c r="L241" s="75" t="n">
        <v>11970</v>
      </c>
      <c r="M241" s="73" t="inlineStr">
        <is>
          <t>Audits and Assessment</t>
        </is>
      </c>
      <c r="N241" s="73" t="inlineStr"/>
      <c r="O241" s="73" t="inlineStr">
        <is>
          <t>Jyothsna Nanda kishore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2025-11-12</t>
        </is>
      </c>
      <c r="Z241" s="73" t="inlineStr">
        <is>
          <t>https://app-na2.hubspot.com/contacts/243046792/record/0-3/215711179494</t>
        </is>
      </c>
      <c r="AA241" s="73" t="inlineStr"/>
    </row>
    <row r="242">
      <c r="A242" s="73" t="n">
        <v>241</v>
      </c>
      <c r="B242" s="73" t="inlineStr">
        <is>
          <t>216534904514</t>
        </is>
      </c>
      <c r="C242" s="73" t="inlineStr"/>
      <c r="D242" s="73" t="inlineStr">
        <is>
          <t>OFF-Regional Data Portal Consultant Services</t>
        </is>
      </c>
      <c r="E242" s="73" t="inlineStr">
        <is>
          <t>Pioneer Valley Planning Commission</t>
        </is>
      </c>
      <c r="F242" s="73" t="inlineStr">
        <is>
          <t>Massachusetts</t>
        </is>
      </c>
      <c r="G242" s="73" t="inlineStr">
        <is>
          <t>RFx Cancelled</t>
        </is>
      </c>
      <c r="H242" s="73" t="inlineStr"/>
      <c r="I242" s="73" t="inlineStr"/>
      <c r="J242" s="73" t="inlineStr">
        <is>
          <t>2025-12-16</t>
        </is>
      </c>
      <c r="K242" s="73" t="inlineStr">
        <is>
          <t>2025-12-16</t>
        </is>
      </c>
      <c r="L242" s="75" t="n">
        <v>94350</v>
      </c>
      <c r="M242" s="73" t="inlineStr">
        <is>
          <t>Consulting</t>
        </is>
      </c>
      <c r="N242" s="73" t="inlineStr">
        <is>
          <t>Offline</t>
        </is>
      </c>
      <c r="O242" s="73" t="inlineStr">
        <is>
          <t>Ashutosh Chauhan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2025-11-12</t>
        </is>
      </c>
      <c r="Z242" s="73" t="inlineStr">
        <is>
          <t>https://app-na2.hubspot.com/contacts/243046792/record/0-3/216534904514</t>
        </is>
      </c>
      <c r="AA242" s="73" t="inlineStr"/>
    </row>
    <row r="243">
      <c r="A243" s="73" t="n">
        <v>242</v>
      </c>
      <c r="B243" s="73" t="inlineStr">
        <is>
          <t>232534112960</t>
        </is>
      </c>
      <c r="C243" s="73" t="inlineStr"/>
      <c r="D243" s="73" t="inlineStr">
        <is>
          <t xml:space="preserve">Information Technology Services </t>
        </is>
      </c>
      <c r="E243" s="73" t="inlineStr">
        <is>
          <t>Oklahoma City Urban RenewalAuthority (OCURA)</t>
        </is>
      </c>
      <c r="F243" s="73" t="inlineStr">
        <is>
          <t>Oklahoma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2025-12-16</t>
        </is>
      </c>
      <c r="K243" s="73" t="inlineStr">
        <is>
          <t>2025-12-16</t>
        </is>
      </c>
      <c r="L243" s="73" t="n"/>
      <c r="M243" s="73" t="inlineStr">
        <is>
          <t>Managed Services (MSP)</t>
        </is>
      </c>
      <c r="N243" s="73" t="inlineStr"/>
      <c r="O243" s="73" t="inlineStr">
        <is>
          <t>Jyothsna Nanda kishore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2025-12-04</t>
        </is>
      </c>
      <c r="Z243" s="73" t="inlineStr">
        <is>
          <t>https://app-na2.hubspot.com/contacts/243046792/record/0-3/232534112960</t>
        </is>
      </c>
      <c r="AA243" s="73" t="inlineStr"/>
    </row>
    <row r="244">
      <c r="A244" s="73" t="n">
        <v>243</v>
      </c>
      <c r="B244" s="73" t="inlineStr">
        <is>
          <t>216534904517</t>
        </is>
      </c>
      <c r="C244" s="73" t="inlineStr"/>
      <c r="D244" s="73" t="inlineStr">
        <is>
          <t>INFORMATION TECHNOLOGY CONSULTANT AND SERVICES</t>
        </is>
      </c>
      <c r="E244" s="73" t="inlineStr">
        <is>
          <t>Stillwater Township</t>
        </is>
      </c>
      <c r="F244" s="73" t="inlineStr">
        <is>
          <t>New Jersey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2025-12-16</t>
        </is>
      </c>
      <c r="K244" s="73" t="inlineStr">
        <is>
          <t>2025-12-15</t>
        </is>
      </c>
      <c r="L244" s="73" t="n"/>
      <c r="M244" s="73" t="inlineStr">
        <is>
          <t>Managed Services (MSP)</t>
        </is>
      </c>
      <c r="N244" s="73" t="inlineStr">
        <is>
          <t>Offline</t>
        </is>
      </c>
      <c r="O244" s="73" t="inlineStr">
        <is>
          <t>Jyothsna Nanda kishore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2025-11-12</t>
        </is>
      </c>
      <c r="Z244" s="73" t="inlineStr">
        <is>
          <t>https://app-na2.hubspot.com/contacts/243046792/record/0-3/216534904517</t>
        </is>
      </c>
      <c r="AA244" s="73" t="inlineStr"/>
    </row>
    <row r="245">
      <c r="A245" s="73" t="n">
        <v>244</v>
      </c>
      <c r="B245" s="73" t="inlineStr">
        <is>
          <t>110712028891</t>
        </is>
      </c>
      <c r="C245" s="73" t="inlineStr"/>
      <c r="D245" s="73" t="inlineStr">
        <is>
          <t>STAFFING SERVICES WITH RELATED SERVICES AND SOLUTIONS</t>
        </is>
      </c>
      <c r="E245" s="73" t="inlineStr">
        <is>
          <t>Oregon League of Cities</t>
        </is>
      </c>
      <c r="F245" s="73" t="inlineStr">
        <is>
          <t>Oregon</t>
        </is>
      </c>
      <c r="G245" s="73" t="inlineStr">
        <is>
          <t>Closed Won</t>
        </is>
      </c>
      <c r="H245" s="73" t="inlineStr"/>
      <c r="I245" s="73" t="inlineStr"/>
      <c r="J245" s="73" t="inlineStr">
        <is>
          <t>2025-12-16</t>
        </is>
      </c>
      <c r="K245" s="73" t="inlineStr">
        <is>
          <t>2025-07-21</t>
        </is>
      </c>
      <c r="L245" s="73" t="n"/>
      <c r="M245" s="73" t="inlineStr">
        <is>
          <t>Staff Augmentation</t>
        </is>
      </c>
      <c r="N245" s="73" t="inlineStr">
        <is>
          <t>Portal</t>
        </is>
      </c>
      <c r="O245" s="73" t="inlineStr">
        <is>
          <t>Madhav Mitruka</t>
        </is>
      </c>
      <c r="P245" s="73" t="inlineStr"/>
      <c r="Q245" s="73" t="inlineStr"/>
      <c r="R245" s="73" t="inlineStr"/>
      <c r="S245" s="73" t="inlineStr">
        <is>
          <t>2025-12-15</t>
        </is>
      </c>
      <c r="T245" s="73" t="inlineStr"/>
      <c r="U245" s="73" t="inlineStr">
        <is>
          <t>2026-02-03</t>
        </is>
      </c>
      <c r="V245" s="73" t="inlineStr"/>
      <c r="W245" s="73" t="inlineStr"/>
      <c r="X245" s="73" t="inlineStr"/>
      <c r="Y245" s="73" t="inlineStr">
        <is>
          <t>2025-07-01</t>
        </is>
      </c>
      <c r="Z245" s="73" t="inlineStr">
        <is>
          <t>https://app-na2.hubspot.com/contacts/243046792/record/0-3/110712028891</t>
        </is>
      </c>
      <c r="AA245" s="73" t="inlineStr">
        <is>
          <t>Yes</t>
        </is>
      </c>
    </row>
    <row r="246">
      <c r="A246" s="73" t="n">
        <v>245</v>
      </c>
      <c r="B246" s="73" t="inlineStr">
        <is>
          <t>167226060504</t>
        </is>
      </c>
      <c r="C246" s="73" t="inlineStr"/>
      <c r="D246" s="73" t="inlineStr">
        <is>
          <t>Information Technology Management Services</t>
        </is>
      </c>
      <c r="E246" s="73" t="inlineStr">
        <is>
          <t>Town of Swanzey</t>
        </is>
      </c>
      <c r="F246" s="73" t="inlineStr">
        <is>
          <t>New Hampshire</t>
        </is>
      </c>
      <c r="G246" s="73" t="inlineStr">
        <is>
          <t>Closed Lost</t>
        </is>
      </c>
      <c r="H246" s="73" t="inlineStr"/>
      <c r="I246" s="73" t="inlineStr"/>
      <c r="J246" s="73" t="inlineStr">
        <is>
          <t>2025-12-16</t>
        </is>
      </c>
      <c r="K246" s="73" t="inlineStr">
        <is>
          <t>2025-10-07</t>
        </is>
      </c>
      <c r="L246" s="75" t="n">
        <v>66120</v>
      </c>
      <c r="M246" s="73" t="inlineStr">
        <is>
          <t>Managed Services (MSP)</t>
        </is>
      </c>
      <c r="N246" s="73" t="inlineStr">
        <is>
          <t>Offline</t>
        </is>
      </c>
      <c r="O246" s="73" t="inlineStr">
        <is>
          <t>Jyothsna Nanda kishore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2025-09-22</t>
        </is>
      </c>
      <c r="Z246" s="73" t="inlineStr">
        <is>
          <t>https://app-na2.hubspot.com/contacts/243046792/record/0-3/167226060504</t>
        </is>
      </c>
      <c r="AA246" s="73" t="inlineStr"/>
    </row>
    <row r="247">
      <c r="A247" s="73" t="n">
        <v>246</v>
      </c>
      <c r="B247" s="73" t="inlineStr">
        <is>
          <t>167226060512</t>
        </is>
      </c>
      <c r="C247" s="73" t="inlineStr"/>
      <c r="D247" s="73" t="inlineStr">
        <is>
          <t>RFP CIT Cybersecurity Audit Re-Bid</t>
        </is>
      </c>
      <c r="E247" s="73" t="inlineStr">
        <is>
          <t>Coquille Indian Tribe</t>
        </is>
      </c>
      <c r="F247" s="73" t="inlineStr">
        <is>
          <t>Oregon</t>
        </is>
      </c>
      <c r="G247" s="73" t="inlineStr">
        <is>
          <t>Closed Lost</t>
        </is>
      </c>
      <c r="H247" s="73" t="inlineStr"/>
      <c r="I247" s="73" t="inlineStr"/>
      <c r="J247" s="73" t="inlineStr">
        <is>
          <t>2025-12-16</t>
        </is>
      </c>
      <c r="K247" s="73" t="inlineStr">
        <is>
          <t>2025-10-20</t>
        </is>
      </c>
      <c r="L247" s="75" t="n">
        <v>74800</v>
      </c>
      <c r="M247" s="73" t="inlineStr">
        <is>
          <t>Audits and Assessment</t>
        </is>
      </c>
      <c r="N247" s="73" t="inlineStr">
        <is>
          <t>Email</t>
        </is>
      </c>
      <c r="O247" s="73" t="inlineStr">
        <is>
          <t>Jyothsna Nanda kishore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2025-09-22</t>
        </is>
      </c>
      <c r="Z247" s="73" t="inlineStr">
        <is>
          <t>https://app-na2.hubspot.com/contacts/243046792/record/0-3/167226060512</t>
        </is>
      </c>
      <c r="AA247" s="73" t="inlineStr"/>
    </row>
    <row r="248">
      <c r="A248" s="73" t="n">
        <v>247</v>
      </c>
      <c r="B248" s="73" t="inlineStr">
        <is>
          <t>213215916793</t>
        </is>
      </c>
      <c r="C248" s="73" t="inlineStr"/>
      <c r="D248" s="73" t="inlineStr">
        <is>
          <t>CRM &amp; Engagement Platform Implementation</t>
        </is>
      </c>
      <c r="E248" s="73" t="inlineStr">
        <is>
          <t xml:space="preserve"> Arizona Commerce Authority</t>
        </is>
      </c>
      <c r="F248" s="73" t="inlineStr">
        <is>
          <t>Arizona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Platform Implementation (ERP, CRMs)</t>
        </is>
      </c>
      <c r="N248" s="73" t="inlineStr"/>
      <c r="O248" s="73" t="inlineStr">
        <is>
          <t>Ashutosh Chauhan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2025-11-10</t>
        </is>
      </c>
      <c r="Z248" s="73" t="inlineStr">
        <is>
          <t>https://app-na2.hubspot.com/contacts/243046792/record/0-3/213215916793</t>
        </is>
      </c>
      <c r="AA248" s="73" t="inlineStr"/>
    </row>
    <row r="249">
      <c r="A249" s="73" t="n">
        <v>248</v>
      </c>
      <c r="B249" s="73" t="inlineStr">
        <is>
          <t>254848701154</t>
        </is>
      </c>
      <c r="C249" s="73" t="inlineStr"/>
      <c r="D249" s="73" t="inlineStr">
        <is>
          <t>BTS On-Call Services - SERVICENOW PLATFORM DEVELOPMENT</t>
        </is>
      </c>
      <c r="E249" s="73" t="inlineStr">
        <is>
          <t>City of Portland, Bureau of Technology Services (BTS)</t>
        </is>
      </c>
      <c r="F249" s="73" t="inlineStr"/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https://app-na2.hubspot.com/contacts/243046792/record/0-3/254848701154</t>
        </is>
      </c>
      <c r="AA249" s="73" t="inlineStr"/>
    </row>
    <row r="250">
      <c r="A250" s="73" t="n">
        <v>249</v>
      </c>
      <c r="B250" s="73" t="inlineStr">
        <is>
          <t>254846547669</t>
        </is>
      </c>
      <c r="C250" s="73" t="inlineStr">
        <is>
          <t>00002665</t>
        </is>
      </c>
      <c r="D250" s="73" t="inlineStr">
        <is>
          <t>BTS On-Call Services - GENERAL APPLICATION DEVELOPMENT</t>
        </is>
      </c>
      <c r="E250" s="73" t="inlineStr">
        <is>
          <t>City of Portland, Bureau of Technology Services (BTS)</t>
        </is>
      </c>
      <c r="F250" s="73" t="inlineStr"/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https://app-na2.hubspot.com/contacts/243046792/record/0-3/254846547669</t>
        </is>
      </c>
      <c r="AA250" s="73" t="inlineStr"/>
    </row>
    <row r="251">
      <c r="A251" s="73" t="n">
        <v>250</v>
      </c>
      <c r="B251" s="73" t="inlineStr">
        <is>
          <t>252347523820</t>
        </is>
      </c>
      <c r="C251" s="73" t="inlineStr"/>
      <c r="D251" s="73" t="inlineStr">
        <is>
          <t>BTS On-Call Services - PROJECT MANAGEMENT</t>
        </is>
      </c>
      <c r="E251" s="73" t="inlineStr">
        <is>
          <t>City of Portland, Bureau of Technology Services (BTS)</t>
        </is>
      </c>
      <c r="F251" s="73" t="inlineStr"/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https://app-na2.hubspot.com/contacts/243046792/record/0-3/252347523820</t>
        </is>
      </c>
      <c r="AA251" s="73" t="inlineStr"/>
    </row>
    <row r="252">
      <c r="A252" s="73" t="n">
        <v>251</v>
      </c>
      <c r="B252" s="73" t="inlineStr">
        <is>
          <t>254846547704</t>
        </is>
      </c>
      <c r="C252" s="73" t="inlineStr"/>
      <c r="D252" s="73" t="inlineStr">
        <is>
          <t>BTS On-Call Services - PRODUCT MANAGEMENT SERVICES</t>
        </is>
      </c>
      <c r="E252" s="73" t="inlineStr">
        <is>
          <t>City of Portland, Bureau of Technology Services (BTS)</t>
        </is>
      </c>
      <c r="F252" s="73" t="inlineStr"/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https://app-na2.hubspot.com/contacts/243046792/record/0-3/254846547704</t>
        </is>
      </c>
      <c r="AA252" s="73" t="inlineStr"/>
    </row>
    <row r="253">
      <c r="A253" s="73" t="n">
        <v>252</v>
      </c>
      <c r="B253" s="73" t="inlineStr">
        <is>
          <t>253056990937</t>
        </is>
      </c>
      <c r="C253" s="73" t="inlineStr"/>
      <c r="D253" s="73" t="inlineStr">
        <is>
          <t>BTS On-Call Services - SAP BASIS AND SYSTEM SUPPORT AND ENGINEERING</t>
        </is>
      </c>
      <c r="E253" s="73" t="inlineStr">
        <is>
          <t>City of Portland, Bureau of Technology Services (BTS)</t>
        </is>
      </c>
      <c r="F253" s="73" t="inlineStr"/>
      <c r="G253" s="73" t="inlineStr">
        <is>
          <t>Submitted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2025-12-17</t>
        </is>
      </c>
      <c r="L253" s="73" t="n"/>
      <c r="M253" s="73" t="inlineStr">
        <is>
          <t>Consulting</t>
        </is>
      </c>
      <c r="N253" s="73" t="inlineStr"/>
      <c r="O253" s="73" t="inlineStr">
        <is>
          <t>Madhav Mitruka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2026-01-05</t>
        </is>
      </c>
      <c r="Z253" s="73" t="inlineStr">
        <is>
          <t>https://app-na2.hubspot.com/contacts/243046792/record/0-3/253056990937</t>
        </is>
      </c>
      <c r="AA253" s="73" t="inlineStr"/>
    </row>
    <row r="254">
      <c r="A254" s="73" t="n">
        <v>253</v>
      </c>
      <c r="B254" s="73" t="inlineStr">
        <is>
          <t>253056991937</t>
        </is>
      </c>
      <c r="C254" s="73" t="inlineStr"/>
      <c r="D254" s="73" t="inlineStr">
        <is>
          <t>BTS On-Call Services - DATA PRODUCT &amp; PLATFORM DEVELOPMENT</t>
        </is>
      </c>
      <c r="E254" s="73" t="inlineStr">
        <is>
          <t>City of Portland, Bureau of Technology Services (BTS)</t>
        </is>
      </c>
      <c r="F254" s="73" t="inlineStr"/>
      <c r="G254" s="73" t="inlineStr">
        <is>
          <t>Submitted</t>
        </is>
      </c>
      <c r="H254" s="73" t="inlineStr"/>
      <c r="I254" s="73" t="inlineStr"/>
      <c r="J254" s="73" t="inlineStr">
        <is>
          <t>2025-12-17</t>
        </is>
      </c>
      <c r="K254" s="73" t="inlineStr">
        <is>
          <t>2025-12-17</t>
        </is>
      </c>
      <c r="L254" s="73" t="n"/>
      <c r="M254" s="73" t="inlineStr">
        <is>
          <t>Consulting</t>
        </is>
      </c>
      <c r="N254" s="73" t="inlineStr"/>
      <c r="O254" s="73" t="inlineStr">
        <is>
          <t>Madhav Mitruka</t>
        </is>
      </c>
      <c r="P254" s="73" t="inlineStr"/>
      <c r="Q254" s="73" t="inlineStr"/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2026-01-05</t>
        </is>
      </c>
      <c r="Z254" s="73" t="inlineStr">
        <is>
          <t>https://app-na2.hubspot.com/contacts/243046792/record/0-3/253056991937</t>
        </is>
      </c>
      <c r="AA254" s="73" t="inlineStr"/>
    </row>
    <row r="255">
      <c r="A255" s="73" t="n">
        <v>254</v>
      </c>
      <c r="B255" s="73" t="inlineStr">
        <is>
          <t>254846547686</t>
        </is>
      </c>
      <c r="C255" s="73" t="inlineStr"/>
      <c r="D255" s="73" t="inlineStr">
        <is>
          <t>BTS On-Call Services -SAP DEVELOPMENT</t>
        </is>
      </c>
      <c r="E255" s="73" t="inlineStr">
        <is>
          <t>City of Portland, Bureau of Technology Services (BTS)</t>
        </is>
      </c>
      <c r="F255" s="73" t="inlineStr"/>
      <c r="G255" s="73" t="inlineStr">
        <is>
          <t>Submitted</t>
        </is>
      </c>
      <c r="H255" s="73" t="inlineStr"/>
      <c r="I255" s="73" t="inlineStr"/>
      <c r="J255" s="73" t="inlineStr">
        <is>
          <t>2025-12-17</t>
        </is>
      </c>
      <c r="K255" s="73" t="inlineStr">
        <is>
          <t>2025-12-17</t>
        </is>
      </c>
      <c r="L255" s="73" t="n"/>
      <c r="M255" s="73" t="inlineStr">
        <is>
          <t>Consulting</t>
        </is>
      </c>
      <c r="N255" s="73" t="inlineStr"/>
      <c r="O255" s="73" t="inlineStr">
        <is>
          <t>Madhav Mitruka</t>
        </is>
      </c>
      <c r="P255" s="73" t="inlineStr"/>
      <c r="Q255" s="73" t="inlineStr"/>
      <c r="R255" s="73" t="inlineStr"/>
      <c r="S255" s="73" t="inlineStr"/>
      <c r="T255" s="73" t="inlineStr"/>
      <c r="U255" s="73" t="inlineStr"/>
      <c r="V255" s="73" t="inlineStr"/>
      <c r="W255" s="73" t="inlineStr"/>
      <c r="X255" s="73" t="inlineStr"/>
      <c r="Y255" s="73" t="inlineStr">
        <is>
          <t>2026-01-05</t>
        </is>
      </c>
      <c r="Z255" s="73" t="inlineStr">
        <is>
          <t>https://app-na2.hubspot.com/contacts/243046792/record/0-3/254846547686</t>
        </is>
      </c>
      <c r="AA255" s="73" t="inlineStr"/>
    </row>
    <row r="256">
      <c r="A256" s="73" t="n">
        <v>255</v>
      </c>
      <c r="B256" s="73" t="inlineStr">
        <is>
          <t>254848701168</t>
        </is>
      </c>
      <c r="C256" s="73" t="inlineStr"/>
      <c r="D256" s="73" t="inlineStr">
        <is>
          <t>BTS On-Call Services - INFORMATION TECHNOLOGIES PLANNING, BUSINESS ANALYSIS, PROFESSIONAL DEVELOPMENT, AND PROCESS FACILITATION</t>
        </is>
      </c>
      <c r="E256" s="73" t="inlineStr">
        <is>
          <t>City of Portland, Bureau of Technology Services (BTS)</t>
        </is>
      </c>
      <c r="F256" s="73" t="inlineStr"/>
      <c r="G256" s="73" t="inlineStr">
        <is>
          <t>Submitted</t>
        </is>
      </c>
      <c r="H256" s="73" t="inlineStr"/>
      <c r="I256" s="73" t="inlineStr"/>
      <c r="J256" s="73" t="inlineStr">
        <is>
          <t>2025-12-17</t>
        </is>
      </c>
      <c r="K256" s="73" t="inlineStr">
        <is>
          <t>2025-12-17</t>
        </is>
      </c>
      <c r="L256" s="73" t="n"/>
      <c r="M256" s="73" t="inlineStr">
        <is>
          <t>Consulting</t>
        </is>
      </c>
      <c r="N256" s="73" t="inlineStr"/>
      <c r="O256" s="73" t="inlineStr">
        <is>
          <t>Madhav Mitruka</t>
        </is>
      </c>
      <c r="P256" s="73" t="inlineStr"/>
      <c r="Q256" s="73" t="inlineStr"/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2026-01-05</t>
        </is>
      </c>
      <c r="Z256" s="73" t="inlineStr">
        <is>
          <t>https://app-na2.hubspot.com/contacts/243046792/record/0-3/254848701168</t>
        </is>
      </c>
      <c r="AA256" s="73" t="inlineStr"/>
    </row>
    <row r="257">
      <c r="A257" s="73" t="n">
        <v>256</v>
      </c>
      <c r="B257" s="73" t="inlineStr">
        <is>
          <t>252347523776</t>
        </is>
      </c>
      <c r="C257" s="73" t="inlineStr"/>
      <c r="D257" s="73" t="inlineStr">
        <is>
          <t>BTS On-Call Services - UI/UX &amp; SERVICE DESIGN</t>
        </is>
      </c>
      <c r="E257" s="73" t="inlineStr">
        <is>
          <t>City of Portland, Bureau of Technology Services (BTS)</t>
        </is>
      </c>
      <c r="F257" s="73" t="inlineStr"/>
      <c r="G257" s="73" t="inlineStr">
        <is>
          <t>Submitted</t>
        </is>
      </c>
      <c r="H257" s="73" t="inlineStr"/>
      <c r="I257" s="73" t="inlineStr"/>
      <c r="J257" s="73" t="inlineStr">
        <is>
          <t>2025-12-17</t>
        </is>
      </c>
      <c r="K257" s="73" t="inlineStr">
        <is>
          <t>2025-12-17</t>
        </is>
      </c>
      <c r="L257" s="73" t="n"/>
      <c r="M257" s="73" t="inlineStr">
        <is>
          <t>Consulting</t>
        </is>
      </c>
      <c r="N257" s="73" t="inlineStr"/>
      <c r="O257" s="73" t="inlineStr">
        <is>
          <t>Madhav Mitruka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2026-01-05</t>
        </is>
      </c>
      <c r="Z257" s="73" t="inlineStr">
        <is>
          <t>https://app-na2.hubspot.com/contacts/243046792/record/0-3/252347523776</t>
        </is>
      </c>
      <c r="AA257" s="73" t="inlineStr"/>
    </row>
    <row r="258">
      <c r="A258" s="73" t="n">
        <v>257</v>
      </c>
      <c r="B258" s="73" t="inlineStr">
        <is>
          <t>254848701166</t>
        </is>
      </c>
      <c r="C258" s="73" t="inlineStr"/>
      <c r="D258" s="73" t="inlineStr">
        <is>
          <t>BTS On-Call Services - QUALITY ASSURANCE</t>
        </is>
      </c>
      <c r="E258" s="73" t="inlineStr">
        <is>
          <t>City of Portland, Bureau of Technology Services (BTS)</t>
        </is>
      </c>
      <c r="F258" s="73" t="inlineStr"/>
      <c r="G258" s="73" t="inlineStr">
        <is>
          <t>Submitted</t>
        </is>
      </c>
      <c r="H258" s="73" t="inlineStr"/>
      <c r="I258" s="73" t="inlineStr"/>
      <c r="J258" s="73" t="inlineStr">
        <is>
          <t>2025-12-17</t>
        </is>
      </c>
      <c r="K258" s="73" t="inlineStr">
        <is>
          <t>2025-12-17</t>
        </is>
      </c>
      <c r="L258" s="73" t="n"/>
      <c r="M258" s="73" t="inlineStr">
        <is>
          <t>Consulting</t>
        </is>
      </c>
      <c r="N258" s="73" t="inlineStr"/>
      <c r="O258" s="73" t="inlineStr">
        <is>
          <t>Madhav Mitruka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2026-01-05</t>
        </is>
      </c>
      <c r="Z258" s="73" t="inlineStr">
        <is>
          <t>https://app-na2.hubspot.com/contacts/243046792/record/0-3/254848701166</t>
        </is>
      </c>
      <c r="AA258" s="73" t="inlineStr"/>
    </row>
    <row r="259">
      <c r="A259" s="73" t="n">
        <v>258</v>
      </c>
      <c r="B259" s="73" t="inlineStr">
        <is>
          <t>251773184703</t>
        </is>
      </c>
      <c r="C259" s="73" t="inlineStr"/>
      <c r="D259" s="73" t="inlineStr">
        <is>
          <t>BTS On-Call Services - WEB APPLICATION DEVELOPMENT</t>
        </is>
      </c>
      <c r="E259" s="73" t="inlineStr">
        <is>
          <t>City of Portland, Bureau of Technology Services (BTS)</t>
        </is>
      </c>
      <c r="F259" s="73" t="inlineStr"/>
      <c r="G259" s="73" t="inlineStr">
        <is>
          <t>Submitted</t>
        </is>
      </c>
      <c r="H259" s="73" t="inlineStr"/>
      <c r="I259" s="73" t="inlineStr"/>
      <c r="J259" s="73" t="inlineStr">
        <is>
          <t>2025-12-17</t>
        </is>
      </c>
      <c r="K259" s="73" t="inlineStr">
        <is>
          <t>2025-12-17</t>
        </is>
      </c>
      <c r="L259" s="73" t="n"/>
      <c r="M259" s="73" t="inlineStr">
        <is>
          <t>Consulting</t>
        </is>
      </c>
      <c r="N259" s="73" t="inlineStr"/>
      <c r="O259" s="73" t="inlineStr">
        <is>
          <t>Madhav Mitruka</t>
        </is>
      </c>
      <c r="P259" s="73" t="inlineStr"/>
      <c r="Q259" s="73" t="inlineStr"/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2026-01-05</t>
        </is>
      </c>
      <c r="Z259" s="73" t="inlineStr">
        <is>
          <t>https://app-na2.hubspot.com/contacts/243046792/record/0-3/251773184703</t>
        </is>
      </c>
      <c r="AA259" s="73" t="inlineStr"/>
    </row>
    <row r="260">
      <c r="A260" s="73" t="n">
        <v>259</v>
      </c>
      <c r="B260" s="73" t="inlineStr">
        <is>
          <t>199601331942</t>
        </is>
      </c>
      <c r="C260" s="73" t="inlineStr">
        <is>
          <t>RFB #540297</t>
        </is>
      </c>
      <c r="D260" s="73" t="inlineStr">
        <is>
          <t>System Simulation Integration &amp; Analytical Services</t>
        </is>
      </c>
      <c r="E260" s="73" t="inlineStr">
        <is>
          <t>City of Detroit</t>
        </is>
      </c>
      <c r="F260" s="73" t="inlineStr">
        <is>
          <t>Michigan</t>
        </is>
      </c>
      <c r="G260" s="73" t="inlineStr">
        <is>
          <t>Closed Lost</t>
        </is>
      </c>
      <c r="H260" s="73" t="inlineStr"/>
      <c r="I260" s="73" t="inlineStr"/>
      <c r="J260" s="73" t="inlineStr">
        <is>
          <t>2025-12-17</t>
        </is>
      </c>
      <c r="K260" s="73" t="inlineStr">
        <is>
          <t>2025-11-17</t>
        </is>
      </c>
      <c r="L260" s="75" t="n">
        <v>565240</v>
      </c>
      <c r="M260" s="73" t="inlineStr">
        <is>
          <t>Platform Implementation (ERP, CRMs)</t>
        </is>
      </c>
      <c r="N260" s="73" t="inlineStr">
        <is>
          <t>Portal</t>
        </is>
      </c>
      <c r="O260" s="73" t="inlineStr">
        <is>
          <t>Jyothsna Nanda kishore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2025-10-27</t>
        </is>
      </c>
      <c r="Z260" s="73" t="inlineStr">
        <is>
          <t>https://app-na2.hubspot.com/contacts/243046792/record/0-3/199601331942</t>
        </is>
      </c>
      <c r="AA260" s="73" t="inlineStr"/>
    </row>
    <row r="261">
      <c r="A261" s="73" t="n">
        <v>260</v>
      </c>
      <c r="B261" s="73" t="inlineStr">
        <is>
          <t>200821172951</t>
        </is>
      </c>
      <c r="C261" s="73" t="inlineStr"/>
      <c r="D261" s="73" t="inlineStr">
        <is>
          <t>Managed IT Services</t>
        </is>
      </c>
      <c r="E261" s="73" t="inlineStr">
        <is>
          <t>Idaho Legal Aid Services</t>
        </is>
      </c>
      <c r="F261" s="73" t="inlineStr">
        <is>
          <t>Idaho</t>
        </is>
      </c>
      <c r="G261" s="73" t="inlineStr">
        <is>
          <t>Closed Lost</t>
        </is>
      </c>
      <c r="H261" s="73" t="inlineStr">
        <is>
          <t>Yes</t>
        </is>
      </c>
      <c r="I261" s="73" t="inlineStr">
        <is>
          <t>Interview</t>
        </is>
      </c>
      <c r="J261" s="73" t="inlineStr">
        <is>
          <t>2025-12-17</t>
        </is>
      </c>
      <c r="K261" s="73" t="inlineStr">
        <is>
          <t>2025-11-14</t>
        </is>
      </c>
      <c r="L261" s="73" t="n"/>
      <c r="M261" s="73" t="inlineStr">
        <is>
          <t>Managed Services (MSP)</t>
        </is>
      </c>
      <c r="N261" s="73" t="inlineStr">
        <is>
          <t>Email</t>
        </is>
      </c>
      <c r="O261" s="73" t="inlineStr">
        <is>
          <t>Ashutosh Chauhan</t>
        </is>
      </c>
      <c r="P261" s="73" t="inlineStr"/>
      <c r="Q261" s="73" t="inlineStr">
        <is>
          <t>2025-11-05</t>
        </is>
      </c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2025-10-28</t>
        </is>
      </c>
      <c r="Z261" s="73" t="inlineStr">
        <is>
          <t>https://app-na2.hubspot.com/contacts/243046792/record/0-3/200821172951</t>
        </is>
      </c>
      <c r="AA261" s="73" t="inlineStr"/>
    </row>
    <row r="262">
      <c r="A262" s="73" t="n">
        <v>261</v>
      </c>
      <c r="B262" s="73" t="inlineStr">
        <is>
          <t>144653136611</t>
        </is>
      </c>
      <c r="C262" s="73" t="inlineStr"/>
      <c r="D262" s="73" t="inlineStr">
        <is>
          <t>Data Solution Design, Build &amp; Implementation, Western Municipal Water District (Western Water)</t>
        </is>
      </c>
      <c r="E262" s="73" t="inlineStr">
        <is>
          <t xml:space="preserve">Western Municipal Water District </t>
        </is>
      </c>
      <c r="F262" s="73" t="inlineStr">
        <is>
          <t>California</t>
        </is>
      </c>
      <c r="G262" s="73" t="inlineStr">
        <is>
          <t>Closed Won</t>
        </is>
      </c>
      <c r="H262" s="73" t="inlineStr"/>
      <c r="I262" s="73" t="inlineStr"/>
      <c r="J262" s="73" t="inlineStr">
        <is>
          <t>2025-12-18</t>
        </is>
      </c>
      <c r="K262" s="73" t="inlineStr">
        <is>
          <t>2025-09-18</t>
        </is>
      </c>
      <c r="L262" s="75" t="n">
        <v>143460</v>
      </c>
      <c r="M262" s="73" t="inlineStr">
        <is>
          <t>Modernization / Migration</t>
        </is>
      </c>
      <c r="N262" s="73" t="inlineStr">
        <is>
          <t>Portal</t>
        </is>
      </c>
      <c r="O262" s="73" t="inlineStr">
        <is>
          <t>Jyothsna Nanda kishore</t>
        </is>
      </c>
      <c r="P262" s="73" t="inlineStr"/>
      <c r="Q262" s="73" t="inlineStr"/>
      <c r="R262" s="73" t="inlineStr"/>
      <c r="S262" s="73" t="inlineStr"/>
      <c r="T262" s="73" t="inlineStr"/>
      <c r="U262" s="73" t="inlineStr">
        <is>
          <t>2025-11-18</t>
        </is>
      </c>
      <c r="V262" s="73" t="inlineStr">
        <is>
          <t>In Process</t>
        </is>
      </c>
      <c r="W262" s="73" t="inlineStr"/>
      <c r="X262" s="73" t="inlineStr"/>
      <c r="Y262" s="73" t="inlineStr">
        <is>
          <t>2025-08-22</t>
        </is>
      </c>
      <c r="Z262" s="73" t="inlineStr">
        <is>
          <t>https://app-na2.hubspot.com/contacts/243046792/record/0-3/144653136611</t>
        </is>
      </c>
      <c r="AA262" s="73" t="inlineStr">
        <is>
          <t>Yes</t>
        </is>
      </c>
    </row>
    <row r="263">
      <c r="A263" s="73" t="n">
        <v>262</v>
      </c>
      <c r="B263" s="73" t="inlineStr">
        <is>
          <t>232557392612</t>
        </is>
      </c>
      <c r="C263" s="73" t="inlineStr"/>
      <c r="D263" s="73" t="inlineStr">
        <is>
          <t>Acquia/Drupal Software Administrator</t>
        </is>
      </c>
      <c r="E263" s="73" t="inlineStr">
        <is>
          <t>New York State Office of the State Comptroller</t>
        </is>
      </c>
      <c r="F263" s="73" t="inlineStr">
        <is>
          <t>New York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2025-12-18</t>
        </is>
      </c>
      <c r="K263" s="73" t="inlineStr">
        <is>
          <t>2025-12-18</t>
        </is>
      </c>
      <c r="L263" s="73" t="n"/>
      <c r="M263" s="73" t="inlineStr">
        <is>
          <t>Platform Implementation (ERP, CRMs)</t>
        </is>
      </c>
      <c r="N263" s="73" t="inlineStr">
        <is>
          <t>Email</t>
        </is>
      </c>
      <c r="O263" s="73" t="inlineStr">
        <is>
          <t>Abhishek Zalani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2025-12-05</t>
        </is>
      </c>
      <c r="Z263" s="73" t="inlineStr">
        <is>
          <t>https://app-na2.hubspot.com/contacts/243046792/record/0-3/232557392612</t>
        </is>
      </c>
      <c r="AA263" s="73" t="inlineStr"/>
    </row>
    <row r="264">
      <c r="A264" s="73" t="n">
        <v>263</v>
      </c>
      <c r="B264" s="73" t="inlineStr">
        <is>
          <t>217571748540</t>
        </is>
      </c>
      <c r="C264" s="73" t="inlineStr"/>
      <c r="D264" s="73" t="inlineStr">
        <is>
          <t>Managed Services Provider for IT Services</t>
        </is>
      </c>
      <c r="E264" s="73" t="inlineStr">
        <is>
          <t>City of St. Joseph</t>
        </is>
      </c>
      <c r="F264" s="73" t="inlineStr">
        <is>
          <t>Michigan</t>
        </is>
      </c>
      <c r="G264" s="73" t="inlineStr">
        <is>
          <t>Interview</t>
        </is>
      </c>
      <c r="H264" s="73" t="inlineStr">
        <is>
          <t>Yes</t>
        </is>
      </c>
      <c r="I264" s="73" t="inlineStr">
        <is>
          <t>Interview</t>
        </is>
      </c>
      <c r="J264" s="73" t="inlineStr">
        <is>
          <t>2025-12-18</t>
        </is>
      </c>
      <c r="K264" s="73" t="inlineStr">
        <is>
          <t>2025-12-15</t>
        </is>
      </c>
      <c r="L264" s="75" t="n">
        <v>321550</v>
      </c>
      <c r="M264" s="73" t="inlineStr">
        <is>
          <t>Managed Services (MSP)</t>
        </is>
      </c>
      <c r="N264" s="73" t="inlineStr">
        <is>
          <t>Offline</t>
        </is>
      </c>
      <c r="O264" s="73" t="inlineStr">
        <is>
          <t>Jyothsna Nanda kishore</t>
        </is>
      </c>
      <c r="P264" s="73" t="inlineStr">
        <is>
          <t>Interview Scheduled</t>
        </is>
      </c>
      <c r="Q264" s="73" t="inlineStr">
        <is>
          <t>2026-02-23</t>
        </is>
      </c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2025-11-13</t>
        </is>
      </c>
      <c r="Z264" s="73" t="inlineStr">
        <is>
          <t>https://app-na2.hubspot.com/contacts/243046792/record/0-3/217571748540</t>
        </is>
      </c>
      <c r="AA264" s="73" t="inlineStr"/>
    </row>
    <row r="265">
      <c r="A265" s="73" t="n">
        <v>264</v>
      </c>
      <c r="B265" s="73" t="inlineStr">
        <is>
          <t>235966047933</t>
        </is>
      </c>
      <c r="C265" s="73" t="inlineStr"/>
      <c r="D265" s="73" t="inlineStr">
        <is>
          <t>Manage Engine Software</t>
        </is>
      </c>
      <c r="E265" s="73" t="inlineStr">
        <is>
          <t>LA County- Internal Services Department</t>
        </is>
      </c>
      <c r="F265" s="73" t="inlineStr"/>
      <c r="G265" s="73" t="inlineStr">
        <is>
          <t>Submitted</t>
        </is>
      </c>
      <c r="H265" s="73" t="inlineStr"/>
      <c r="I265" s="73" t="inlineStr"/>
      <c r="J265" s="73" t="inlineStr">
        <is>
          <t>2025-12-18</t>
        </is>
      </c>
      <c r="K265" s="73" t="inlineStr">
        <is>
          <t>2025-12-18</t>
        </is>
      </c>
      <c r="L265" s="73" t="n"/>
      <c r="M265" s="73" t="inlineStr">
        <is>
          <t>Reseller</t>
        </is>
      </c>
      <c r="N265" s="73" t="inlineStr">
        <is>
          <t>Portal</t>
        </is>
      </c>
      <c r="O265" s="73" t="inlineStr">
        <is>
          <t>Ashutosh Chauhan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2025-12-09</t>
        </is>
      </c>
      <c r="Z265" s="73" t="inlineStr">
        <is>
          <t>https://app-na2.hubspot.com/contacts/243046792/record/0-3/235966047933</t>
        </is>
      </c>
      <c r="AA265" s="73" t="inlineStr"/>
    </row>
    <row r="266">
      <c r="A266" s="73" t="n">
        <v>265</v>
      </c>
      <c r="B266" s="73" t="inlineStr">
        <is>
          <t>235674951390</t>
        </is>
      </c>
      <c r="C266" s="73" t="inlineStr"/>
      <c r="D266" s="73" t="inlineStr">
        <is>
          <t>Oversight Consultant for Implementation of SoftPak Customer Service, Billing and Routing Software for Culver City Sanitation Operations</t>
        </is>
      </c>
      <c r="E266" s="73" t="inlineStr">
        <is>
          <t xml:space="preserve">Culver City </t>
        </is>
      </c>
      <c r="F266" s="73" t="inlineStr">
        <is>
          <t>California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2025-12-18</t>
        </is>
      </c>
      <c r="K266" s="73" t="inlineStr">
        <is>
          <t>2025-12-18</t>
        </is>
      </c>
      <c r="L266" s="73" t="n"/>
      <c r="M266" s="73" t="inlineStr">
        <is>
          <t>Consulting</t>
        </is>
      </c>
      <c r="N266" s="73" t="inlineStr">
        <is>
          <t>Portal</t>
        </is>
      </c>
      <c r="O266" s="73" t="inlineStr">
        <is>
          <t>Ashutosh Chauhan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2025-12-08</t>
        </is>
      </c>
      <c r="Z266" s="73" t="inlineStr">
        <is>
          <t>https://app-na2.hubspot.com/contacts/243046792/record/0-3/235674951390</t>
        </is>
      </c>
      <c r="AA266" s="73" t="inlineStr"/>
    </row>
    <row r="267">
      <c r="A267" s="73" t="n">
        <v>266</v>
      </c>
      <c r="B267" s="73" t="inlineStr">
        <is>
          <t>212696339180</t>
        </is>
      </c>
      <c r="C267" s="73" t="inlineStr">
        <is>
          <t>AI02-26</t>
        </is>
      </c>
      <c r="D267" s="73" t="inlineStr">
        <is>
          <t>AI Consulting Services</t>
        </is>
      </c>
      <c r="E267" s="73" t="inlineStr">
        <is>
          <t>Houston-Galveston Area Council</t>
        </is>
      </c>
      <c r="F267" s="73" t="inlineStr">
        <is>
          <t>Texas</t>
        </is>
      </c>
      <c r="G267" s="73" t="inlineStr">
        <is>
          <t>Submitted</t>
        </is>
      </c>
      <c r="H267" s="73" t="inlineStr"/>
      <c r="I267" s="73" t="inlineStr"/>
      <c r="J267" s="73" t="inlineStr">
        <is>
          <t>2025-12-18</t>
        </is>
      </c>
      <c r="K267" s="73" t="inlineStr">
        <is>
          <t>2025-12-18</t>
        </is>
      </c>
      <c r="L267" s="73" t="n"/>
      <c r="M267" s="73" t="inlineStr">
        <is>
          <t>Consulting;Staff Augmentation</t>
        </is>
      </c>
      <c r="N267" s="73" t="inlineStr">
        <is>
          <t>Portal</t>
        </is>
      </c>
      <c r="O267" s="73" t="inlineStr">
        <is>
          <t>Ashutosh Chauhan</t>
        </is>
      </c>
      <c r="P267" s="73" t="inlineStr"/>
      <c r="Q267" s="73" t="inlineStr"/>
      <c r="R267" s="73" t="inlineStr"/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2025-11-10</t>
        </is>
      </c>
      <c r="Z267" s="73" t="inlineStr">
        <is>
          <t>https://app-na2.hubspot.com/contacts/243046792/record/0-3/212696339180</t>
        </is>
      </c>
      <c r="AA267" s="73" t="inlineStr"/>
    </row>
    <row r="268">
      <c r="A268" s="73" t="n">
        <v>267</v>
      </c>
      <c r="B268" s="73" t="inlineStr">
        <is>
          <t>200821173963</t>
        </is>
      </c>
      <c r="C268" s="73" t="inlineStr"/>
      <c r="D268" s="73" t="inlineStr">
        <is>
          <t>Advisory Services for Digital Records Storage Software</t>
        </is>
      </c>
      <c r="E268" s="73" t="inlineStr">
        <is>
          <t>LIVERMORE-AMADOR VALLEY WATER MANAGEMENT AGENCY</t>
        </is>
      </c>
      <c r="F268" s="73" t="inlineStr">
        <is>
          <t>California</t>
        </is>
      </c>
      <c r="G268" s="73" t="inlineStr">
        <is>
          <t>Closed Lost</t>
        </is>
      </c>
      <c r="H268" s="73" t="inlineStr">
        <is>
          <t>Yes</t>
        </is>
      </c>
      <c r="I268" s="73" t="inlineStr">
        <is>
          <t>Interview</t>
        </is>
      </c>
      <c r="J268" s="73" t="inlineStr">
        <is>
          <t>2025-12-19</t>
        </is>
      </c>
      <c r="K268" s="73" t="inlineStr">
        <is>
          <t>2025-11-21</t>
        </is>
      </c>
      <c r="L268" s="75" t="n">
        <v>39010</v>
      </c>
      <c r="M268" s="73" t="inlineStr">
        <is>
          <t>Consulting</t>
        </is>
      </c>
      <c r="N268" s="73" t="inlineStr"/>
      <c r="O268" s="73" t="inlineStr">
        <is>
          <t>Ashutosh Chauhan</t>
        </is>
      </c>
      <c r="P268" s="73" t="inlineStr"/>
      <c r="Q268" s="73" t="inlineStr">
        <is>
          <t>2025-12-18</t>
        </is>
      </c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2025-10-28</t>
        </is>
      </c>
      <c r="Z268" s="73" t="inlineStr">
        <is>
          <t>https://app-na2.hubspot.com/contacts/243046792/record/0-3/200821173963</t>
        </is>
      </c>
      <c r="AA268" s="73" t="inlineStr"/>
    </row>
    <row r="269">
      <c r="A269" s="73" t="n">
        <v>268</v>
      </c>
      <c r="B269" s="73" t="inlineStr">
        <is>
          <t>235322595062</t>
        </is>
      </c>
      <c r="C269" s="73" t="inlineStr">
        <is>
          <t>25-0196991</t>
        </is>
      </c>
      <c r="D269" s="73" t="inlineStr">
        <is>
          <t>IBM BAWE Software and Support Renewal</t>
        </is>
      </c>
      <c r="E269" s="73" t="inlineStr">
        <is>
          <t>California Department of Technology</t>
        </is>
      </c>
      <c r="F269" s="73" t="inlineStr">
        <is>
          <t>California</t>
        </is>
      </c>
      <c r="G269" s="73" t="inlineStr">
        <is>
          <t>Submitted</t>
        </is>
      </c>
      <c r="H269" s="73" t="inlineStr"/>
      <c r="I269" s="73" t="inlineStr"/>
      <c r="J269" s="73" t="inlineStr">
        <is>
          <t>2025-12-19</t>
        </is>
      </c>
      <c r="K269" s="73" t="inlineStr">
        <is>
          <t>2025-12-19</t>
        </is>
      </c>
      <c r="L269" s="73" t="n"/>
      <c r="M269" s="73" t="inlineStr">
        <is>
          <t>Reseller</t>
        </is>
      </c>
      <c r="N269" s="73" t="inlineStr"/>
      <c r="O269" s="73" t="inlineStr">
        <is>
          <t>Savya Atrey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2025-12-09</t>
        </is>
      </c>
      <c r="Z269" s="73" t="inlineStr">
        <is>
          <t>https://app-na2.hubspot.com/contacts/243046792/record/0-3/235322595062</t>
        </is>
      </c>
      <c r="AA269" s="73" t="inlineStr"/>
    </row>
    <row r="270">
      <c r="A270" s="73" t="n">
        <v>269</v>
      </c>
      <c r="B270" s="73" t="inlineStr">
        <is>
          <t>236125634266</t>
        </is>
      </c>
      <c r="C270" s="73" t="inlineStr"/>
      <c r="D270" s="73" t="inlineStr">
        <is>
          <t>Web Developer</t>
        </is>
      </c>
      <c r="E270" s="73" t="inlineStr">
        <is>
          <t>Cold Climate Housing Research Center</t>
        </is>
      </c>
      <c r="F270" s="73" t="inlineStr">
        <is>
          <t>Alaska</t>
        </is>
      </c>
      <c r="G270" s="73" t="inlineStr">
        <is>
          <t>Submitted</t>
        </is>
      </c>
      <c r="H270" s="73" t="inlineStr"/>
      <c r="I270" s="73" t="inlineStr"/>
      <c r="J270" s="73" t="inlineStr">
        <is>
          <t>2025-12-19</t>
        </is>
      </c>
      <c r="K270" s="73" t="inlineStr">
        <is>
          <t>2025-12-19</t>
        </is>
      </c>
      <c r="L270" s="73" t="n"/>
      <c r="M270" s="73" t="inlineStr">
        <is>
          <t>Platform Implementation (ERP, CRMs)</t>
        </is>
      </c>
      <c r="N270" s="73" t="inlineStr"/>
      <c r="O270" s="73" t="inlineStr">
        <is>
          <t>Savya Atrey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2025-12-09</t>
        </is>
      </c>
      <c r="Z270" s="73" t="inlineStr">
        <is>
          <t>https://app-na2.hubspot.com/contacts/243046792/record/0-3/236125634266</t>
        </is>
      </c>
      <c r="AA270" s="73" t="inlineStr"/>
    </row>
    <row r="271">
      <c r="A271" s="73" t="n">
        <v>270</v>
      </c>
      <c r="B271" s="73" t="inlineStr">
        <is>
          <t>216640722662</t>
        </is>
      </c>
      <c r="C271" s="73" t="inlineStr"/>
      <c r="D271" s="73" t="inlineStr">
        <is>
          <t>Digital Communications - Enterprise Email and SMS Marketing</t>
        </is>
      </c>
      <c r="E271" s="73" t="inlineStr">
        <is>
          <t>Oakland County</t>
        </is>
      </c>
      <c r="F271" s="73" t="inlineStr"/>
      <c r="G271" s="73" t="inlineStr">
        <is>
          <t>Submitted</t>
        </is>
      </c>
      <c r="H271" s="73" t="inlineStr"/>
      <c r="I271" s="73" t="inlineStr"/>
      <c r="J271" s="73" t="inlineStr">
        <is>
          <t>2025-12-23</t>
        </is>
      </c>
      <c r="K271" s="73" t="inlineStr">
        <is>
          <t>2025-12-23</t>
        </is>
      </c>
      <c r="L271" s="73" t="n"/>
      <c r="M271" s="73" t="inlineStr">
        <is>
          <t>Reseller</t>
        </is>
      </c>
      <c r="N271" s="73" t="inlineStr">
        <is>
          <t>Portal</t>
        </is>
      </c>
      <c r="O271" s="73" t="inlineStr">
        <is>
          <t>Jyothsna Nanda kishore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2025-11-12</t>
        </is>
      </c>
      <c r="Z271" s="73" t="inlineStr">
        <is>
          <t>https://app-na2.hubspot.com/contacts/243046792/record/0-3/216640722662</t>
        </is>
      </c>
      <c r="AA271" s="73" t="inlineStr"/>
    </row>
    <row r="272">
      <c r="A272" s="73" t="n">
        <v>271</v>
      </c>
      <c r="B272" s="73" t="inlineStr">
        <is>
          <t>235608146621</t>
        </is>
      </c>
      <c r="C272" s="73" t="inlineStr"/>
      <c r="D272" s="73" t="inlineStr">
        <is>
          <t>OFF: Migration of Wahkiakum County fromMicrosoft Office 365 Commercial to Microsoft Office 365 Government CommunityCloud</t>
        </is>
      </c>
      <c r="E272" s="73" t="inlineStr">
        <is>
          <t>Wahkiakum County</t>
        </is>
      </c>
      <c r="F272" s="73" t="inlineStr">
        <is>
          <t>Washington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2025-12-23</t>
        </is>
      </c>
      <c r="K272" s="73" t="inlineStr">
        <is>
          <t>2025-12-23</t>
        </is>
      </c>
      <c r="L272" s="73" t="n"/>
      <c r="M272" s="73" t="inlineStr">
        <is>
          <t>Modernization / Migration</t>
        </is>
      </c>
      <c r="N272" s="73" t="inlineStr">
        <is>
          <t>Offline</t>
        </is>
      </c>
      <c r="O272" s="73" t="inlineStr">
        <is>
          <t>Ashutosh Chauhan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2025-12-09</t>
        </is>
      </c>
      <c r="Z272" s="73" t="inlineStr">
        <is>
          <t>https://app-na2.hubspot.com/contacts/243046792/record/0-3/235608146621</t>
        </is>
      </c>
      <c r="AA272" s="73" t="inlineStr"/>
    </row>
    <row r="273">
      <c r="A273" s="73" t="n">
        <v>272</v>
      </c>
      <c r="B273" s="73" t="inlineStr">
        <is>
          <t>232534113012</t>
        </is>
      </c>
      <c r="C273" s="73" t="inlineStr"/>
      <c r="D273" s="73" t="inlineStr">
        <is>
          <t>Constituent Relationship Management (CRM) System for the North Dakota Office of the Governor</t>
        </is>
      </c>
      <c r="E273" s="73" t="inlineStr">
        <is>
          <t>Office of Management and Budget Facilities Division</t>
        </is>
      </c>
      <c r="F273" s="73" t="inlineStr">
        <is>
          <t>North Dakota</t>
        </is>
      </c>
      <c r="G273" s="73" t="inlineStr">
        <is>
          <t>Interview</t>
        </is>
      </c>
      <c r="H273" s="73" t="inlineStr">
        <is>
          <t>Yes</t>
        </is>
      </c>
      <c r="I273" s="73" t="inlineStr">
        <is>
          <t>BAFO</t>
        </is>
      </c>
      <c r="J273" s="73" t="inlineStr">
        <is>
          <t>2025-12-23</t>
        </is>
      </c>
      <c r="K273" s="73" t="inlineStr">
        <is>
          <t>2025-12-23</t>
        </is>
      </c>
      <c r="L273" s="73" t="n"/>
      <c r="M273" s="73" t="inlineStr">
        <is>
          <t>Platform Implementation (ERP, CRMs)</t>
        </is>
      </c>
      <c r="N273" s="73" t="inlineStr">
        <is>
          <t>Portal</t>
        </is>
      </c>
      <c r="O273" s="73" t="inlineStr">
        <is>
          <t>Jyothsna Nanda kishore</t>
        </is>
      </c>
      <c r="P273" s="73" t="inlineStr">
        <is>
          <t>BAFO</t>
        </is>
      </c>
      <c r="Q273" s="73" t="inlineStr"/>
      <c r="R273" s="73" t="inlineStr">
        <is>
          <t>2026-01-22</t>
        </is>
      </c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2025-12-04</t>
        </is>
      </c>
      <c r="Z273" s="73" t="inlineStr">
        <is>
          <t>https://app-na2.hubspot.com/contacts/243046792/record/0-3/232534113012</t>
        </is>
      </c>
      <c r="AA273" s="73" t="inlineStr"/>
    </row>
    <row r="274">
      <c r="A274" s="73" t="n">
        <v>273</v>
      </c>
      <c r="B274" s="73" t="inlineStr">
        <is>
          <t>231822297828</t>
        </is>
      </c>
      <c r="C274" s="73" t="inlineStr"/>
      <c r="D274" s="73" t="inlineStr">
        <is>
          <t>Technology Managed Service Provider</t>
        </is>
      </c>
      <c r="E274" s="73" t="inlineStr">
        <is>
          <t xml:space="preserve">City of Two Rivers </t>
        </is>
      </c>
      <c r="F274" s="73" t="inlineStr">
        <is>
          <t>Wisconsin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2025-12-23</t>
        </is>
      </c>
      <c r="K274" s="73" t="inlineStr">
        <is>
          <t>2025-12-23</t>
        </is>
      </c>
      <c r="L274" s="73" t="n"/>
      <c r="M274" s="73" t="inlineStr">
        <is>
          <t>Managed Services (MSP)</t>
        </is>
      </c>
      <c r="N274" s="73" t="inlineStr">
        <is>
          <t>Email</t>
        </is>
      </c>
      <c r="O274" s="73" t="inlineStr">
        <is>
          <t>Ashutosh Chauhan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2025-12-02</t>
        </is>
      </c>
      <c r="Z274" s="73" t="inlineStr">
        <is>
          <t>https://app-na2.hubspot.com/contacts/243046792/record/0-3/231822297828</t>
        </is>
      </c>
      <c r="AA274" s="73" t="inlineStr"/>
    </row>
    <row r="275">
      <c r="A275" s="73" t="n">
        <v>274</v>
      </c>
      <c r="B275" s="73" t="inlineStr">
        <is>
          <t>212696340201</t>
        </is>
      </c>
      <c r="C275" s="73" t="inlineStr"/>
      <c r="D275" s="73" t="inlineStr">
        <is>
          <t>Data Science Services</t>
        </is>
      </c>
      <c r="E275" s="73" t="inlineStr">
        <is>
          <t>District of Columbia Public Charter School Board</t>
        </is>
      </c>
      <c r="F275" s="73" t="inlineStr">
        <is>
          <t>DC</t>
        </is>
      </c>
      <c r="G275" s="73" t="inlineStr">
        <is>
          <t>Closed Lost</t>
        </is>
      </c>
      <c r="H275" s="73" t="inlineStr"/>
      <c r="I275" s="73" t="inlineStr"/>
      <c r="J275" s="73" t="inlineStr">
        <is>
          <t>2025-12-23</t>
        </is>
      </c>
      <c r="K275" s="73" t="inlineStr">
        <is>
          <t>2025-11-26</t>
        </is>
      </c>
      <c r="L275" s="75" t="n">
        <v>93600</v>
      </c>
      <c r="M275" s="73" t="inlineStr">
        <is>
          <t>Staff Augmentation</t>
        </is>
      </c>
      <c r="N275" s="73" t="inlineStr"/>
      <c r="O275" s="73" t="inlineStr">
        <is>
          <t>Ashutosh Chauhan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2025-11-10</t>
        </is>
      </c>
      <c r="Z275" s="73" t="inlineStr">
        <is>
          <t>https://app-na2.hubspot.com/contacts/243046792/record/0-3/212696340201</t>
        </is>
      </c>
      <c r="AA275" s="73" t="inlineStr"/>
    </row>
    <row r="276">
      <c r="A276" s="73" t="n">
        <v>275</v>
      </c>
      <c r="B276" s="73" t="inlineStr">
        <is>
          <t>211157798649</t>
        </is>
      </c>
      <c r="C276" s="73" t="inlineStr"/>
      <c r="D276" s="73" t="inlineStr">
        <is>
          <t>Data Analytics Engineering services for PostgreSQL databases hosted on AWS</t>
        </is>
      </c>
      <c r="E276" s="73" t="inlineStr">
        <is>
          <t>District of Columbia Public Charter School Board</t>
        </is>
      </c>
      <c r="F276" s="73" t="inlineStr">
        <is>
          <t>DC</t>
        </is>
      </c>
      <c r="G276" s="73" t="inlineStr">
        <is>
          <t>Closed Lost</t>
        </is>
      </c>
      <c r="H276" s="73" t="inlineStr"/>
      <c r="I276" s="73" t="inlineStr"/>
      <c r="J276" s="73" t="inlineStr">
        <is>
          <t>2025-12-23</t>
        </is>
      </c>
      <c r="K276" s="73" t="inlineStr">
        <is>
          <t>2025-11-26</t>
        </is>
      </c>
      <c r="L276" s="75" t="n">
        <v>100800</v>
      </c>
      <c r="M276" s="73" t="inlineStr">
        <is>
          <t>Staff Augmentation</t>
        </is>
      </c>
      <c r="N276" s="73" t="inlineStr"/>
      <c r="O276" s="73" t="inlineStr">
        <is>
          <t>Ashutosh Chauhan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2025-11-05</t>
        </is>
      </c>
      <c r="Z276" s="73" t="inlineStr">
        <is>
          <t>https://app-na2.hubspot.com/contacts/243046792/record/0-3/211157798649</t>
        </is>
      </c>
      <c r="AA276" s="73" t="inlineStr"/>
    </row>
    <row r="277">
      <c r="A277" s="73" t="n">
        <v>276</v>
      </c>
      <c r="B277" s="73" t="inlineStr">
        <is>
          <t>235831772894</t>
        </is>
      </c>
      <c r="C277" s="73" t="inlineStr"/>
      <c r="D277" s="73" t="inlineStr">
        <is>
          <t>Citywide Technology Master Plan</t>
        </is>
      </c>
      <c r="E277" s="73" t="inlineStr">
        <is>
          <t xml:space="preserve">City of Lake Forest </t>
        </is>
      </c>
      <c r="F277" s="73" t="inlineStr">
        <is>
          <t>California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2025-12-24</t>
        </is>
      </c>
      <c r="K277" s="73" t="inlineStr">
        <is>
          <t>2025-12-24</t>
        </is>
      </c>
      <c r="L277" s="73" t="n"/>
      <c r="M277" s="73" t="inlineStr">
        <is>
          <t>Support &amp; Maintenance</t>
        </is>
      </c>
      <c r="N277" s="73" t="inlineStr">
        <is>
          <t>Portal</t>
        </is>
      </c>
      <c r="O277" s="73" t="inlineStr">
        <is>
          <t>Ashutosh Chauhan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2025-12-08</t>
        </is>
      </c>
      <c r="Z277" s="73" t="inlineStr">
        <is>
          <t>https://app-na2.hubspot.com/contacts/243046792/record/0-3/235831772894</t>
        </is>
      </c>
      <c r="AA277" s="73" t="inlineStr"/>
    </row>
    <row r="278">
      <c r="A278" s="73" t="n">
        <v>277</v>
      </c>
      <c r="B278" s="73" t="inlineStr">
        <is>
          <t>222282809035</t>
        </is>
      </c>
      <c r="C278" s="73" t="inlineStr"/>
      <c r="D278" s="73" t="inlineStr">
        <is>
          <t>Augmented Staff - Mobile App Developer</t>
        </is>
      </c>
      <c r="E278" s="73" t="inlineStr">
        <is>
          <t>Montana Department of Fish Wildlife and Parks</t>
        </is>
      </c>
      <c r="F278" s="73" t="inlineStr">
        <is>
          <t>Montana</t>
        </is>
      </c>
      <c r="G278" s="73" t="inlineStr">
        <is>
          <t>RFx Cancelled</t>
        </is>
      </c>
      <c r="H278" s="73" t="inlineStr"/>
      <c r="I278" s="73" t="inlineStr"/>
      <c r="J278" s="73" t="inlineStr">
        <is>
          <t>2025-12-29</t>
        </is>
      </c>
      <c r="K278" s="73" t="inlineStr">
        <is>
          <t>2025-12-29</t>
        </is>
      </c>
      <c r="L278" s="75" t="n">
        <v>142500</v>
      </c>
      <c r="M278" s="73" t="inlineStr">
        <is>
          <t>Staff Augmentation</t>
        </is>
      </c>
      <c r="N278" s="73" t="inlineStr"/>
      <c r="O278" s="73" t="inlineStr">
        <is>
          <t>Ashutosh Chauhan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2025-11-18</t>
        </is>
      </c>
      <c r="Z278" s="73" t="inlineStr">
        <is>
          <t>https://app-na2.hubspot.com/contacts/243046792/record/0-3/222282809035</t>
        </is>
      </c>
      <c r="AA278" s="73" t="inlineStr"/>
    </row>
    <row r="279">
      <c r="A279" s="73" t="n">
        <v>278</v>
      </c>
      <c r="B279" s="73" t="inlineStr">
        <is>
          <t>235608145596</t>
        </is>
      </c>
      <c r="C279" s="73" t="inlineStr">
        <is>
          <t>K26-0033-25</t>
        </is>
      </c>
      <c r="D279" s="73" t="inlineStr">
        <is>
          <t>People’s Law Library Website Hosting, Maintenance &amp; Support Services</t>
        </is>
      </c>
      <c r="E279" s="73" t="inlineStr">
        <is>
          <t>The Administrative Office of the Courts (AOC)</t>
        </is>
      </c>
      <c r="F279" s="73" t="inlineStr"/>
      <c r="G279" s="73" t="inlineStr">
        <is>
          <t>Submitted</t>
        </is>
      </c>
      <c r="H279" s="73" t="inlineStr"/>
      <c r="I279" s="73" t="inlineStr"/>
      <c r="J279" s="73" t="inlineStr">
        <is>
          <t>2025-12-30</t>
        </is>
      </c>
      <c r="K279" s="73" t="inlineStr">
        <is>
          <t>2025-12-30</t>
        </is>
      </c>
      <c r="L279" s="73" t="n"/>
      <c r="M279" s="73" t="inlineStr">
        <is>
          <t>Consulting</t>
        </is>
      </c>
      <c r="N279" s="73" t="inlineStr"/>
      <c r="O279" s="73" t="inlineStr">
        <is>
          <t>Savya Atrey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2025-12-09</t>
        </is>
      </c>
      <c r="Z279" s="73" t="inlineStr">
        <is>
          <t>https://app-na2.hubspot.com/contacts/243046792/record/0-3/235608145596</t>
        </is>
      </c>
      <c r="AA279" s="73" t="inlineStr"/>
    </row>
    <row r="280">
      <c r="A280" s="73" t="n">
        <v>279</v>
      </c>
      <c r="B280" s="73" t="inlineStr">
        <is>
          <t>237430447853</t>
        </is>
      </c>
      <c r="C280" s="73" t="inlineStr"/>
      <c r="D280" s="73" t="inlineStr">
        <is>
          <t>Procurement of Office 365 Licensing &amp; Migration Services</t>
        </is>
      </c>
      <c r="E280" s="73" t="inlineStr">
        <is>
          <t>Township of North Burnswick</t>
        </is>
      </c>
      <c r="F280" s="73" t="inlineStr">
        <is>
          <t>New Jersey</t>
        </is>
      </c>
      <c r="G280" s="73" t="inlineStr">
        <is>
          <t>Submitted</t>
        </is>
      </c>
      <c r="H280" s="73" t="inlineStr"/>
      <c r="I280" s="73" t="inlineStr"/>
      <c r="J280" s="73" t="inlineStr">
        <is>
          <t>2025-12-30</t>
        </is>
      </c>
      <c r="K280" s="73" t="inlineStr">
        <is>
          <t>2025-12-30</t>
        </is>
      </c>
      <c r="L280" s="73" t="n"/>
      <c r="M280" s="73" t="inlineStr">
        <is>
          <t>Modernization / Migration</t>
        </is>
      </c>
      <c r="N280" s="73" t="inlineStr">
        <is>
          <t>Portal</t>
        </is>
      </c>
      <c r="O280" s="73" t="inlineStr">
        <is>
          <t>Abhishek Zalani</t>
        </is>
      </c>
      <c r="P280" s="73" t="inlineStr"/>
      <c r="Q280" s="73" t="inlineStr"/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2025-12-11</t>
        </is>
      </c>
      <c r="Z280" s="73" t="inlineStr">
        <is>
          <t>https://app-na2.hubspot.com/contacts/243046792/record/0-3/237430447853</t>
        </is>
      </c>
      <c r="AA280" s="73" t="inlineStr"/>
    </row>
    <row r="281">
      <c r="A281" s="73" t="n">
        <v>280</v>
      </c>
      <c r="B281" s="73" t="inlineStr">
        <is>
          <t>235322596041</t>
        </is>
      </c>
      <c r="C281" s="73" t="inlineStr"/>
      <c r="D281" s="73" t="inlineStr">
        <is>
          <t>Information Technology Managed Services</t>
        </is>
      </c>
      <c r="E281" s="73" t="inlineStr">
        <is>
          <t>Otero County [NM]</t>
        </is>
      </c>
      <c r="F281" s="73" t="inlineStr"/>
      <c r="G281" s="73" t="inlineStr">
        <is>
          <t>Submitted</t>
        </is>
      </c>
      <c r="H281" s="73" t="inlineStr"/>
      <c r="I281" s="73" t="inlineStr"/>
      <c r="J281" s="73" t="inlineStr">
        <is>
          <t>2025-12-30</t>
        </is>
      </c>
      <c r="K281" s="73" t="inlineStr">
        <is>
          <t>2025-12-30</t>
        </is>
      </c>
      <c r="L281" s="73" t="n"/>
      <c r="M281" s="73" t="inlineStr">
        <is>
          <t>Managed Services (MSP)</t>
        </is>
      </c>
      <c r="N281" s="73" t="inlineStr"/>
      <c r="O281" s="73" t="inlineStr">
        <is>
          <t>Abhishek Zalani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2025-12-09</t>
        </is>
      </c>
      <c r="Z281" s="73" t="inlineStr">
        <is>
          <t>https://app-na2.hubspot.com/contacts/243046792/record/0-3/235322596041</t>
        </is>
      </c>
      <c r="AA281" s="73" t="inlineStr"/>
    </row>
    <row r="282">
      <c r="A282" s="73" t="n">
        <v>281</v>
      </c>
      <c r="B282" s="73" t="inlineStr">
        <is>
          <t>241574127318</t>
        </is>
      </c>
      <c r="C282" s="73" t="inlineStr"/>
      <c r="D282" s="73" t="inlineStr">
        <is>
          <t>Offline - IT Administrative Services</t>
        </is>
      </c>
      <c r="E282" s="73" t="inlineStr">
        <is>
          <t>City of Moberly</t>
        </is>
      </c>
      <c r="F282" s="73" t="inlineStr">
        <is>
          <t>Missouri</t>
        </is>
      </c>
      <c r="G282" s="73" t="inlineStr">
        <is>
          <t>Submitted</t>
        </is>
      </c>
      <c r="H282" s="73" t="inlineStr"/>
      <c r="I282" s="73" t="inlineStr"/>
      <c r="J282" s="73" t="inlineStr">
        <is>
          <t>2025-12-30</t>
        </is>
      </c>
      <c r="K282" s="73" t="inlineStr">
        <is>
          <t>2025-12-22</t>
        </is>
      </c>
      <c r="L282" s="73" t="n"/>
      <c r="M282" s="73" t="inlineStr">
        <is>
          <t>Managed Services (MSP)</t>
        </is>
      </c>
      <c r="N282" s="73" t="inlineStr"/>
      <c r="O282" s="73" t="inlineStr">
        <is>
          <t>Abhishek Zalani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2025-12-17</t>
        </is>
      </c>
      <c r="Z282" s="73" t="inlineStr">
        <is>
          <t>https://app-na2.hubspot.com/contacts/243046792/record/0-3/241574127318</t>
        </is>
      </c>
      <c r="AA282" s="73" t="inlineStr"/>
    </row>
    <row r="283">
      <c r="A283" s="73" t="n">
        <v>282</v>
      </c>
      <c r="B283" s="73" t="inlineStr">
        <is>
          <t>235966048969</t>
        </is>
      </c>
      <c r="C283" s="73" t="inlineStr">
        <is>
          <t xml:space="preserve"> SDBOR11242025</t>
        </is>
      </c>
      <c r="D283" s="73" t="inlineStr">
        <is>
          <t>Offline - COMPREHENSIVE IT REVIEW</t>
        </is>
      </c>
      <c r="E283" s="73" t="inlineStr">
        <is>
          <t>South Dakota Board of Regents</t>
        </is>
      </c>
      <c r="F283" s="73" t="inlineStr">
        <is>
          <t>South Dakota</t>
        </is>
      </c>
      <c r="G283" s="73" t="inlineStr">
        <is>
          <t>Submitted</t>
        </is>
      </c>
      <c r="H283" s="73" t="inlineStr"/>
      <c r="I283" s="73" t="inlineStr"/>
      <c r="J283" s="73" t="inlineStr">
        <is>
          <t>2025-12-31</t>
        </is>
      </c>
      <c r="K283" s="73" t="inlineStr">
        <is>
          <t>2025-12-26</t>
        </is>
      </c>
      <c r="L283" s="73" t="n"/>
      <c r="M283" s="73" t="inlineStr">
        <is>
          <t>Managed Services (MSP)</t>
        </is>
      </c>
      <c r="N283" s="73" t="inlineStr"/>
      <c r="O283" s="73" t="inlineStr">
        <is>
          <t>Savya Atrey</t>
        </is>
      </c>
      <c r="P283" s="73" t="inlineStr"/>
      <c r="Q283" s="73" t="inlineStr"/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https://app-na2.hubspot.com/contacts/243046792/record/0-3/235966048969</t>
        </is>
      </c>
      <c r="AA283" s="73" t="inlineStr"/>
    </row>
    <row r="284">
      <c r="A284" s="73" t="n">
        <v>283</v>
      </c>
      <c r="B284" s="73" t="inlineStr">
        <is>
          <t>246132198107</t>
        </is>
      </c>
      <c r="C284" s="73" t="inlineStr">
        <is>
          <t>BD-26-1133-1133C-1133L-123446</t>
        </is>
      </c>
      <c r="D284" s="73" t="inlineStr">
        <is>
          <t>Managed Information Technology (IT) Services</t>
        </is>
      </c>
      <c r="E284" s="73" t="inlineStr">
        <is>
          <t>Brookline Housing Authority</t>
        </is>
      </c>
      <c r="F284" s="73" t="inlineStr">
        <is>
          <t>Massachusetts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2026-01-02</t>
        </is>
      </c>
      <c r="K284" s="73" t="inlineStr">
        <is>
          <t>2026-01-02</t>
        </is>
      </c>
      <c r="L284" s="73" t="n"/>
      <c r="M284" s="73" t="inlineStr">
        <is>
          <t>Managed Services (MSP)</t>
        </is>
      </c>
      <c r="N284" s="73" t="inlineStr"/>
      <c r="O284" s="73" t="inlineStr">
        <is>
          <t>Savya Atrey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2025-12-22</t>
        </is>
      </c>
      <c r="Z284" s="73" t="inlineStr">
        <is>
          <t>https://app-na2.hubspot.com/contacts/243046792/record/0-3/246132198107</t>
        </is>
      </c>
      <c r="AA284" s="73" t="inlineStr"/>
    </row>
    <row r="285">
      <c r="A285" s="73" t="n">
        <v>284</v>
      </c>
      <c r="B285" s="73" t="inlineStr">
        <is>
          <t>246130760440</t>
        </is>
      </c>
      <c r="C285" s="73" t="inlineStr"/>
      <c r="D285" s="73" t="inlineStr">
        <is>
          <t>Information Technology Service &amp; Support (Offline)</t>
        </is>
      </c>
      <c r="E285" s="73" t="inlineStr">
        <is>
          <t>Braxton County Commission</t>
        </is>
      </c>
      <c r="F285" s="73" t="inlineStr">
        <is>
          <t>West Virginia</t>
        </is>
      </c>
      <c r="G285" s="73" t="inlineStr">
        <is>
          <t>Submitted</t>
        </is>
      </c>
      <c r="H285" s="73" t="inlineStr"/>
      <c r="I285" s="73" t="inlineStr"/>
      <c r="J285" s="73" t="inlineStr">
        <is>
          <t>2026-01-02</t>
        </is>
      </c>
      <c r="K285" s="73" t="inlineStr">
        <is>
          <t>2025-12-24</t>
        </is>
      </c>
      <c r="L285" s="75" t="n">
        <v>14400</v>
      </c>
      <c r="M285" s="73" t="inlineStr">
        <is>
          <t>Managed Services (MSP)</t>
        </is>
      </c>
      <c r="N285" s="73" t="inlineStr">
        <is>
          <t>Offline</t>
        </is>
      </c>
      <c r="O285" s="73" t="inlineStr">
        <is>
          <t>Abhishek Zalani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2025-12-22</t>
        </is>
      </c>
      <c r="Z285" s="73" t="inlineStr">
        <is>
          <t>https://app-na2.hubspot.com/contacts/243046792/record/0-3/246130760440</t>
        </is>
      </c>
      <c r="AA285" s="73" t="inlineStr"/>
    </row>
    <row r="286">
      <c r="A286" s="73" t="n">
        <v>285</v>
      </c>
      <c r="B286" s="73" t="inlineStr">
        <is>
          <t>232531954396</t>
        </is>
      </c>
      <c r="C286" s="73" t="inlineStr"/>
      <c r="D286" s="73" t="inlineStr">
        <is>
          <t>Ryan White IT Consulting Services</t>
        </is>
      </c>
      <c r="E286" s="73" t="inlineStr">
        <is>
          <t>Maricopa County</t>
        </is>
      </c>
      <c r="F286" s="73" t="inlineStr">
        <is>
          <t>Arizona</t>
        </is>
      </c>
      <c r="G286" s="73" t="inlineStr">
        <is>
          <t>RFx Cancelled</t>
        </is>
      </c>
      <c r="H286" s="73" t="inlineStr"/>
      <c r="I286" s="73" t="inlineStr"/>
      <c r="J286" s="73" t="inlineStr">
        <is>
          <t>2026-01-05</t>
        </is>
      </c>
      <c r="K286" s="73" t="inlineStr">
        <is>
          <t>2025-12-22</t>
        </is>
      </c>
      <c r="L286" s="75" t="n">
        <v>199200</v>
      </c>
      <c r="M286" s="73" t="inlineStr">
        <is>
          <t>Consulting</t>
        </is>
      </c>
      <c r="N286" s="73" t="inlineStr">
        <is>
          <t>Portal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2025-12-04</t>
        </is>
      </c>
      <c r="Z286" s="73" t="inlineStr">
        <is>
          <t>https://app-na2.hubspot.com/contacts/243046792/record/0-3/232531954396</t>
        </is>
      </c>
      <c r="AA286" s="73" t="inlineStr"/>
    </row>
    <row r="287">
      <c r="A287" s="73" t="n">
        <v>286</v>
      </c>
      <c r="B287" s="73" t="inlineStr">
        <is>
          <t>181172761324</t>
        </is>
      </c>
      <c r="C287" s="73" t="inlineStr"/>
      <c r="D287" s="73" t="inlineStr">
        <is>
          <t>Constituent Services Mobile Application and Supporting Components and Services</t>
        </is>
      </c>
      <c r="E287" s="73" t="inlineStr">
        <is>
          <t>Office of State Procurement</t>
        </is>
      </c>
      <c r="F287" s="73" t="inlineStr">
        <is>
          <t>Arkansas</t>
        </is>
      </c>
      <c r="G287" s="73" t="inlineStr">
        <is>
          <t>Closed Lost</t>
        </is>
      </c>
      <c r="H287" s="73" t="inlineStr">
        <is>
          <t>Yes</t>
        </is>
      </c>
      <c r="I287" s="73" t="inlineStr">
        <is>
          <t>Interview</t>
        </is>
      </c>
      <c r="J287" s="73" t="inlineStr">
        <is>
          <t>2026-01-05</t>
        </is>
      </c>
      <c r="K287" s="73" t="inlineStr">
        <is>
          <t>2025-11-07</t>
        </is>
      </c>
      <c r="L287" s="75" t="n">
        <v>1500000</v>
      </c>
      <c r="M287" s="73" t="inlineStr">
        <is>
          <t>Modernization / Migration</t>
        </is>
      </c>
      <c r="N287" s="73" t="inlineStr"/>
      <c r="O287" s="73" t="inlineStr">
        <is>
          <t>Ashutosh Chauhan</t>
        </is>
      </c>
      <c r="P287" s="73" t="inlineStr">
        <is>
          <t>Interview Scheduled</t>
        </is>
      </c>
      <c r="Q287" s="73" t="inlineStr">
        <is>
          <t>2025-11-19</t>
        </is>
      </c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2025-10-08</t>
        </is>
      </c>
      <c r="Z287" s="73" t="inlineStr">
        <is>
          <t>https://app-na2.hubspot.com/contacts/243046792/record/0-3/181172761324</t>
        </is>
      </c>
      <c r="AA287" s="73" t="inlineStr"/>
    </row>
    <row r="288">
      <c r="A288" s="73" t="n">
        <v>287</v>
      </c>
      <c r="B288" s="73" t="inlineStr">
        <is>
          <t>235966047977</t>
        </is>
      </c>
      <c r="C288" s="73" t="inlineStr"/>
      <c r="D288" s="73" t="inlineStr">
        <is>
          <t>I.T. STAFF AUGMENTATION SERVICES</t>
        </is>
      </c>
      <c r="E288" s="73" t="inlineStr">
        <is>
          <t>Buffalo Public Schools</t>
        </is>
      </c>
      <c r="F288" s="73" t="inlineStr">
        <is>
          <t>New York</t>
        </is>
      </c>
      <c r="G288" s="73" t="inlineStr">
        <is>
          <t>Interview</t>
        </is>
      </c>
      <c r="H288" s="73" t="inlineStr">
        <is>
          <t>Yes</t>
        </is>
      </c>
      <c r="I288" s="73" t="inlineStr">
        <is>
          <t>Interview</t>
        </is>
      </c>
      <c r="J288" s="73" t="inlineStr">
        <is>
          <t>2026-01-05</t>
        </is>
      </c>
      <c r="K288" s="73" t="inlineStr">
        <is>
          <t>2026-01-05</t>
        </is>
      </c>
      <c r="L288" s="73" t="n"/>
      <c r="M288" s="73" t="inlineStr">
        <is>
          <t>Staff Augmentation</t>
        </is>
      </c>
      <c r="N288" s="73" t="inlineStr">
        <is>
          <t>Portal</t>
        </is>
      </c>
      <c r="O288" s="73" t="inlineStr">
        <is>
          <t>Ashutosh Chauhan</t>
        </is>
      </c>
      <c r="P288" s="73" t="inlineStr"/>
      <c r="Q288" s="73" t="inlineStr">
        <is>
          <t>2026-01-26</t>
        </is>
      </c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2025-12-09</t>
        </is>
      </c>
      <c r="Z288" s="73" t="inlineStr">
        <is>
          <t>https://app-na2.hubspot.com/contacts/243046792/record/0-3/235966047977</t>
        </is>
      </c>
      <c r="AA288" s="73" t="inlineStr"/>
    </row>
    <row r="289">
      <c r="A289" s="73" t="n">
        <v>288</v>
      </c>
      <c r="B289" s="73" t="inlineStr">
        <is>
          <t>218429303540</t>
        </is>
      </c>
      <c r="C289" s="73" t="inlineStr"/>
      <c r="D289" s="73" t="inlineStr">
        <is>
          <t xml:space="preserve">PROFESSIONAL SERVICES </t>
        </is>
      </c>
      <c r="E289" s="73" t="inlineStr">
        <is>
          <t>Manchester Township</t>
        </is>
      </c>
      <c r="F289" s="73" t="inlineStr">
        <is>
          <t>New Jersey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2026-01-05</t>
        </is>
      </c>
      <c r="K289" s="73" t="inlineStr">
        <is>
          <t>2025-11-26</t>
        </is>
      </c>
      <c r="L289" s="73" t="n"/>
      <c r="M289" s="73" t="inlineStr">
        <is>
          <t>Managed Services (MSP)</t>
        </is>
      </c>
      <c r="N289" s="73" t="inlineStr">
        <is>
          <t>Portal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2025-11-13</t>
        </is>
      </c>
      <c r="Z289" s="73" t="inlineStr">
        <is>
          <t>https://app-na2.hubspot.com/contacts/243046792/record/0-3/218429303540</t>
        </is>
      </c>
      <c r="AA289" s="73" t="inlineStr"/>
    </row>
    <row r="290">
      <c r="A290" s="73" t="n">
        <v>289</v>
      </c>
      <c r="B290" s="73" t="inlineStr">
        <is>
          <t>167226780372</t>
        </is>
      </c>
      <c r="C290" s="73" t="inlineStr"/>
      <c r="D290" s="73" t="inlineStr">
        <is>
          <t xml:space="preserve">Security Awareness Training &amp; Phishing Simulation Software / Services		</t>
        </is>
      </c>
      <c r="E290" s="73" t="inlineStr">
        <is>
          <t>CPS Energy</t>
        </is>
      </c>
      <c r="F290" s="73" t="inlineStr">
        <is>
          <t>Texas</t>
        </is>
      </c>
      <c r="G290" s="73" t="inlineStr">
        <is>
          <t>RFx Cancelled</t>
        </is>
      </c>
      <c r="H290" s="73" t="inlineStr"/>
      <c r="I290" s="73" t="inlineStr"/>
      <c r="J290" s="73" t="inlineStr">
        <is>
          <t>2026-01-06</t>
        </is>
      </c>
      <c r="K290" s="73" t="inlineStr">
        <is>
          <t>2025-10-15</t>
        </is>
      </c>
      <c r="L290" s="75" t="n">
        <v>10000</v>
      </c>
      <c r="M290" s="73" t="inlineStr">
        <is>
          <t>Managed Services (MSP);Training</t>
        </is>
      </c>
      <c r="N290" s="73" t="inlineStr">
        <is>
          <t>Portal</t>
        </is>
      </c>
      <c r="O290" s="73" t="inlineStr">
        <is>
          <t>Ashutosh Chauhan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2025-09-22</t>
        </is>
      </c>
      <c r="Z290" s="73" t="inlineStr">
        <is>
          <t>https://app-na2.hubspot.com/contacts/243046792/record/0-3/167226780372</t>
        </is>
      </c>
      <c r="AA290" s="73" t="inlineStr"/>
    </row>
    <row r="291">
      <c r="A291" s="73" t="n">
        <v>290</v>
      </c>
      <c r="B291" s="73" t="inlineStr">
        <is>
          <t>236125634243</t>
        </is>
      </c>
      <c r="C291" s="73" t="inlineStr"/>
      <c r="D291" s="73" t="inlineStr">
        <is>
          <t>Salesforce Implementation Partner</t>
        </is>
      </c>
      <c r="E291" s="73" t="inlineStr">
        <is>
          <t xml:space="preserve">St. Vrain Valley School District </t>
        </is>
      </c>
      <c r="F291" s="73" t="inlineStr">
        <is>
          <t>Colorado</t>
        </is>
      </c>
      <c r="G291" s="73" t="inlineStr">
        <is>
          <t>Interview</t>
        </is>
      </c>
      <c r="H291" s="73" t="inlineStr">
        <is>
          <t>Yes</t>
        </is>
      </c>
      <c r="I291" s="73" t="inlineStr">
        <is>
          <t>Interview</t>
        </is>
      </c>
      <c r="J291" s="73" t="inlineStr">
        <is>
          <t>2026-01-06</t>
        </is>
      </c>
      <c r="K291" s="73" t="inlineStr">
        <is>
          <t>2026-01-06</t>
        </is>
      </c>
      <c r="L291" s="73" t="n"/>
      <c r="M291" s="73" t="inlineStr">
        <is>
          <t>Consulting</t>
        </is>
      </c>
      <c r="N291" s="73" t="inlineStr">
        <is>
          <t>Portal</t>
        </is>
      </c>
      <c r="O291" s="73" t="inlineStr">
        <is>
          <t>Ashutosh Chauhan</t>
        </is>
      </c>
      <c r="P291" s="73" t="inlineStr"/>
      <c r="Q291" s="73" t="inlineStr">
        <is>
          <t>2026-02-02</t>
        </is>
      </c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2025-12-09</t>
        </is>
      </c>
      <c r="Z291" s="73" t="inlineStr">
        <is>
          <t>https://app-na2.hubspot.com/contacts/243046792/record/0-3/236125634243</t>
        </is>
      </c>
      <c r="AA291" s="73" t="inlineStr"/>
    </row>
    <row r="292">
      <c r="A292" s="73" t="n">
        <v>291</v>
      </c>
      <c r="B292" s="73" t="inlineStr">
        <is>
          <t>204633036493</t>
        </is>
      </c>
      <c r="C292" s="73" t="inlineStr"/>
      <c r="D292" s="73" t="inlineStr">
        <is>
          <t>IT Professional Services</t>
        </is>
      </c>
      <c r="E292" s="73" t="inlineStr">
        <is>
          <t>EdgeMarket NJ</t>
        </is>
      </c>
      <c r="F292" s="73" t="inlineStr">
        <is>
          <t>New Jersey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2026-01-06</t>
        </is>
      </c>
      <c r="K292" s="73" t="inlineStr">
        <is>
          <t>2026-01-06</t>
        </is>
      </c>
      <c r="L292" s="73" t="n"/>
      <c r="M292" s="73" t="inlineStr">
        <is>
          <t>Managed Services (MSP);Staff Augmentation</t>
        </is>
      </c>
      <c r="N292" s="73" t="inlineStr">
        <is>
          <t>Portal</t>
        </is>
      </c>
      <c r="O292" s="73" t="inlineStr">
        <is>
          <t>Ashutosh Chauhan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2025-10-30</t>
        </is>
      </c>
      <c r="Z292" s="73" t="inlineStr">
        <is>
          <t>https://app-na2.hubspot.com/contacts/243046792/record/0-3/204633036493</t>
        </is>
      </c>
      <c r="AA292" s="73" t="inlineStr"/>
    </row>
    <row r="293">
      <c r="A293" s="73" t="n">
        <v>292</v>
      </c>
      <c r="B293" s="73" t="inlineStr">
        <is>
          <t>255418647276</t>
        </is>
      </c>
      <c r="C293" s="73" t="inlineStr"/>
      <c r="D293" s="73" t="inlineStr">
        <is>
          <t>Data Dashboard Design, Implementation, and Infrastructure Support</t>
        </is>
      </c>
      <c r="E293" s="73" t="inlineStr">
        <is>
          <t>Colorado Charter School Institute</t>
        </is>
      </c>
      <c r="F293" s="73" t="inlineStr">
        <is>
          <t>Colorado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2026-01-07</t>
        </is>
      </c>
      <c r="K293" s="73" t="inlineStr">
        <is>
          <t>2026-01-07</t>
        </is>
      </c>
      <c r="L293" s="75" t="n">
        <v>20500</v>
      </c>
      <c r="M293" s="73" t="inlineStr">
        <is>
          <t>Managed Services (MSP)</t>
        </is>
      </c>
      <c r="N293" s="73" t="inlineStr">
        <is>
          <t>Email</t>
        </is>
      </c>
      <c r="O293" s="73" t="inlineStr">
        <is>
          <t>Savya Atrey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2026-01-06</t>
        </is>
      </c>
      <c r="Z293" s="73" t="inlineStr">
        <is>
          <t>https://app-na2.hubspot.com/contacts/243046792/record/0-3/255418647276</t>
        </is>
      </c>
      <c r="AA293" s="73" t="inlineStr"/>
    </row>
    <row r="294">
      <c r="A294" s="73" t="n">
        <v>293</v>
      </c>
      <c r="B294" s="73" t="inlineStr">
        <is>
          <t>231574633162</t>
        </is>
      </c>
      <c r="C294" s="73" t="inlineStr"/>
      <c r="D294" s="73" t="inlineStr">
        <is>
          <t>Information Technology Support Services</t>
        </is>
      </c>
      <c r="E294" s="73" t="inlineStr">
        <is>
          <t>Borough of Wanaque</t>
        </is>
      </c>
      <c r="F294" s="73" t="inlineStr">
        <is>
          <t>New Jersey</t>
        </is>
      </c>
      <c r="G294" s="73" t="inlineStr">
        <is>
          <t>Closed Lost</t>
        </is>
      </c>
      <c r="H294" s="73" t="inlineStr"/>
      <c r="I294" s="73" t="inlineStr"/>
      <c r="J294" s="73" t="inlineStr">
        <is>
          <t>2026-01-07</t>
        </is>
      </c>
      <c r="K294" s="73" t="inlineStr">
        <is>
          <t>2025-12-15</t>
        </is>
      </c>
      <c r="L294" s="73" t="n"/>
      <c r="M294" s="73" t="inlineStr">
        <is>
          <t>Support &amp; Maintenance</t>
        </is>
      </c>
      <c r="N294" s="73" t="inlineStr">
        <is>
          <t>Offline</t>
        </is>
      </c>
      <c r="O294" s="73" t="inlineStr">
        <is>
          <t>Jyothsna Nanda kishore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2025-12-02</t>
        </is>
      </c>
      <c r="Z294" s="73" t="inlineStr">
        <is>
          <t>https://app-na2.hubspot.com/contacts/243046792/record/0-3/231574633162</t>
        </is>
      </c>
      <c r="AA294" s="73" t="inlineStr"/>
    </row>
    <row r="295">
      <c r="A295" s="73" t="n">
        <v>294</v>
      </c>
      <c r="B295" s="73" t="inlineStr">
        <is>
          <t>201946444510</t>
        </is>
      </c>
      <c r="C295" s="73" t="inlineStr"/>
      <c r="D295" s="73" t="inlineStr">
        <is>
          <t>Information Technology System Services</t>
        </is>
      </c>
      <c r="E295" s="73" t="inlineStr">
        <is>
          <t>City of South Amboy</t>
        </is>
      </c>
      <c r="F295" s="73" t="inlineStr">
        <is>
          <t>New Jersey</t>
        </is>
      </c>
      <c r="G295" s="73" t="inlineStr">
        <is>
          <t>Closed Lost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2025-12-09</t>
        </is>
      </c>
      <c r="L295" s="73" t="n"/>
      <c r="M295" s="73" t="inlineStr">
        <is>
          <t>Managed Services (MSP)</t>
        </is>
      </c>
      <c r="N295" s="73" t="inlineStr">
        <is>
          <t>Offline</t>
        </is>
      </c>
      <c r="O295" s="73" t="inlineStr">
        <is>
          <t>Jyothsna Nanda kishore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2025-10-28</t>
        </is>
      </c>
      <c r="Z295" s="73" t="inlineStr">
        <is>
          <t>https://app-na2.hubspot.com/contacts/243046792/record/0-3/201946444510</t>
        </is>
      </c>
      <c r="AA295" s="73" t="inlineStr"/>
    </row>
    <row r="296">
      <c r="A296" s="73" t="n">
        <v>295</v>
      </c>
      <c r="B296" s="73" t="inlineStr">
        <is>
          <t>209641963219</t>
        </is>
      </c>
      <c r="C296" s="73" t="inlineStr"/>
      <c r="D296" s="73" t="inlineStr">
        <is>
          <t>OGC Case Management Solution</t>
        </is>
      </c>
      <c r="E296" s="73" t="inlineStr">
        <is>
          <t>Commonwealth of Pennsylvania</t>
        </is>
      </c>
      <c r="F296" s="73" t="inlineStr">
        <is>
          <t>Pennsylvania</t>
        </is>
      </c>
      <c r="G296" s="73" t="inlineStr">
        <is>
          <t>RFx Cancelled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2025-12-09</t>
        </is>
      </c>
      <c r="L296" s="73" t="n"/>
      <c r="M296" s="73" t="inlineStr">
        <is>
          <t>Platform Implementation (ERP, CRMs)</t>
        </is>
      </c>
      <c r="N296" s="73" t="inlineStr"/>
      <c r="O296" s="73" t="inlineStr">
        <is>
          <t>Jyothsna Nanda kishore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2025-11-03</t>
        </is>
      </c>
      <c r="Z296" s="73" t="inlineStr">
        <is>
          <t>https://app-na2.hubspot.com/contacts/243046792/record/0-3/209641963219</t>
        </is>
      </c>
      <c r="AA296" s="73" t="inlineStr"/>
    </row>
    <row r="297">
      <c r="A297" s="73" t="n">
        <v>296</v>
      </c>
      <c r="B297" s="73" t="inlineStr">
        <is>
          <t>183378332367</t>
        </is>
      </c>
      <c r="C297" s="73" t="inlineStr">
        <is>
          <t>CM25-02</t>
        </is>
      </c>
      <c r="D297" s="73" t="inlineStr">
        <is>
          <t>Information Technology Managed Services</t>
        </is>
      </c>
      <c r="E297" s="73" t="inlineStr">
        <is>
          <t>City of South Pasadena</t>
        </is>
      </c>
      <c r="F297" s="73" t="inlineStr">
        <is>
          <t>California</t>
        </is>
      </c>
      <c r="G297" s="73" t="inlineStr">
        <is>
          <t>Closed Lost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2025-11-13</t>
        </is>
      </c>
      <c r="L297" s="75" t="n">
        <v>303870</v>
      </c>
      <c r="M297" s="73" t="inlineStr">
        <is>
          <t>Managed Services (MSP)</t>
        </is>
      </c>
      <c r="N297" s="73" t="inlineStr">
        <is>
          <t>Portal</t>
        </is>
      </c>
      <c r="O297" s="73" t="inlineStr">
        <is>
          <t>Jyothsna Nanda kishore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2025-10-10</t>
        </is>
      </c>
      <c r="Z297" s="73" t="inlineStr">
        <is>
          <t>https://app-na2.hubspot.com/contacts/243046792/record/0-3/183378332367</t>
        </is>
      </c>
      <c r="AA297" s="73" t="inlineStr"/>
    </row>
    <row r="298">
      <c r="A298" s="73" t="n">
        <v>297</v>
      </c>
      <c r="B298" s="73" t="inlineStr">
        <is>
          <t>178776968952</t>
        </is>
      </c>
      <c r="C298" s="73" t="inlineStr">
        <is>
          <t>P25002</t>
        </is>
      </c>
      <c r="D298" s="73" t="inlineStr">
        <is>
          <t xml:space="preserve">IT Services </t>
        </is>
      </c>
      <c r="E298" s="73" t="inlineStr">
        <is>
          <t>Peoria Housing Authority</t>
        </is>
      </c>
      <c r="F298" s="73" t="inlineStr">
        <is>
          <t>Illinois</t>
        </is>
      </c>
      <c r="G298" s="73" t="inlineStr">
        <is>
          <t>Closed Lost</t>
        </is>
      </c>
      <c r="H298" s="73" t="inlineStr"/>
      <c r="I298" s="73" t="inlineStr"/>
      <c r="J298" s="73" t="inlineStr">
        <is>
          <t>2026-01-08</t>
        </is>
      </c>
      <c r="K298" s="73" t="inlineStr">
        <is>
          <t>2025-10-29</t>
        </is>
      </c>
      <c r="L298" s="75" t="n">
        <v>297000</v>
      </c>
      <c r="M298" s="73" t="inlineStr">
        <is>
          <t>Managed Services (MSP)</t>
        </is>
      </c>
      <c r="N298" s="73" t="inlineStr">
        <is>
          <t>Offline</t>
        </is>
      </c>
      <c r="O298" s="73" t="inlineStr">
        <is>
          <t>Jyothsna Nanda kishore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2025-10-06</t>
        </is>
      </c>
      <c r="Z298" s="73" t="inlineStr">
        <is>
          <t>https://app-na2.hubspot.com/contacts/243046792/record/0-3/178776968952</t>
        </is>
      </c>
      <c r="AA298" s="73" t="inlineStr"/>
    </row>
    <row r="299">
      <c r="A299" s="73" t="n">
        <v>298</v>
      </c>
      <c r="B299" s="73" t="inlineStr">
        <is>
          <t>239542726388</t>
        </is>
      </c>
      <c r="C299" s="73" t="inlineStr">
        <is>
          <t>#010826</t>
        </is>
      </c>
      <c r="D299" s="73" t="inlineStr">
        <is>
          <t>IT Managed Workforce and Staff Augmentation Solutions</t>
        </is>
      </c>
      <c r="E299" s="73" t="inlineStr">
        <is>
          <t>Sourcewell</t>
        </is>
      </c>
      <c r="F299" s="73" t="inlineStr">
        <is>
          <t>Minnesota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2026-01-08</t>
        </is>
      </c>
      <c r="K299" s="73" t="inlineStr">
        <is>
          <t>2026-01-08</t>
        </is>
      </c>
      <c r="L299" s="73" t="n"/>
      <c r="M299" s="73" t="inlineStr">
        <is>
          <t>Staff Augmentation</t>
        </is>
      </c>
      <c r="N299" s="73" t="inlineStr">
        <is>
          <t>Portal</t>
        </is>
      </c>
      <c r="O299" s="73" t="inlineStr">
        <is>
          <t>Jyothsna Nanda kishore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2025-12-17</t>
        </is>
      </c>
      <c r="Z299" s="73" t="inlineStr">
        <is>
          <t>https://app-na2.hubspot.com/contacts/243046792/record/0-3/239542726388</t>
        </is>
      </c>
      <c r="AA299" s="73" t="inlineStr"/>
    </row>
    <row r="300">
      <c r="A300" s="73" t="n">
        <v>299</v>
      </c>
      <c r="B300" s="73" t="inlineStr">
        <is>
          <t>256863942350</t>
        </is>
      </c>
      <c r="C300" s="73" t="inlineStr">
        <is>
          <t>RFQ No. R5-2023-77-0034</t>
        </is>
      </c>
      <c r="D300" s="73" t="inlineStr">
        <is>
          <t xml:space="preserve">Network Monitoring </t>
        </is>
      </c>
      <c r="E300" s="73" t="inlineStr">
        <is>
          <t>Coldwater City and Coldwater Board of Public Utilities (CBPU)</t>
        </is>
      </c>
      <c r="F300" s="73" t="inlineStr"/>
      <c r="G300" s="73" t="inlineStr">
        <is>
          <t>Submitted</t>
        </is>
      </c>
      <c r="H300" s="73" t="inlineStr"/>
      <c r="I300" s="73" t="inlineStr"/>
      <c r="J300" s="73" t="inlineStr">
        <is>
          <t>2026-01-08</t>
        </is>
      </c>
      <c r="K300" s="73" t="inlineStr">
        <is>
          <t>2026-01-08</t>
        </is>
      </c>
      <c r="L300" s="75" t="n">
        <v>170000</v>
      </c>
      <c r="M300" s="73" t="inlineStr">
        <is>
          <t>Consulting</t>
        </is>
      </c>
      <c r="N300" s="73" t="inlineStr">
        <is>
          <t>Email</t>
        </is>
      </c>
      <c r="O300" s="73" t="inlineStr">
        <is>
          <t>Savya Atrey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2026-01-08</t>
        </is>
      </c>
      <c r="Z300" s="73" t="inlineStr">
        <is>
          <t>https://app-na2.hubspot.com/contacts/243046792/record/0-3/256863942350</t>
        </is>
      </c>
      <c r="AA300" s="73" t="inlineStr"/>
    </row>
    <row r="301">
      <c r="A301" s="73" t="n">
        <v>300</v>
      </c>
      <c r="B301" s="73" t="inlineStr">
        <is>
          <t>222282864324</t>
        </is>
      </c>
      <c r="C301" s="73" t="inlineStr">
        <is>
          <t>2025-043</t>
        </is>
      </c>
      <c r="D301" s="73" t="inlineStr">
        <is>
          <t>ERP Modernization</t>
        </is>
      </c>
      <c r="E301" s="73" t="inlineStr">
        <is>
          <t>Portland Public Schools School District</t>
        </is>
      </c>
      <c r="F301" s="73" t="inlineStr">
        <is>
          <t>Oregon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2026-01-08</t>
        </is>
      </c>
      <c r="K301" s="73" t="inlineStr">
        <is>
          <t>2026-01-08</t>
        </is>
      </c>
      <c r="L301" s="73" t="n"/>
      <c r="M301" s="73" t="inlineStr">
        <is>
          <t>Platform Implementation (ERP, CRMs)</t>
        </is>
      </c>
      <c r="N301" s="73" t="inlineStr"/>
      <c r="O301" s="73" t="inlineStr">
        <is>
          <t>Jyothsna Nanda kishore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2025-11-19</t>
        </is>
      </c>
      <c r="Z301" s="73" t="inlineStr">
        <is>
          <t>https://app-na2.hubspot.com/contacts/243046792/record/0-3/222282864324</t>
        </is>
      </c>
      <c r="AA301" s="73" t="inlineStr"/>
    </row>
    <row r="302">
      <c r="A302" s="73" t="n">
        <v>301</v>
      </c>
      <c r="B302" s="73" t="inlineStr">
        <is>
          <t>250428612338</t>
        </is>
      </c>
      <c r="C302" s="73" t="inlineStr"/>
      <c r="D302" s="73" t="inlineStr">
        <is>
          <t>offline - INFORMATION TECHNOLOGY SERVICES</t>
        </is>
      </c>
      <c r="E302" s="73" t="inlineStr">
        <is>
          <t xml:space="preserve">CITY OF SUMMIT POLICE DEPARTMENT </t>
        </is>
      </c>
      <c r="F302" s="73" t="inlineStr">
        <is>
          <t>New Jersey</t>
        </is>
      </c>
      <c r="G302" s="73" t="inlineStr">
        <is>
          <t>Submitted</t>
        </is>
      </c>
      <c r="H302" s="73" t="inlineStr"/>
      <c r="I302" s="73" t="inlineStr"/>
      <c r="J302" s="73" t="inlineStr">
        <is>
          <t>2026-01-08</t>
        </is>
      </c>
      <c r="K302" s="73" t="inlineStr">
        <is>
          <t>2026-01-07</t>
        </is>
      </c>
      <c r="L302" s="73" t="n"/>
      <c r="M302" s="73" t="inlineStr">
        <is>
          <t>Managed Services (MSP)</t>
        </is>
      </c>
      <c r="N302" s="73" t="inlineStr">
        <is>
          <t>Offline</t>
        </is>
      </c>
      <c r="O302" s="73" t="inlineStr">
        <is>
          <t>Abhishek Zalani</t>
        </is>
      </c>
      <c r="P302" s="73" t="inlineStr"/>
      <c r="Q302" s="73" t="inlineStr"/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2025-12-30</t>
        </is>
      </c>
      <c r="Z302" s="73" t="inlineStr">
        <is>
          <t>https://app-na2.hubspot.com/contacts/243046792/record/0-3/250428612338</t>
        </is>
      </c>
      <c r="AA302" s="73" t="inlineStr"/>
    </row>
    <row r="303">
      <c r="A303" s="73" t="n">
        <v>302</v>
      </c>
      <c r="B303" s="73" t="inlineStr">
        <is>
          <t>238644854496</t>
        </is>
      </c>
      <c r="C303" s="73" t="inlineStr"/>
      <c r="D303" s="73" t="inlineStr">
        <is>
          <t>Document Management System</t>
        </is>
      </c>
      <c r="E303" s="73" t="inlineStr">
        <is>
          <t>Mid-Continent Public Library</t>
        </is>
      </c>
      <c r="F303" s="73" t="inlineStr">
        <is>
          <t>Missouri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2026-01-08</t>
        </is>
      </c>
      <c r="K303" s="73" t="inlineStr">
        <is>
          <t>2026-01-08</t>
        </is>
      </c>
      <c r="L303" s="73" t="n"/>
      <c r="M303" s="73" t="inlineStr">
        <is>
          <t>Platform Implementation (ERP, CRMs)</t>
        </is>
      </c>
      <c r="N303" s="73" t="inlineStr">
        <is>
          <t>Email</t>
        </is>
      </c>
      <c r="O303" s="73" t="inlineStr">
        <is>
          <t>Jyothsna Nanda kishore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2025-12-18</t>
        </is>
      </c>
      <c r="Z303" s="73" t="inlineStr">
        <is>
          <t>https://app-na2.hubspot.com/contacts/243046792/record/0-3/238644854496</t>
        </is>
      </c>
      <c r="AA303" s="73" t="inlineStr"/>
    </row>
    <row r="304">
      <c r="A304" s="73" t="n">
        <v>303</v>
      </c>
      <c r="B304" s="73" t="inlineStr">
        <is>
          <t>246132200170</t>
        </is>
      </c>
      <c r="C304" s="73" t="inlineStr"/>
      <c r="D304" s="73" t="inlineStr">
        <is>
          <t>Cybersecurity Assessments (18-Month Engagement)</t>
        </is>
      </c>
      <c r="E304" s="73" t="inlineStr">
        <is>
          <t>Coldwater City and Coldwater Board of Public Utilities (CBPU)</t>
        </is>
      </c>
      <c r="F304" s="73" t="inlineStr"/>
      <c r="G304" s="73" t="inlineStr">
        <is>
          <t>Submitted</t>
        </is>
      </c>
      <c r="H304" s="73" t="inlineStr"/>
      <c r="I304" s="73" t="inlineStr"/>
      <c r="J304" s="73" t="inlineStr">
        <is>
          <t>2026-01-08</t>
        </is>
      </c>
      <c r="K304" s="73" t="inlineStr">
        <is>
          <t>2026-01-08</t>
        </is>
      </c>
      <c r="L304" s="73" t="n"/>
      <c r="M304" s="73" t="inlineStr">
        <is>
          <t>Audits and Assessment</t>
        </is>
      </c>
      <c r="N304" s="73" t="inlineStr">
        <is>
          <t>Email</t>
        </is>
      </c>
      <c r="O304" s="73" t="inlineStr">
        <is>
          <t>Ashutosh Chauhan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2025-12-22</t>
        </is>
      </c>
      <c r="Z304" s="73" t="inlineStr">
        <is>
          <t>https://app-na2.hubspot.com/contacts/243046792/record/0-3/246132200170</t>
        </is>
      </c>
      <c r="AA304" s="73" t="inlineStr"/>
    </row>
    <row r="305">
      <c r="A305" s="73" t="n">
        <v>304</v>
      </c>
      <c r="B305" s="73" t="inlineStr">
        <is>
          <t>163704495811</t>
        </is>
      </c>
      <c r="C305" s="73" t="inlineStr"/>
      <c r="D305" s="73" t="inlineStr">
        <is>
          <t>IT Infrastructure Assessment Study</t>
        </is>
      </c>
      <c r="E305" s="73" t="inlineStr">
        <is>
          <t>BLOOMINGTON PUBLIC TRANSPORTATION CORPORATION</t>
        </is>
      </c>
      <c r="F305" s="73" t="inlineStr">
        <is>
          <t>Indiana</t>
        </is>
      </c>
      <c r="G305" s="73" t="inlineStr">
        <is>
          <t>Closed Lost</t>
        </is>
      </c>
      <c r="H305" s="73" t="inlineStr"/>
      <c r="I305" s="73" t="inlineStr"/>
      <c r="J305" s="73" t="inlineStr">
        <is>
          <t>2026-01-08</t>
        </is>
      </c>
      <c r="K305" s="73" t="inlineStr">
        <is>
          <t>2025-10-10</t>
        </is>
      </c>
      <c r="L305" s="75" t="n">
        <v>48300</v>
      </c>
      <c r="M305" s="73" t="inlineStr">
        <is>
          <t>Audits and Assessment</t>
        </is>
      </c>
      <c r="N305" s="73" t="inlineStr">
        <is>
          <t>Portal</t>
        </is>
      </c>
      <c r="O305" s="73" t="inlineStr">
        <is>
          <t>Ashutosh Chauhan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2025-09-18</t>
        </is>
      </c>
      <c r="Z305" s="73" t="inlineStr">
        <is>
          <t>https://app-na2.hubspot.com/contacts/243046792/record/0-3/163704495811</t>
        </is>
      </c>
      <c r="AA305" s="73" t="inlineStr"/>
    </row>
    <row r="306">
      <c r="A306" s="73" t="n">
        <v>305</v>
      </c>
      <c r="B306" s="73" t="inlineStr">
        <is>
          <t>140837167831</t>
        </is>
      </c>
      <c r="C306" s="73" t="inlineStr">
        <is>
          <t xml:space="preserve"> PCS25-004RFP</t>
        </is>
      </c>
      <c r="D306" s="73" t="inlineStr">
        <is>
          <t>Workday Student Implementation Project Support Portland Community College</t>
        </is>
      </c>
      <c r="E306" s="73" t="inlineStr">
        <is>
          <t>Portland Community College</t>
        </is>
      </c>
      <c r="F306" s="73" t="inlineStr">
        <is>
          <t>Oregon</t>
        </is>
      </c>
      <c r="G306" s="73" t="inlineStr">
        <is>
          <t>RFx Cancelled</t>
        </is>
      </c>
      <c r="H306" s="73" t="inlineStr"/>
      <c r="I306" s="73" t="inlineStr"/>
      <c r="J306" s="73" t="inlineStr">
        <is>
          <t>2026-01-09</t>
        </is>
      </c>
      <c r="K306" s="73" t="inlineStr">
        <is>
          <t>2025-09-05</t>
        </is>
      </c>
      <c r="L306" s="75" t="n">
        <v>278144</v>
      </c>
      <c r="M306" s="73" t="inlineStr">
        <is>
          <t>Platform Implementation (ERP, CRMs)</t>
        </is>
      </c>
      <c r="N306" s="73" t="inlineStr">
        <is>
          <t>Portal</t>
        </is>
      </c>
      <c r="O306" s="73" t="inlineStr">
        <is>
          <t>Jyothsna Nanda kishore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2025-08-12</t>
        </is>
      </c>
      <c r="Z306" s="73" t="inlineStr">
        <is>
          <t>https://app-na2.hubspot.com/contacts/243046792/record/0-3/140837167831</t>
        </is>
      </c>
      <c r="AA306" s="73" t="inlineStr"/>
    </row>
    <row r="307">
      <c r="A307" s="73" t="n">
        <v>306</v>
      </c>
      <c r="B307" s="73" t="inlineStr">
        <is>
          <t>253070242519</t>
        </is>
      </c>
      <c r="C307" s="73" t="inlineStr">
        <is>
          <t>25-RFP-11</t>
        </is>
      </c>
      <c r="D307" s="73" t="inlineStr">
        <is>
          <t>CUSTOM APPLICATION DEVELOPMENT CONSULTING AND DATABASE SUPPORT CONSULTING</t>
        </is>
      </c>
      <c r="E307" s="73" t="inlineStr">
        <is>
          <t>Metropolitan Water Reclamation District of Greater Chicago</t>
        </is>
      </c>
      <c r="F307" s="73" t="inlineStr">
        <is>
          <t>Illinois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2026-01-09</t>
        </is>
      </c>
      <c r="K307" s="73" t="inlineStr">
        <is>
          <t>2026-01-09</t>
        </is>
      </c>
      <c r="L307" s="73" t="n"/>
      <c r="M307" s="73" t="inlineStr">
        <is>
          <t>Consulting</t>
        </is>
      </c>
      <c r="N307" s="73" t="inlineStr"/>
      <c r="O307" s="73" t="inlineStr">
        <is>
          <t>Ashutosh Chauhan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2026-01-06</t>
        </is>
      </c>
      <c r="Z307" s="73" t="inlineStr">
        <is>
          <t>https://app-na2.hubspot.com/contacts/243046792/record/0-3/253070242519</t>
        </is>
      </c>
      <c r="AA307" s="73" t="inlineStr"/>
    </row>
    <row r="308">
      <c r="A308" s="73" t="n">
        <v>307</v>
      </c>
      <c r="B308" s="73" t="inlineStr">
        <is>
          <t>246130761424</t>
        </is>
      </c>
      <c r="C308" s="73" t="inlineStr"/>
      <c r="D308" s="73" t="inlineStr">
        <is>
          <t>offline - Cybersecurity Professional Services</t>
        </is>
      </c>
      <c r="E308" s="73" t="inlineStr">
        <is>
          <t>Rogers Water Utilities</t>
        </is>
      </c>
      <c r="F308" s="73" t="inlineStr">
        <is>
          <t>Arkansas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2026-01-09</t>
        </is>
      </c>
      <c r="K308" s="73" t="inlineStr">
        <is>
          <t>2026-01-09</t>
        </is>
      </c>
      <c r="L308" s="73" t="n"/>
      <c r="M308" s="73" t="inlineStr">
        <is>
          <t>Consulting</t>
        </is>
      </c>
      <c r="N308" s="73" t="inlineStr">
        <is>
          <t>Offline</t>
        </is>
      </c>
      <c r="O308" s="73" t="inlineStr">
        <is>
          <t>Abhishek Zalani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2025-12-22</t>
        </is>
      </c>
      <c r="Z308" s="73" t="inlineStr">
        <is>
          <t>https://app-na2.hubspot.com/contacts/243046792/record/0-3/246130761424</t>
        </is>
      </c>
      <c r="AA308" s="73" t="inlineStr"/>
    </row>
    <row r="309">
      <c r="A309" s="73" t="n">
        <v>308</v>
      </c>
      <c r="B309" s="73" t="inlineStr">
        <is>
          <t>245622153945</t>
        </is>
      </c>
      <c r="C309" s="73" t="inlineStr"/>
      <c r="D309" s="73" t="inlineStr">
        <is>
          <t>I.T. SUPPORT AND CONSULTING SERVICES</t>
        </is>
      </c>
      <c r="E309" s="73" t="inlineStr">
        <is>
          <t>City of Ozark</t>
        </is>
      </c>
      <c r="F309" s="73" t="inlineStr">
        <is>
          <t>Missouri</t>
        </is>
      </c>
      <c r="G309" s="73" t="inlineStr">
        <is>
          <t>Submitted</t>
        </is>
      </c>
      <c r="H309" s="73" t="inlineStr"/>
      <c r="I309" s="73" t="inlineStr"/>
      <c r="J309" s="73" t="inlineStr">
        <is>
          <t>2026-01-09</t>
        </is>
      </c>
      <c r="K309" s="73" t="inlineStr">
        <is>
          <t>2026-01-08</t>
        </is>
      </c>
      <c r="L309" s="73" t="n"/>
      <c r="M309" s="73" t="inlineStr">
        <is>
          <t>Staff Augmentation</t>
        </is>
      </c>
      <c r="N309" s="73" t="inlineStr">
        <is>
          <t>Offline</t>
        </is>
      </c>
      <c r="O309" s="73" t="inlineStr">
        <is>
          <t>Abhishek Zalani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2025-12-22</t>
        </is>
      </c>
      <c r="Z309" s="73" t="inlineStr">
        <is>
          <t>https://app-na2.hubspot.com/contacts/243046792/record/0-3/245622153945</t>
        </is>
      </c>
      <c r="AA309" s="73" t="inlineStr"/>
    </row>
    <row r="310">
      <c r="A310" s="73" t="n">
        <v>309</v>
      </c>
      <c r="B310" s="73" t="inlineStr">
        <is>
          <t>241574891197</t>
        </is>
      </c>
      <c r="C310" s="73" t="inlineStr"/>
      <c r="D310" s="73" t="inlineStr">
        <is>
          <t>IT Infrastructure Assessment</t>
        </is>
      </c>
      <c r="E310" s="73" t="inlineStr">
        <is>
          <t>NorthWest Senior and Disability Services</t>
        </is>
      </c>
      <c r="F310" s="73" t="inlineStr">
        <is>
          <t>Oregon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2026-01-09</t>
        </is>
      </c>
      <c r="K310" s="73" t="inlineStr">
        <is>
          <t>2026-01-09</t>
        </is>
      </c>
      <c r="L310" s="73" t="n"/>
      <c r="M310" s="73" t="inlineStr">
        <is>
          <t>Consulting;Modernization / Migration</t>
        </is>
      </c>
      <c r="N310" s="73" t="inlineStr">
        <is>
          <t>Email</t>
        </is>
      </c>
      <c r="O310" s="73" t="inlineStr">
        <is>
          <t>Jyothsna Nanda kishore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2025-12-18</t>
        </is>
      </c>
      <c r="Z310" s="73" t="inlineStr">
        <is>
          <t>https://app-na2.hubspot.com/contacts/243046792/record/0-3/241574891197</t>
        </is>
      </c>
      <c r="AA310" s="73" t="inlineStr"/>
    </row>
    <row r="311">
      <c r="A311" s="73" t="n">
        <v>310</v>
      </c>
      <c r="B311" s="73" t="inlineStr">
        <is>
          <t>221442127549</t>
        </is>
      </c>
      <c r="C311" s="73" t="inlineStr"/>
      <c r="D311" s="73" t="inlineStr">
        <is>
          <t>On-site ITIL 4 Training Services</t>
        </is>
      </c>
      <c r="E311" s="73" t="inlineStr">
        <is>
          <t>Virginia IT Agency</t>
        </is>
      </c>
      <c r="F311" s="73" t="inlineStr"/>
      <c r="G311" s="73" t="inlineStr">
        <is>
          <t>Closed Lost</t>
        </is>
      </c>
      <c r="H311" s="73" t="inlineStr">
        <is>
          <t>Yes</t>
        </is>
      </c>
      <c r="I311" s="73" t="inlineStr">
        <is>
          <t>Interview</t>
        </is>
      </c>
      <c r="J311" s="73" t="inlineStr">
        <is>
          <t>2026-01-12</t>
        </is>
      </c>
      <c r="K311" s="73" t="inlineStr">
        <is>
          <t>2025-11-20</t>
        </is>
      </c>
      <c r="L311" s="73" t="n"/>
      <c r="M311" s="73" t="inlineStr">
        <is>
          <t>Training</t>
        </is>
      </c>
      <c r="N311" s="73" t="inlineStr">
        <is>
          <t>Email</t>
        </is>
      </c>
      <c r="O311" s="73" t="inlineStr">
        <is>
          <t>Jyothsna Nanda kishore</t>
        </is>
      </c>
      <c r="P311" s="73" t="inlineStr"/>
      <c r="Q311" s="73" t="inlineStr">
        <is>
          <t>2025-12-16</t>
        </is>
      </c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2025-11-17</t>
        </is>
      </c>
      <c r="Z311" s="73" t="inlineStr">
        <is>
          <t>https://app-na2.hubspot.com/contacts/243046792/record/0-3/221442127549</t>
        </is>
      </c>
      <c r="AA311" s="73" t="inlineStr"/>
    </row>
    <row r="312">
      <c r="A312" s="73" t="n">
        <v>311</v>
      </c>
      <c r="B312" s="73" t="inlineStr">
        <is>
          <t>246132238017</t>
        </is>
      </c>
      <c r="C312" s="73" t="inlineStr">
        <is>
          <t>ITES-9373_2025_11_22_10_39_30</t>
        </is>
      </c>
      <c r="D312" s="73" t="inlineStr">
        <is>
          <t>Cyber Resilience in Airport Operations: Addressing Emerging Threats</t>
        </is>
      </c>
      <c r="E312" s="73" t="inlineStr">
        <is>
          <t>Airport Cooperative Research Programme</t>
        </is>
      </c>
      <c r="F312" s="73" t="inlineStr">
        <is>
          <t>Washington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2026-01-12</t>
        </is>
      </c>
      <c r="K312" s="73" t="inlineStr">
        <is>
          <t>2026-01-12</t>
        </is>
      </c>
      <c r="L312" s="75" t="n">
        <v>341000</v>
      </c>
      <c r="M312" s="73" t="inlineStr">
        <is>
          <t>Consulting</t>
        </is>
      </c>
      <c r="N312" s="73" t="inlineStr">
        <is>
          <t>Portal</t>
        </is>
      </c>
      <c r="O312" s="73" t="inlineStr">
        <is>
          <t>Abhishek Zalani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2025-12-23</t>
        </is>
      </c>
      <c r="Z312" s="73" t="inlineStr">
        <is>
          <t>https://app-na2.hubspot.com/contacts/243046792/record/0-3/246132238017</t>
        </is>
      </c>
      <c r="AA312" s="73" t="inlineStr"/>
    </row>
    <row r="313">
      <c r="A313" s="73" t="n">
        <v>312</v>
      </c>
      <c r="B313" s="73" t="inlineStr">
        <is>
          <t>255699910348</t>
        </is>
      </c>
      <c r="C313" s="73" t="inlineStr"/>
      <c r="D313" s="73" t="inlineStr">
        <is>
          <t>IT Managed Services Provider</t>
        </is>
      </c>
      <c r="E313" s="73" t="inlineStr">
        <is>
          <t xml:space="preserve">Washington State Department of Enterprise Services </t>
        </is>
      </c>
      <c r="F313" s="73" t="inlineStr">
        <is>
          <t>Washington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2026-01-12</t>
        </is>
      </c>
      <c r="K313" s="73" t="inlineStr">
        <is>
          <t>2026-01-12</t>
        </is>
      </c>
      <c r="L313" s="75" t="n">
        <v>8350</v>
      </c>
      <c r="M313" s="73" t="inlineStr">
        <is>
          <t>Managed Services (MSP)</t>
        </is>
      </c>
      <c r="N313" s="73" t="inlineStr">
        <is>
          <t>Email</t>
        </is>
      </c>
      <c r="O313" s="73" t="inlineStr">
        <is>
          <t>Savya Atrey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https://app-na2.hubspot.com/contacts/243046792/record/0-3/255699910348</t>
        </is>
      </c>
      <c r="AA313" s="73" t="inlineStr"/>
    </row>
    <row r="314">
      <c r="A314" s="73" t="n">
        <v>313</v>
      </c>
      <c r="B314" s="73" t="inlineStr">
        <is>
          <t>246429108965</t>
        </is>
      </c>
      <c r="C314" s="73" t="inlineStr"/>
      <c r="D314" s="73" t="inlineStr">
        <is>
          <t>AI Document Processing and Digitization</t>
        </is>
      </c>
      <c r="E314" s="73" t="inlineStr">
        <is>
          <t>Michigan Department of Technology Management and Budget</t>
        </is>
      </c>
      <c r="F314" s="73" t="inlineStr">
        <is>
          <t>Michigan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2026-01-12</t>
        </is>
      </c>
      <c r="K314" s="73" t="inlineStr">
        <is>
          <t>2026-01-13</t>
        </is>
      </c>
      <c r="L314" s="73" t="n"/>
      <c r="M314" s="73" t="inlineStr">
        <is>
          <t>Platform Implementation (ERP, CRMs)</t>
        </is>
      </c>
      <c r="N314" s="73" t="inlineStr"/>
      <c r="O314" s="73" t="inlineStr">
        <is>
          <t>Abhishek Zalani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2025-12-22</t>
        </is>
      </c>
      <c r="Z314" s="73" t="inlineStr">
        <is>
          <t>https://app-na2.hubspot.com/contacts/243046792/record/0-3/246429108965</t>
        </is>
      </c>
      <c r="AA314" s="73" t="inlineStr"/>
    </row>
    <row r="315">
      <c r="A315" s="73" t="n">
        <v>314</v>
      </c>
      <c r="B315" s="73" t="inlineStr">
        <is>
          <t>235964612323</t>
        </is>
      </c>
      <c r="C315" s="73" t="inlineStr">
        <is>
          <t>16100</t>
        </is>
      </c>
      <c r="D315" s="73" t="inlineStr">
        <is>
          <t xml:space="preserve"> IBM Netcool Support</t>
        </is>
      </c>
      <c r="E315" s="73" t="inlineStr">
        <is>
          <t>Electric Power Board of Chattanooga</t>
        </is>
      </c>
      <c r="F315" s="73" t="inlineStr">
        <is>
          <t>Tennessee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2026-01-13</t>
        </is>
      </c>
      <c r="K315" s="73" t="inlineStr">
        <is>
          <t>2026-01-13</t>
        </is>
      </c>
      <c r="L315" s="75" t="n">
        <v>120000</v>
      </c>
      <c r="M315" s="73" t="inlineStr">
        <is>
          <t>Consulting</t>
        </is>
      </c>
      <c r="N315" s="73" t="inlineStr">
        <is>
          <t>Email</t>
        </is>
      </c>
      <c r="O315" s="73" t="inlineStr">
        <is>
          <t>Abhishek Zalani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2025-12-09</t>
        </is>
      </c>
      <c r="Z315" s="73" t="inlineStr">
        <is>
          <t>https://app-na2.hubspot.com/contacts/243046792/record/0-3/235964612323</t>
        </is>
      </c>
      <c r="AA315" s="73" t="inlineStr"/>
    </row>
    <row r="316">
      <c r="A316" s="73" t="n">
        <v>315</v>
      </c>
      <c r="B316" s="73" t="inlineStr">
        <is>
          <t>242650797784</t>
        </is>
      </c>
      <c r="C316" s="73" t="inlineStr"/>
      <c r="D316" s="73" t="inlineStr">
        <is>
          <t>INFORMATION TECHNOLOGY STAFF AUGMENTATION SERVICES</t>
        </is>
      </c>
      <c r="E316" s="73" t="inlineStr">
        <is>
          <t>New York State Energy Research and Development Authority (NYSERDA)</t>
        </is>
      </c>
      <c r="F316" s="73" t="inlineStr"/>
      <c r="G316" s="73" t="inlineStr">
        <is>
          <t>Submitted</t>
        </is>
      </c>
      <c r="H316" s="73" t="inlineStr"/>
      <c r="I316" s="73" t="inlineStr"/>
      <c r="J316" s="73" t="inlineStr">
        <is>
          <t>2026-01-13</t>
        </is>
      </c>
      <c r="K316" s="73" t="inlineStr">
        <is>
          <t>2026-01-13</t>
        </is>
      </c>
      <c r="L316" s="73" t="n"/>
      <c r="M316" s="73" t="inlineStr">
        <is>
          <t>Staff Augmentation</t>
        </is>
      </c>
      <c r="N316" s="73" t="inlineStr">
        <is>
          <t>Portal</t>
        </is>
      </c>
      <c r="O316" s="73" t="inlineStr">
        <is>
          <t>Jyothsna Nanda kishore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2025-12-18</t>
        </is>
      </c>
      <c r="Z316" s="73" t="inlineStr">
        <is>
          <t>https://app-na2.hubspot.com/contacts/243046792/record/0-3/242650797784</t>
        </is>
      </c>
      <c r="AA316" s="73" t="inlineStr"/>
    </row>
    <row r="317">
      <c r="A317" s="73" t="n">
        <v>316</v>
      </c>
      <c r="B317" s="73" t="inlineStr">
        <is>
          <t>259790264057</t>
        </is>
      </c>
      <c r="C317" s="73" t="inlineStr"/>
      <c r="D317" s="73" t="inlineStr">
        <is>
          <t>2601 Veeam Backup Basic MaintenanceInbo</t>
        </is>
      </c>
      <c r="E317" s="73" t="inlineStr">
        <is>
          <t>Franklin County Municipal Court</t>
        </is>
      </c>
      <c r="F317" s="73" t="inlineStr">
        <is>
          <t>Ohio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2026-01-13</t>
        </is>
      </c>
      <c r="K317" s="73" t="inlineStr">
        <is>
          <t>2026-01-13</t>
        </is>
      </c>
      <c r="L317" s="75" t="n">
        <v>12100</v>
      </c>
      <c r="M317" s="73" t="inlineStr">
        <is>
          <t>Reseller</t>
        </is>
      </c>
      <c r="N317" s="73" t="inlineStr"/>
      <c r="O317" s="73" t="inlineStr">
        <is>
          <t>Ashutosh Chauhan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2026-01-13</t>
        </is>
      </c>
      <c r="Z317" s="73" t="inlineStr">
        <is>
          <t>https://app-na2.hubspot.com/contacts/243046792/record/0-3/259790264057</t>
        </is>
      </c>
      <c r="AA317" s="73" t="inlineStr"/>
    </row>
    <row r="318">
      <c r="A318" s="73" t="n">
        <v>317</v>
      </c>
      <c r="B318" s="73" t="inlineStr">
        <is>
          <t>140837204686</t>
        </is>
      </c>
      <c r="C318" s="73" t="inlineStr"/>
      <c r="D318" s="73" t="inlineStr">
        <is>
          <t>ERP Software Needs Analysis</t>
        </is>
      </c>
      <c r="E318" s="73" t="inlineStr">
        <is>
          <t>Town of Mooresville</t>
        </is>
      </c>
      <c r="F318" s="73" t="inlineStr">
        <is>
          <t>North Carolina</t>
        </is>
      </c>
      <c r="G318" s="73" t="inlineStr">
        <is>
          <t>Closed Lost</t>
        </is>
      </c>
      <c r="H318" s="73" t="inlineStr"/>
      <c r="I318" s="73" t="inlineStr"/>
      <c r="J318" s="73" t="inlineStr">
        <is>
          <t>2026-01-14</t>
        </is>
      </c>
      <c r="K318" s="73" t="inlineStr">
        <is>
          <t>2025-09-15</t>
        </is>
      </c>
      <c r="L318" s="73" t="n"/>
      <c r="M318" s="73" t="inlineStr">
        <is>
          <t>Consulting</t>
        </is>
      </c>
      <c r="N318" s="73" t="inlineStr"/>
      <c r="O318" s="73" t="inlineStr">
        <is>
          <t>Madhav Mitruka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2025-08-12</t>
        </is>
      </c>
      <c r="Z318" s="73" t="inlineStr">
        <is>
          <t>https://app-na2.hubspot.com/contacts/243046792/record/0-3/140837204686</t>
        </is>
      </c>
      <c r="AA318" s="73" t="inlineStr"/>
    </row>
    <row r="319">
      <c r="A319" s="73" t="n">
        <v>318</v>
      </c>
      <c r="B319" s="73" t="inlineStr">
        <is>
          <t>255700623039</t>
        </is>
      </c>
      <c r="C319" s="73" t="inlineStr"/>
      <c r="D319" s="73" t="inlineStr">
        <is>
          <t>CITYWIDE INFORMATION TECHNOLOGY NEEDS ASSESSMENT&amp; OPERATIONAL ANALYSIS</t>
        </is>
      </c>
      <c r="E319" s="73" t="inlineStr">
        <is>
          <t>City of Perth Amboy</t>
        </is>
      </c>
      <c r="F319" s="73" t="inlineStr">
        <is>
          <t>New Jersey</t>
        </is>
      </c>
      <c r="G319" s="73" t="inlineStr">
        <is>
          <t>RFx Cancelled</t>
        </is>
      </c>
      <c r="H319" s="73" t="inlineStr"/>
      <c r="I319" s="73" t="inlineStr"/>
      <c r="J319" s="73" t="inlineStr">
        <is>
          <t>2026-01-14</t>
        </is>
      </c>
      <c r="K319" s="73" t="inlineStr">
        <is>
          <t>2026-01-12</t>
        </is>
      </c>
      <c r="L319" s="73" t="n"/>
      <c r="M319" s="73" t="inlineStr">
        <is>
          <t>Audits and Assessment</t>
        </is>
      </c>
      <c r="N319" s="73" t="inlineStr">
        <is>
          <t>Offline</t>
        </is>
      </c>
      <c r="O319" s="73" t="inlineStr">
        <is>
          <t>Jyothsna Nanda kishore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2026-01-06</t>
        </is>
      </c>
      <c r="Z319" s="73" t="inlineStr">
        <is>
          <t>https://app-na2.hubspot.com/contacts/243046792/record/0-3/255700623039</t>
        </is>
      </c>
      <c r="AA319" s="73" t="inlineStr"/>
    </row>
    <row r="320">
      <c r="A320" s="73" t="n">
        <v>319</v>
      </c>
      <c r="B320" s="73" t="inlineStr">
        <is>
          <t>255422638807</t>
        </is>
      </c>
      <c r="C320" s="73" t="inlineStr">
        <is>
          <t>NCHRP 10-153 [RFP]</t>
        </is>
      </c>
      <c r="D320" s="73" t="inlineStr">
        <is>
          <t>Emerging Artificial Intelligence-Induced Risks in Highway Construction Quality Assurance</t>
        </is>
      </c>
      <c r="E320" s="73" t="inlineStr">
        <is>
          <t>Transportation Research Board</t>
        </is>
      </c>
      <c r="F320" s="73" t="inlineStr">
        <is>
          <t>DC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2026-01-14</t>
        </is>
      </c>
      <c r="K320" s="73" t="inlineStr">
        <is>
          <t>2026-01-14</t>
        </is>
      </c>
      <c r="L320" s="75" t="n">
        <v>197424.38</v>
      </c>
      <c r="M320" s="73" t="inlineStr">
        <is>
          <t>Consulting</t>
        </is>
      </c>
      <c r="N320" s="73" t="inlineStr">
        <is>
          <t>Portal</t>
        </is>
      </c>
      <c r="O320" s="73" t="inlineStr">
        <is>
          <t>Vinay Srinivasan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2026-01-06</t>
        </is>
      </c>
      <c r="Z320" s="73" t="inlineStr">
        <is>
          <t>https://app-na2.hubspot.com/contacts/243046792/record/0-3/255422638807</t>
        </is>
      </c>
      <c r="AA320" s="73" t="inlineStr"/>
    </row>
    <row r="321">
      <c r="A321" s="73" t="n">
        <v>320</v>
      </c>
      <c r="B321" s="73" t="inlineStr">
        <is>
          <t>254846590682</t>
        </is>
      </c>
      <c r="C321" s="73" t="inlineStr">
        <is>
          <t>63345</t>
        </is>
      </c>
      <c r="D321" s="73" t="inlineStr">
        <is>
          <t>Temporary Staffing Services-Information Technology Department</t>
        </is>
      </c>
      <c r="E321" s="73" t="inlineStr">
        <is>
          <t>Metropolitan St. Louis Sewer District</t>
        </is>
      </c>
      <c r="F321" s="73" t="inlineStr">
        <is>
          <t>Missouri</t>
        </is>
      </c>
      <c r="G321" s="73" t="inlineStr">
        <is>
          <t>Submitted</t>
        </is>
      </c>
      <c r="H321" s="73" t="inlineStr"/>
      <c r="I321" s="73" t="inlineStr"/>
      <c r="J321" s="73" t="inlineStr">
        <is>
          <t>2026-01-14</t>
        </is>
      </c>
      <c r="K321" s="73" t="inlineStr">
        <is>
          <t>2026-01-14</t>
        </is>
      </c>
      <c r="L321" s="73" t="n"/>
      <c r="M321" s="73" t="inlineStr">
        <is>
          <t>Staff Augmentation</t>
        </is>
      </c>
      <c r="N321" s="73" t="inlineStr"/>
      <c r="O321" s="73" t="inlineStr">
        <is>
          <t>Ashutosh Chauhan</t>
        </is>
      </c>
      <c r="P321" s="73" t="inlineStr"/>
      <c r="Q321" s="73" t="inlineStr"/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2026-01-06</t>
        </is>
      </c>
      <c r="Z321" s="73" t="inlineStr">
        <is>
          <t>https://app-na2.hubspot.com/contacts/243046792/record/0-3/254846590682</t>
        </is>
      </c>
      <c r="AA321" s="73" t="inlineStr"/>
    </row>
    <row r="322">
      <c r="A322" s="73" t="n">
        <v>321</v>
      </c>
      <c r="B322" s="73" t="inlineStr">
        <is>
          <t>231116902097</t>
        </is>
      </c>
      <c r="C322" s="73" t="inlineStr"/>
      <c r="D322" s="73" t="inlineStr">
        <is>
          <t>Timekeeping System</t>
        </is>
      </c>
      <c r="E322" s="73" t="inlineStr">
        <is>
          <t>Temp Union High School District</t>
        </is>
      </c>
      <c r="F322" s="73" t="inlineStr">
        <is>
          <t>Arizona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2026-01-15</t>
        </is>
      </c>
      <c r="K322" s="73" t="inlineStr">
        <is>
          <t>2026-01-15</t>
        </is>
      </c>
      <c r="L322" s="73" t="n"/>
      <c r="M322" s="73" t="inlineStr">
        <is>
          <t>Platform Implementation (ERP, CRMs)</t>
        </is>
      </c>
      <c r="N322" s="73" t="inlineStr">
        <is>
          <t>Portal</t>
        </is>
      </c>
      <c r="O322" s="73" t="inlineStr">
        <is>
          <t>Ashutosh Chauhan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2025-12-01</t>
        </is>
      </c>
      <c r="Z322" s="73" t="inlineStr">
        <is>
          <t>https://app-na2.hubspot.com/contacts/243046792/record/0-3/231116902097</t>
        </is>
      </c>
      <c r="AA322" s="73" t="inlineStr"/>
    </row>
    <row r="323">
      <c r="A323" s="73" t="n">
        <v>322</v>
      </c>
      <c r="B323" s="73" t="inlineStr">
        <is>
          <t>238161229542</t>
        </is>
      </c>
      <c r="C323" s="73" t="inlineStr"/>
      <c r="D323" s="73" t="inlineStr">
        <is>
          <t>NETWORK SECURITY PENETRATION TESTING SERVICES</t>
        </is>
      </c>
      <c r="E323" s="73" t="inlineStr">
        <is>
          <t>Greenville Utilities Commission</t>
        </is>
      </c>
      <c r="F323" s="73" t="inlineStr">
        <is>
          <t>North Carolina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2026-01-15</t>
        </is>
      </c>
      <c r="K323" s="73" t="inlineStr">
        <is>
          <t>2026-01-15</t>
        </is>
      </c>
      <c r="L323" s="73" t="n"/>
      <c r="M323" s="73" t="inlineStr">
        <is>
          <t>Audits and Assessment</t>
        </is>
      </c>
      <c r="N323" s="73" t="inlineStr">
        <is>
          <t>Email</t>
        </is>
      </c>
      <c r="O323" s="73" t="inlineStr">
        <is>
          <t>Jyothsna Nanda kishore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2025-12-11</t>
        </is>
      </c>
      <c r="Z323" s="73" t="inlineStr">
        <is>
          <t>https://app-na2.hubspot.com/contacts/243046792/record/0-3/238161229542</t>
        </is>
      </c>
      <c r="AA323" s="73" t="inlineStr"/>
    </row>
    <row r="324">
      <c r="A324" s="73" t="n">
        <v>323</v>
      </c>
      <c r="B324" s="73" t="inlineStr">
        <is>
          <t>255195602620</t>
        </is>
      </c>
      <c r="C324" s="73" t="inlineStr"/>
      <c r="D324" s="73" t="inlineStr">
        <is>
          <t>FY26 Managed Service Provider</t>
        </is>
      </c>
      <c r="E324" s="73" t="inlineStr">
        <is>
          <t>Ohio State University Wexner Medical Center</t>
        </is>
      </c>
      <c r="F324" s="73" t="inlineStr">
        <is>
          <t>Ohio</t>
        </is>
      </c>
      <c r="G324" s="73" t="inlineStr">
        <is>
          <t>Submitted</t>
        </is>
      </c>
      <c r="H324" s="73" t="inlineStr"/>
      <c r="I324" s="73" t="inlineStr"/>
      <c r="J324" s="73" t="inlineStr">
        <is>
          <t>2026-01-15</t>
        </is>
      </c>
      <c r="K324" s="73" t="inlineStr">
        <is>
          <t>2026-01-15</t>
        </is>
      </c>
      <c r="L324" s="73" t="n"/>
      <c r="M324" s="73" t="inlineStr">
        <is>
          <t>Managed Services (MSP)</t>
        </is>
      </c>
      <c r="N324" s="73" t="inlineStr"/>
      <c r="O324" s="73" t="inlineStr">
        <is>
          <t>Jyothsna Nanda kishore</t>
        </is>
      </c>
      <c r="P324" s="73" t="inlineStr"/>
      <c r="Q324" s="73" t="inlineStr"/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2026-01-06</t>
        </is>
      </c>
      <c r="Z324" s="73" t="inlineStr">
        <is>
          <t>https://app-na2.hubspot.com/contacts/243046792/record/0-3/255195602620</t>
        </is>
      </c>
      <c r="AA324" s="73" t="inlineStr"/>
    </row>
    <row r="325">
      <c r="A325" s="73" t="n">
        <v>324</v>
      </c>
      <c r="B325" s="73" t="inlineStr">
        <is>
          <t>245622150905</t>
        </is>
      </c>
      <c r="C325" s="73" t="inlineStr"/>
      <c r="D325" s="73" t="inlineStr">
        <is>
          <t>Annual Contract for Staff Augmentation Services</t>
        </is>
      </c>
      <c r="E325" s="73" t="inlineStr">
        <is>
          <t>Tarrant County</t>
        </is>
      </c>
      <c r="F325" s="73" t="inlineStr">
        <is>
          <t>Texas</t>
        </is>
      </c>
      <c r="G325" s="73" t="inlineStr">
        <is>
          <t>Submitted</t>
        </is>
      </c>
      <c r="H325" s="73" t="inlineStr"/>
      <c r="I325" s="73" t="inlineStr"/>
      <c r="J325" s="73" t="inlineStr">
        <is>
          <t>2026-01-15</t>
        </is>
      </c>
      <c r="K325" s="73" t="inlineStr">
        <is>
          <t>2026-01-15</t>
        </is>
      </c>
      <c r="L325" s="73" t="n"/>
      <c r="M325" s="73" t="inlineStr">
        <is>
          <t>Staff Augmentation</t>
        </is>
      </c>
      <c r="N325" s="73" t="inlineStr"/>
      <c r="O325" s="73" t="inlineStr">
        <is>
          <t>Ashutosh Chauhan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2025-12-22</t>
        </is>
      </c>
      <c r="Z325" s="73" t="inlineStr">
        <is>
          <t>https://app-na2.hubspot.com/contacts/243046792/record/0-3/245622150905</t>
        </is>
      </c>
      <c r="AA325" s="73" t="inlineStr"/>
    </row>
    <row r="326">
      <c r="A326" s="73" t="n">
        <v>325</v>
      </c>
      <c r="B326" s="73" t="inlineStr">
        <is>
          <t>224587017952</t>
        </is>
      </c>
      <c r="C326" s="73" t="inlineStr"/>
      <c r="D326" s="73" t="inlineStr">
        <is>
          <t>OFF-Information Technology Policy and Procedures Development Services</t>
        </is>
      </c>
      <c r="E326" s="73" t="inlineStr">
        <is>
          <t>Hampton Roads Transit</t>
        </is>
      </c>
      <c r="F326" s="73" t="inlineStr">
        <is>
          <t>Virginia</t>
        </is>
      </c>
      <c r="G326" s="73" t="inlineStr">
        <is>
          <t>Submitted</t>
        </is>
      </c>
      <c r="H326" s="73" t="inlineStr"/>
      <c r="I326" s="73" t="inlineStr"/>
      <c r="J326" s="73" t="inlineStr">
        <is>
          <t>2026-01-15</t>
        </is>
      </c>
      <c r="K326" s="73" t="inlineStr">
        <is>
          <t>2026-01-14</t>
        </is>
      </c>
      <c r="L326" s="73" t="n"/>
      <c r="M326" s="73" t="inlineStr">
        <is>
          <t>Consulting</t>
        </is>
      </c>
      <c r="N326" s="73" t="inlineStr"/>
      <c r="O326" s="73" t="inlineStr">
        <is>
          <t>Savya Atrey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2025-11-24</t>
        </is>
      </c>
      <c r="Z326" s="73" t="inlineStr">
        <is>
          <t>https://app-na2.hubspot.com/contacts/243046792/record/0-3/224587017952</t>
        </is>
      </c>
      <c r="AA326" s="73" t="inlineStr"/>
    </row>
    <row r="327">
      <c r="A327" s="73" t="n">
        <v>326</v>
      </c>
      <c r="B327" s="73" t="inlineStr">
        <is>
          <t>255422637807</t>
        </is>
      </c>
      <c r="C327" s="73" t="inlineStr">
        <is>
          <t>2026-RFP-00227</t>
        </is>
      </c>
      <c r="D327" s="73" t="inlineStr">
        <is>
          <t>Childcare Navigation Technology Platform</t>
        </is>
      </c>
      <c r="E327" s="73" t="inlineStr">
        <is>
          <t>County of San Mateo</t>
        </is>
      </c>
      <c r="F327" s="73" t="inlineStr">
        <is>
          <t>California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2026-01-16</t>
        </is>
      </c>
      <c r="K327" s="73" t="inlineStr">
        <is>
          <t>2026-01-16</t>
        </is>
      </c>
      <c r="L327" s="73" t="n"/>
      <c r="M327" s="73" t="inlineStr">
        <is>
          <t>Platform Implementation (ERP, CRMs)</t>
        </is>
      </c>
      <c r="N327" s="73" t="inlineStr">
        <is>
          <t>Portal</t>
        </is>
      </c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2026-01-06</t>
        </is>
      </c>
      <c r="Z327" s="73" t="inlineStr">
        <is>
          <t>https://app-na2.hubspot.com/contacts/243046792/record/0-3/255422637807</t>
        </is>
      </c>
      <c r="AA327" s="73" t="inlineStr"/>
    </row>
    <row r="328">
      <c r="A328" s="73" t="n">
        <v>327</v>
      </c>
      <c r="B328" s="73" t="inlineStr">
        <is>
          <t>254846611165</t>
        </is>
      </c>
      <c r="C328" s="73" t="inlineStr"/>
      <c r="D328" s="73" t="inlineStr">
        <is>
          <t>BASIC INFORMATION TECHNOLOGY SUPPORT SERVICES</t>
        </is>
      </c>
      <c r="E328" s="73" t="inlineStr">
        <is>
          <t>City of Fairfield</t>
        </is>
      </c>
      <c r="F328" s="73" t="inlineStr">
        <is>
          <t>Alabama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2026-01-16</t>
        </is>
      </c>
      <c r="K328" s="73" t="inlineStr">
        <is>
          <t>2026-01-14</t>
        </is>
      </c>
      <c r="L328" s="73" t="n"/>
      <c r="M328" s="73" t="inlineStr">
        <is>
          <t>Managed Services (MSP)</t>
        </is>
      </c>
      <c r="N328" s="73" t="inlineStr">
        <is>
          <t>Offline</t>
        </is>
      </c>
      <c r="O328" s="73" t="inlineStr">
        <is>
          <t>Jyothsna Nanda kishore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2026-01-06</t>
        </is>
      </c>
      <c r="Z328" s="73" t="inlineStr">
        <is>
          <t>https://app-na2.hubspot.com/contacts/243046792/record/0-3/254846611165</t>
        </is>
      </c>
      <c r="AA328" s="73" t="inlineStr"/>
    </row>
    <row r="329">
      <c r="A329" s="73" t="n">
        <v>328</v>
      </c>
      <c r="B329" s="73" t="inlineStr">
        <is>
          <t>255640226498</t>
        </is>
      </c>
      <c r="C329" s="73" t="inlineStr"/>
      <c r="D329" s="73" t="inlineStr">
        <is>
          <t>GRCC ERP Consultant Services (Time and Labor Services)</t>
        </is>
      </c>
      <c r="E329" s="73" t="inlineStr">
        <is>
          <t>Grand Rapids Community College</t>
        </is>
      </c>
      <c r="F329" s="73" t="inlineStr">
        <is>
          <t>Michigan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2026-01-16</t>
        </is>
      </c>
      <c r="K329" s="73" t="inlineStr">
        <is>
          <t>2026-01-16</t>
        </is>
      </c>
      <c r="L329" s="75" t="n">
        <v>82500</v>
      </c>
      <c r="M329" s="73" t="inlineStr">
        <is>
          <t>Platform Implementation (ERP, CRMs)</t>
        </is>
      </c>
      <c r="N329" s="73" t="inlineStr">
        <is>
          <t>Portal</t>
        </is>
      </c>
      <c r="O329" s="73" t="inlineStr">
        <is>
          <t>Vinay Srinivasan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2026-01-06</t>
        </is>
      </c>
      <c r="Z329" s="73" t="inlineStr">
        <is>
          <t>https://app-na2.hubspot.com/contacts/243046792/record/0-3/255640226498</t>
        </is>
      </c>
      <c r="AA329" s="73" t="inlineStr"/>
    </row>
    <row r="330">
      <c r="A330" s="73" t="n">
        <v>329</v>
      </c>
      <c r="B330" s="73" t="inlineStr">
        <is>
          <t>207661977336</t>
        </is>
      </c>
      <c r="C330" s="73" t="inlineStr"/>
      <c r="D330" s="73" t="inlineStr">
        <is>
          <t>Cybersecurity &amp; It Support Services</t>
        </is>
      </c>
      <c r="E330" s="73" t="inlineStr">
        <is>
          <t xml:space="preserve">Greater New Bedford Regional Refuse Management District </t>
        </is>
      </c>
      <c r="F330" s="73" t="inlineStr">
        <is>
          <t>Massachusetts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2026-01-16</t>
        </is>
      </c>
      <c r="K330" s="73" t="inlineStr">
        <is>
          <t>2026-01-16</t>
        </is>
      </c>
      <c r="L330" s="73" t="n"/>
      <c r="M330" s="73" t="inlineStr">
        <is>
          <t>Support &amp; Maintenance</t>
        </is>
      </c>
      <c r="N330" s="73" t="inlineStr"/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2025-11-03</t>
        </is>
      </c>
      <c r="Z330" s="73" t="inlineStr">
        <is>
          <t>https://app-na2.hubspot.com/contacts/243046792/record/0-3/207661977336</t>
        </is>
      </c>
      <c r="AA330" s="73" t="inlineStr"/>
    </row>
    <row r="331">
      <c r="A331" s="73" t="n">
        <v>330</v>
      </c>
      <c r="B331" s="73" t="inlineStr">
        <is>
          <t>231114022607</t>
        </is>
      </c>
      <c r="C331" s="73" t="inlineStr"/>
      <c r="D331" s="73" t="inlineStr">
        <is>
          <t>Cloud Computing Strategy Services</t>
        </is>
      </c>
      <c r="E331" s="73" t="inlineStr">
        <is>
          <t>University of Central Missouri</t>
        </is>
      </c>
      <c r="F331" s="73" t="inlineStr">
        <is>
          <t>Missouri</t>
        </is>
      </c>
      <c r="G331" s="73" t="inlineStr">
        <is>
          <t>Submitted</t>
        </is>
      </c>
      <c r="H331" s="73" t="inlineStr"/>
      <c r="I331" s="73" t="inlineStr"/>
      <c r="J331" s="73" t="inlineStr">
        <is>
          <t>2026-01-16</t>
        </is>
      </c>
      <c r="K331" s="73" t="inlineStr">
        <is>
          <t>2026-01-16</t>
        </is>
      </c>
      <c r="L331" s="73" t="n"/>
      <c r="M331" s="73" t="inlineStr">
        <is>
          <t>Staff Augmentation</t>
        </is>
      </c>
      <c r="N331" s="73" t="inlineStr">
        <is>
          <t>Portal</t>
        </is>
      </c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2025-12-01</t>
        </is>
      </c>
      <c r="Z331" s="73" t="inlineStr">
        <is>
          <t>https://app-na2.hubspot.com/contacts/243046792/record/0-3/231114022607</t>
        </is>
      </c>
      <c r="AA331" s="73" t="inlineStr"/>
    </row>
    <row r="332">
      <c r="A332" s="73" t="n">
        <v>331</v>
      </c>
      <c r="B332" s="73" t="inlineStr">
        <is>
          <t>235964612297</t>
        </is>
      </c>
      <c r="C332" s="73" t="inlineStr"/>
      <c r="D332" s="73" t="inlineStr">
        <is>
          <t>AI Governance, Compliance, and Enablement Platform</t>
        </is>
      </c>
      <c r="E332" s="73" t="inlineStr">
        <is>
          <t>North Central Texas Council of Governments</t>
        </is>
      </c>
      <c r="F332" s="73" t="inlineStr">
        <is>
          <t>Texas</t>
        </is>
      </c>
      <c r="G332" s="73" t="inlineStr">
        <is>
          <t>Intent to Award</t>
        </is>
      </c>
      <c r="H332" s="73" t="inlineStr"/>
      <c r="I332" s="73" t="inlineStr"/>
      <c r="J332" s="73" t="inlineStr">
        <is>
          <t>2026-01-16</t>
        </is>
      </c>
      <c r="K332" s="73" t="inlineStr">
        <is>
          <t>2026-01-16</t>
        </is>
      </c>
      <c r="L332" s="73" t="n"/>
      <c r="M332" s="73" t="inlineStr">
        <is>
          <t>Consulting</t>
        </is>
      </c>
      <c r="N332" s="73" t="inlineStr"/>
      <c r="O332" s="73" t="inlineStr">
        <is>
          <t>Ashutosh Chauhan</t>
        </is>
      </c>
      <c r="P332" s="73" t="inlineStr"/>
      <c r="Q332" s="73" t="inlineStr"/>
      <c r="R332" s="73" t="inlineStr"/>
      <c r="S332" s="73" t="inlineStr">
        <is>
          <t>2026-03-10</t>
        </is>
      </c>
      <c r="T332" s="73" t="inlineStr"/>
      <c r="U332" s="73" t="inlineStr"/>
      <c r="V332" s="73" t="inlineStr"/>
      <c r="W332" s="73" t="inlineStr"/>
      <c r="X332" s="73" t="inlineStr"/>
      <c r="Y332" s="73" t="inlineStr">
        <is>
          <t>2025-12-09</t>
        </is>
      </c>
      <c r="Z332" s="73" t="inlineStr">
        <is>
          <t>https://app-na2.hubspot.com/contacts/243046792/record/0-3/235964612297</t>
        </is>
      </c>
      <c r="AA332" s="73" t="inlineStr"/>
    </row>
    <row r="333">
      <c r="A333" s="73" t="n">
        <v>332</v>
      </c>
      <c r="B333" s="73" t="inlineStr">
        <is>
          <t>263927241413</t>
        </is>
      </c>
      <c r="C333" s="73" t="inlineStr"/>
      <c r="D333" s="73" t="inlineStr">
        <is>
          <t>AI Strategy &amp; Integration Consultant</t>
        </is>
      </c>
      <c r="E333" s="73" t="inlineStr">
        <is>
          <t>The 92nd Street Y, New York (92NY)</t>
        </is>
      </c>
      <c r="F333" s="73" t="inlineStr"/>
      <c r="G333" s="73" t="inlineStr">
        <is>
          <t>Submitted</t>
        </is>
      </c>
      <c r="H333" s="73" t="inlineStr"/>
      <c r="I333" s="73" t="inlineStr"/>
      <c r="J333" s="73" t="inlineStr">
        <is>
          <t>2026-01-16</t>
        </is>
      </c>
      <c r="K333" s="73" t="inlineStr">
        <is>
          <t>2026-01-16</t>
        </is>
      </c>
      <c r="L333" s="73" t="n"/>
      <c r="M333" s="73" t="inlineStr">
        <is>
          <t>Consulting</t>
        </is>
      </c>
      <c r="N333" s="73" t="inlineStr"/>
      <c r="O333" s="73" t="inlineStr">
        <is>
          <t>Abhishek Zalani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2026-01-16</t>
        </is>
      </c>
      <c r="Z333" s="73" t="inlineStr">
        <is>
          <t>https://app-na2.hubspot.com/contacts/243046792/record/0-3/263927241413</t>
        </is>
      </c>
      <c r="AA333" s="73" t="inlineStr"/>
    </row>
    <row r="334">
      <c r="A334" s="73" t="n">
        <v>333</v>
      </c>
      <c r="B334" s="73" t="inlineStr">
        <is>
          <t>256648120032</t>
        </is>
      </c>
      <c r="C334" s="73" t="inlineStr"/>
      <c r="D334" s="73" t="inlineStr">
        <is>
          <t>Enterprise Resource Planning System (ERP)</t>
        </is>
      </c>
      <c r="E334" s="73" t="inlineStr">
        <is>
          <t>Fern Creek Fire Protection District</t>
        </is>
      </c>
      <c r="F334" s="73" t="inlineStr">
        <is>
          <t>Kentucky</t>
        </is>
      </c>
      <c r="G334" s="73" t="inlineStr">
        <is>
          <t>Interview</t>
        </is>
      </c>
      <c r="H334" s="73" t="inlineStr">
        <is>
          <t>Yes</t>
        </is>
      </c>
      <c r="I334" s="73" t="inlineStr">
        <is>
          <t>Interview</t>
        </is>
      </c>
      <c r="J334" s="73" t="inlineStr">
        <is>
          <t>2026-01-16</t>
        </is>
      </c>
      <c r="K334" s="73" t="inlineStr">
        <is>
          <t>2026-01-14</t>
        </is>
      </c>
      <c r="L334" s="75" t="n">
        <v>167030</v>
      </c>
      <c r="M334" s="73" t="inlineStr">
        <is>
          <t>Platform Implementation (ERP, CRMs)</t>
        </is>
      </c>
      <c r="N334" s="73" t="inlineStr">
        <is>
          <t>Offline</t>
        </is>
      </c>
      <c r="O334" s="73" t="inlineStr">
        <is>
          <t>Jyothsna Nanda kishore</t>
        </is>
      </c>
      <c r="P334" s="73" t="inlineStr">
        <is>
          <t>Interview Scheduled</t>
        </is>
      </c>
      <c r="Q334" s="73" t="inlineStr">
        <is>
          <t>2026-03-05</t>
        </is>
      </c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2026-01-07</t>
        </is>
      </c>
      <c r="Z334" s="73" t="inlineStr">
        <is>
          <t>https://app-na2.hubspot.com/contacts/243046792/record/0-3/256648120032</t>
        </is>
      </c>
      <c r="AA334" s="73" t="inlineStr"/>
    </row>
    <row r="335">
      <c r="A335" s="73" t="n">
        <v>334</v>
      </c>
      <c r="B335" s="73" t="inlineStr">
        <is>
          <t>255640222437</t>
        </is>
      </c>
      <c r="C335" s="73" t="inlineStr">
        <is>
          <t>12198-2</t>
        </is>
      </c>
      <c r="D335" s="73" t="inlineStr">
        <is>
          <t>Salesforce Custom Development for Code &amp; Zoning Enforcement</t>
        </is>
      </c>
      <c r="E335" s="73" t="inlineStr">
        <is>
          <t>City of Greensboro</t>
        </is>
      </c>
      <c r="F335" s="73" t="inlineStr">
        <is>
          <t>North Carolina</t>
        </is>
      </c>
      <c r="G335" s="73" t="inlineStr">
        <is>
          <t>RFx Cancelled</t>
        </is>
      </c>
      <c r="H335" s="73" t="inlineStr"/>
      <c r="I335" s="73" t="inlineStr"/>
      <c r="J335" s="73" t="inlineStr">
        <is>
          <t>2026-01-20</t>
        </is>
      </c>
      <c r="K335" s="73" t="inlineStr">
        <is>
          <t>2026-01-20</t>
        </is>
      </c>
      <c r="L335" s="75" t="n">
        <v>70430</v>
      </c>
      <c r="M335" s="73" t="inlineStr">
        <is>
          <t>Platform Implementation (ERP, CRMs)</t>
        </is>
      </c>
      <c r="N335" s="73" t="inlineStr">
        <is>
          <t>Portal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2026-01-06</t>
        </is>
      </c>
      <c r="Z335" s="73" t="inlineStr">
        <is>
          <t>https://app-na2.hubspot.com/contacts/243046792/record/0-3/255640222437</t>
        </is>
      </c>
      <c r="AA335" s="73" t="inlineStr"/>
    </row>
    <row r="336">
      <c r="A336" s="73" t="n">
        <v>335</v>
      </c>
      <c r="B336" s="73" t="inlineStr">
        <is>
          <t>208322135778</t>
        </is>
      </c>
      <c r="C336" s="73" t="inlineStr"/>
      <c r="D336" s="73" t="inlineStr">
        <is>
          <t>Cloud-Based Computerized Maintenance Management System and Enterprise Asset Management System</t>
        </is>
      </c>
      <c r="E336" s="73" t="inlineStr">
        <is>
          <t>City of Scottsdale</t>
        </is>
      </c>
      <c r="F336" s="73" t="inlineStr">
        <is>
          <t>Arizona</t>
        </is>
      </c>
      <c r="G336" s="73" t="inlineStr">
        <is>
          <t>Submitted</t>
        </is>
      </c>
      <c r="H336" s="73" t="inlineStr"/>
      <c r="I336" s="73" t="inlineStr"/>
      <c r="J336" s="73" t="inlineStr">
        <is>
          <t>2026-01-20</t>
        </is>
      </c>
      <c r="K336" s="73" t="inlineStr">
        <is>
          <t>2026-01-20</t>
        </is>
      </c>
      <c r="L336" s="73" t="n"/>
      <c r="M336" s="73" t="inlineStr">
        <is>
          <t>Platform Implementation (ERP, CRMs)</t>
        </is>
      </c>
      <c r="N336" s="73" t="inlineStr"/>
      <c r="O336" s="73" t="inlineStr">
        <is>
          <t>Jyothsna Nanda kishore</t>
        </is>
      </c>
      <c r="P336" s="73" t="inlineStr"/>
      <c r="Q336" s="73" t="inlineStr"/>
      <c r="R336" s="73" t="inlineStr"/>
      <c r="S336" s="73" t="inlineStr"/>
      <c r="T336" s="73" t="inlineStr"/>
      <c r="U336" s="73" t="inlineStr"/>
      <c r="V336" s="73" t="inlineStr"/>
      <c r="W336" s="73" t="inlineStr"/>
      <c r="X336" s="73" t="inlineStr"/>
      <c r="Y336" s="73" t="inlineStr">
        <is>
          <t>2025-11-03</t>
        </is>
      </c>
      <c r="Z336" s="73" t="inlineStr">
        <is>
          <t>https://app-na2.hubspot.com/contacts/243046792/record/0-3/208322135778</t>
        </is>
      </c>
      <c r="AA336" s="73" t="inlineStr"/>
    </row>
    <row r="337">
      <c r="A337" s="73" t="n">
        <v>336</v>
      </c>
      <c r="B337" s="73" t="inlineStr">
        <is>
          <t>255414899417</t>
        </is>
      </c>
      <c r="C337" s="73" t="inlineStr">
        <is>
          <t>RFP26-41</t>
        </is>
      </c>
      <c r="D337" s="73" t="inlineStr">
        <is>
          <t>Web and Mobile App ADA Compliance</t>
        </is>
      </c>
      <c r="E337" s="73" t="inlineStr">
        <is>
          <t>Los Alamos County</t>
        </is>
      </c>
      <c r="F337" s="73" t="inlineStr">
        <is>
          <t>New Mexico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2026-01-20</t>
        </is>
      </c>
      <c r="K337" s="73" t="inlineStr">
        <is>
          <t>2026-01-20</t>
        </is>
      </c>
      <c r="L337" s="73" t="n"/>
      <c r="M337" s="73" t="inlineStr">
        <is>
          <t>Audits and Assessment</t>
        </is>
      </c>
      <c r="N337" s="73" t="inlineStr"/>
      <c r="O337" s="73" t="inlineStr">
        <is>
          <t>Ashutosh Chauhan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2026-01-06</t>
        </is>
      </c>
      <c r="Z337" s="73" t="inlineStr">
        <is>
          <t>https://app-na2.hubspot.com/contacts/243046792/record/0-3/255414899417</t>
        </is>
      </c>
      <c r="AA337" s="73" t="inlineStr"/>
    </row>
    <row r="338">
      <c r="A338" s="73" t="n">
        <v>337</v>
      </c>
      <c r="B338" s="73" t="inlineStr">
        <is>
          <t>161660191429</t>
        </is>
      </c>
      <c r="C338" s="73" t="inlineStr"/>
      <c r="D338" s="73" t="inlineStr">
        <is>
          <t>Cloud Services Migration</t>
        </is>
      </c>
      <c r="E338" s="73" t="inlineStr">
        <is>
          <t>Orange County</t>
        </is>
      </c>
      <c r="F338" s="73" t="inlineStr">
        <is>
          <t>California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2026-01-20</t>
        </is>
      </c>
      <c r="K338" s="73" t="inlineStr">
        <is>
          <t>2026-01-20</t>
        </is>
      </c>
      <c r="L338" s="73" t="n"/>
      <c r="M338" s="73" t="inlineStr">
        <is>
          <t>Consulting</t>
        </is>
      </c>
      <c r="N338" s="73" t="inlineStr"/>
      <c r="O338" s="73" t="inlineStr">
        <is>
          <t>Ashutosh Chauhan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2025-09-16</t>
        </is>
      </c>
      <c r="Z338" s="73" t="inlineStr">
        <is>
          <t>https://app-na2.hubspot.com/contacts/243046792/record/0-3/161660191429</t>
        </is>
      </c>
      <c r="AA338" s="73" t="inlineStr"/>
    </row>
    <row r="339">
      <c r="A339" s="73" t="n">
        <v>338</v>
      </c>
      <c r="B339" s="73" t="inlineStr">
        <is>
          <t>267213774549</t>
        </is>
      </c>
      <c r="C339" s="73" t="inlineStr"/>
      <c r="D339" s="73" t="inlineStr">
        <is>
          <t>FY25 Application, Infrastructure, Hosting and Cloud Computing Services</t>
        </is>
      </c>
      <c r="E339" s="73" t="inlineStr">
        <is>
          <t>State of Alabama – Plumbers and Gas Fitters Examining Board</t>
        </is>
      </c>
      <c r="F339" s="73" t="inlineStr"/>
      <c r="G339" s="73" t="inlineStr">
        <is>
          <t>Submitted</t>
        </is>
      </c>
      <c r="H339" s="73" t="inlineStr"/>
      <c r="I339" s="73" t="inlineStr"/>
      <c r="J339" s="73" t="inlineStr">
        <is>
          <t>2026-01-20</t>
        </is>
      </c>
      <c r="K339" s="73" t="inlineStr">
        <is>
          <t>2026-01-20</t>
        </is>
      </c>
      <c r="L339" s="73" t="n"/>
      <c r="M339" s="73" t="inlineStr">
        <is>
          <t>Consulting</t>
        </is>
      </c>
      <c r="N339" s="73" t="inlineStr"/>
      <c r="O339" s="73" t="inlineStr">
        <is>
          <t>Savya Atrey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2026-01-20</t>
        </is>
      </c>
      <c r="Z339" s="73" t="inlineStr">
        <is>
          <t>https://app-na2.hubspot.com/contacts/243046792/record/0-3/267213774549</t>
        </is>
      </c>
      <c r="AA339" s="73" t="inlineStr"/>
    </row>
    <row r="340">
      <c r="A340" s="73" t="n">
        <v>339</v>
      </c>
      <c r="B340" s="73" t="inlineStr">
        <is>
          <t>245622151906</t>
        </is>
      </c>
      <c r="C340" s="73" t="inlineStr"/>
      <c r="D340" s="73" t="inlineStr">
        <is>
          <t>Professional and Technical Services for ArcGIS Utility Network Migration</t>
        </is>
      </c>
      <c r="E340" s="73" t="inlineStr">
        <is>
          <t>City of Battle Creek</t>
        </is>
      </c>
      <c r="F340" s="73" t="inlineStr">
        <is>
          <t>Michigan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2026-01-20</t>
        </is>
      </c>
      <c r="K340" s="73" t="inlineStr">
        <is>
          <t>2026-01-20</t>
        </is>
      </c>
      <c r="L340" s="75" t="n">
        <v>120500</v>
      </c>
      <c r="M340" s="73" t="inlineStr">
        <is>
          <t>Consulting</t>
        </is>
      </c>
      <c r="N340" s="73" t="inlineStr">
        <is>
          <t>Portal</t>
        </is>
      </c>
      <c r="O340" s="73" t="inlineStr">
        <is>
          <t>Ashutosh Chauhan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2025-12-22</t>
        </is>
      </c>
      <c r="Z340" s="73" t="inlineStr">
        <is>
          <t>https://app-na2.hubspot.com/contacts/243046792/record/0-3/245622151906</t>
        </is>
      </c>
      <c r="AA340" s="73" t="inlineStr"/>
    </row>
    <row r="341">
      <c r="A341" s="73" t="n">
        <v>340</v>
      </c>
      <c r="B341" s="73" t="inlineStr">
        <is>
          <t>157264848615</t>
        </is>
      </c>
      <c r="C341" s="73" t="inlineStr">
        <is>
          <t>RFP #25-04</t>
        </is>
      </c>
      <c r="D341" s="73" t="inlineStr">
        <is>
          <t>IT Managed Services</t>
        </is>
      </c>
      <c r="E341" s="73" t="inlineStr">
        <is>
          <t>City of Hudson Oaks</t>
        </is>
      </c>
      <c r="F341" s="73" t="inlineStr">
        <is>
          <t>Texas</t>
        </is>
      </c>
      <c r="G341" s="73" t="inlineStr">
        <is>
          <t>Closed Lost</t>
        </is>
      </c>
      <c r="H341" s="73" t="inlineStr"/>
      <c r="I341" s="73" t="inlineStr"/>
      <c r="J341" s="73" t="inlineStr">
        <is>
          <t>2026-01-20</t>
        </is>
      </c>
      <c r="K341" s="73" t="inlineStr">
        <is>
          <t>2025-10-09</t>
        </is>
      </c>
      <c r="L341" s="73" t="n"/>
      <c r="M341" s="73" t="inlineStr">
        <is>
          <t>Managed Services (MSP)</t>
        </is>
      </c>
      <c r="N341" s="73" t="inlineStr">
        <is>
          <t>Email</t>
        </is>
      </c>
      <c r="O341" s="73" t="inlineStr">
        <is>
          <t>Ashutosh Chauhan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2025-09-08</t>
        </is>
      </c>
      <c r="Z341" s="73" t="inlineStr">
        <is>
          <t>https://app-na2.hubspot.com/contacts/243046792/record/0-3/157264848615</t>
        </is>
      </c>
      <c r="AA341" s="73" t="inlineStr"/>
    </row>
    <row r="342">
      <c r="A342" s="73" t="n">
        <v>341</v>
      </c>
      <c r="B342" s="73" t="inlineStr">
        <is>
          <t>163845513922</t>
        </is>
      </c>
      <c r="C342" s="73" t="inlineStr">
        <is>
          <t xml:space="preserve">2025-11078 </t>
        </is>
      </c>
      <c r="D342" s="73" t="inlineStr">
        <is>
          <t>Technology Master Plan Development Services</t>
        </is>
      </c>
      <c r="E342" s="73" t="inlineStr">
        <is>
          <t xml:space="preserve">Spokane Transit Authority </t>
        </is>
      </c>
      <c r="F342" s="73" t="inlineStr">
        <is>
          <t>Washington</t>
        </is>
      </c>
      <c r="G342" s="73" t="inlineStr">
        <is>
          <t>Closed Lost</t>
        </is>
      </c>
      <c r="H342" s="73" t="inlineStr"/>
      <c r="I342" s="73" t="inlineStr"/>
      <c r="J342" s="73" t="inlineStr">
        <is>
          <t>2026-01-20</t>
        </is>
      </c>
      <c r="K342" s="73" t="inlineStr">
        <is>
          <t>2025-10-17</t>
        </is>
      </c>
      <c r="L342" s="73" t="n"/>
      <c r="M342" s="73" t="inlineStr">
        <is>
          <t>Consulting;Audits and Assessment</t>
        </is>
      </c>
      <c r="N342" s="73" t="inlineStr"/>
      <c r="O342" s="73" t="inlineStr">
        <is>
          <t>Arshdeep Kaur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2025-09-18</t>
        </is>
      </c>
      <c r="Z342" s="73" t="inlineStr">
        <is>
          <t>https://app-na2.hubspot.com/contacts/243046792/record/0-3/163845513922</t>
        </is>
      </c>
      <c r="AA342" s="73" t="inlineStr"/>
    </row>
    <row r="343">
      <c r="A343" s="73" t="n">
        <v>342</v>
      </c>
      <c r="B343" s="73" t="inlineStr">
        <is>
          <t>257228182254</t>
        </is>
      </c>
      <c r="C343" s="73" t="inlineStr"/>
      <c r="D343" s="73" t="inlineStr">
        <is>
          <t>Microsoft Power Platform, Azure Data Services, and Azure Artificial Intelligence Services</t>
        </is>
      </c>
      <c r="E343" s="73" t="inlineStr">
        <is>
          <t xml:space="preserve">Bay Area Air Quality Management District </t>
        </is>
      </c>
      <c r="F343" s="73" t="inlineStr">
        <is>
          <t>California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2026-01-21</t>
        </is>
      </c>
      <c r="K343" s="73" t="inlineStr">
        <is>
          <t>2026-01-21</t>
        </is>
      </c>
      <c r="L343" s="73" t="n"/>
      <c r="M343" s="73" t="inlineStr">
        <is>
          <t>Consulting</t>
        </is>
      </c>
      <c r="N343" s="73" t="inlineStr"/>
      <c r="O343" s="73" t="inlineStr">
        <is>
          <t>Savya Atrey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2026-01-08</t>
        </is>
      </c>
      <c r="Z343" s="73" t="inlineStr">
        <is>
          <t>https://app-na2.hubspot.com/contacts/243046792/record/0-3/257228182254</t>
        </is>
      </c>
      <c r="AA343" s="73" t="inlineStr"/>
    </row>
    <row r="344">
      <c r="A344" s="73" t="n">
        <v>343</v>
      </c>
      <c r="B344" s="73" t="inlineStr">
        <is>
          <t>255422636750</t>
        </is>
      </c>
      <c r="C344" s="73" t="inlineStr">
        <is>
          <t>RFP NO. 25-06 – IT</t>
        </is>
      </c>
      <c r="D344" s="73" t="inlineStr">
        <is>
          <t>Technology and Modernization Services</t>
        </is>
      </c>
      <c r="E344" s="73" t="inlineStr">
        <is>
          <t>Butler Metro Housing Authority</t>
        </is>
      </c>
      <c r="F344" s="73" t="inlineStr">
        <is>
          <t>Ohio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2026-01-21</t>
        </is>
      </c>
      <c r="K344" s="73" t="inlineStr">
        <is>
          <t>2026-01-21</t>
        </is>
      </c>
      <c r="L344" s="73" t="n"/>
      <c r="M344" s="73" t="inlineStr">
        <is>
          <t>Modernization / Migration</t>
        </is>
      </c>
      <c r="N344" s="73" t="inlineStr"/>
      <c r="O344" s="73" t="inlineStr">
        <is>
          <t>Savya Atrey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2026-01-06</t>
        </is>
      </c>
      <c r="Z344" s="73" t="inlineStr">
        <is>
          <t>https://app-na2.hubspot.com/contacts/243046792/record/0-3/255422636750</t>
        </is>
      </c>
      <c r="AA344" s="73" t="inlineStr"/>
    </row>
    <row r="345">
      <c r="A345" s="73" t="n">
        <v>344</v>
      </c>
      <c r="B345" s="73" t="inlineStr">
        <is>
          <t>199601320654</t>
        </is>
      </c>
      <c r="C345" s="73" t="inlineStr"/>
      <c r="D345" s="73" t="inlineStr">
        <is>
          <t>Cloud Intranet</t>
        </is>
      </c>
      <c r="E345" s="73" t="inlineStr">
        <is>
          <t xml:space="preserve">Suffolk County Office of Central Procurement  </t>
        </is>
      </c>
      <c r="F345" s="73" t="inlineStr">
        <is>
          <t>New York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2026-01-21</t>
        </is>
      </c>
      <c r="K345" s="73" t="inlineStr">
        <is>
          <t>2025-12-12</t>
        </is>
      </c>
      <c r="L345" s="75" t="n">
        <v>198750</v>
      </c>
      <c r="M345" s="73" t="inlineStr">
        <is>
          <t>Consulting</t>
        </is>
      </c>
      <c r="N345" s="73" t="inlineStr">
        <is>
          <t>Portal</t>
        </is>
      </c>
      <c r="O345" s="73" t="inlineStr">
        <is>
          <t>Ashutosh Chauhan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2025-10-27</t>
        </is>
      </c>
      <c r="Z345" s="73" t="inlineStr">
        <is>
          <t>https://app-na2.hubspot.com/contacts/243046792/record/0-3/199601320654</t>
        </is>
      </c>
      <c r="AA345" s="73" t="inlineStr"/>
    </row>
    <row r="346">
      <c r="A346" s="73" t="n">
        <v>345</v>
      </c>
      <c r="B346" s="73" t="inlineStr">
        <is>
          <t>225906283257</t>
        </is>
      </c>
      <c r="C346" s="73" t="inlineStr"/>
      <c r="D346" s="73" t="inlineStr">
        <is>
          <t>Information Systems Consultant</t>
        </is>
      </c>
      <c r="E346" s="73" t="inlineStr">
        <is>
          <t>Community Action Partnership of Kern</t>
        </is>
      </c>
      <c r="F346" s="73" t="inlineStr">
        <is>
          <t>California</t>
        </is>
      </c>
      <c r="G346" s="73" t="inlineStr">
        <is>
          <t>Closed Won</t>
        </is>
      </c>
      <c r="H346" s="73" t="inlineStr"/>
      <c r="I346" s="73" t="inlineStr"/>
      <c r="J346" s="73" t="inlineStr">
        <is>
          <t>2026-01-21</t>
        </is>
      </c>
      <c r="K346" s="73" t="inlineStr">
        <is>
          <t>2025-12-18</t>
        </is>
      </c>
      <c r="L346" s="73" t="n"/>
      <c r="M346" s="73" t="inlineStr">
        <is>
          <t>Consulting</t>
        </is>
      </c>
      <c r="N346" s="73" t="inlineStr">
        <is>
          <t>Email</t>
        </is>
      </c>
      <c r="O346" s="73" t="inlineStr">
        <is>
          <t>Ashutosh Chauhan</t>
        </is>
      </c>
      <c r="P346" s="73" t="inlineStr"/>
      <c r="Q346" s="73" t="inlineStr"/>
      <c r="R346" s="73" t="inlineStr"/>
      <c r="S346" s="73" t="inlineStr">
        <is>
          <t>2026-01-14</t>
        </is>
      </c>
      <c r="T346" s="73" t="inlineStr"/>
      <c r="U346" s="73" t="inlineStr">
        <is>
          <t>2026-01-14</t>
        </is>
      </c>
      <c r="V346" s="73" t="inlineStr">
        <is>
          <t>Awarded</t>
        </is>
      </c>
      <c r="W346" s="73" t="inlineStr"/>
      <c r="X346" s="73" t="inlineStr"/>
      <c r="Y346" s="73" t="inlineStr">
        <is>
          <t>2025-11-24</t>
        </is>
      </c>
      <c r="Z346" s="73" t="inlineStr">
        <is>
          <t>https://app-na2.hubspot.com/contacts/243046792/record/0-3/225906283257</t>
        </is>
      </c>
      <c r="AA346" s="73" t="inlineStr">
        <is>
          <t>Yes</t>
        </is>
      </c>
    </row>
    <row r="347">
      <c r="A347" s="73" t="n">
        <v>346</v>
      </c>
      <c r="B347" s="73" t="inlineStr">
        <is>
          <t>236125634275</t>
        </is>
      </c>
      <c r="C347" s="73" t="inlineStr">
        <is>
          <t>2001-25</t>
        </is>
      </c>
      <c r="D347" s="73" t="inlineStr">
        <is>
          <t>Cloud Services</t>
        </is>
      </c>
      <c r="E347" s="73" t="inlineStr">
        <is>
          <t>Hartford Housing Authority</t>
        </is>
      </c>
      <c r="F347" s="73" t="inlineStr">
        <is>
          <t>Connecticut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2026-01-22</t>
        </is>
      </c>
      <c r="K347" s="73" t="inlineStr">
        <is>
          <t>2026-01-22</t>
        </is>
      </c>
      <c r="L347" s="75" t="n">
        <v>256880</v>
      </c>
      <c r="M347" s="73" t="inlineStr">
        <is>
          <t>Managed Services (MSP)</t>
        </is>
      </c>
      <c r="N347" s="73" t="inlineStr">
        <is>
          <t>Email</t>
        </is>
      </c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2025-12-09</t>
        </is>
      </c>
      <c r="Z347" s="73" t="inlineStr">
        <is>
          <t>https://app-na2.hubspot.com/contacts/243046792/record/0-3/236125634275</t>
        </is>
      </c>
      <c r="AA347" s="73" t="inlineStr"/>
    </row>
    <row r="348">
      <c r="A348" s="73" t="n">
        <v>347</v>
      </c>
      <c r="B348" s="73" t="inlineStr">
        <is>
          <t>257293099725</t>
        </is>
      </c>
      <c r="C348" s="73" t="inlineStr">
        <is>
          <t>RFP 1100 PAB3025</t>
        </is>
      </c>
      <c r="D348" s="73" t="inlineStr">
        <is>
          <t>ADMS Consultant Implementation/Upgrade Services</t>
        </is>
      </c>
      <c r="E348" s="73" t="inlineStr">
        <is>
          <t>City of Austin</t>
        </is>
      </c>
      <c r="F348" s="73" t="inlineStr">
        <is>
          <t>Texas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2026-01-22</t>
        </is>
      </c>
      <c r="K348" s="73" t="inlineStr">
        <is>
          <t>2026-01-22</t>
        </is>
      </c>
      <c r="L348" s="75" t="n">
        <v>1800000</v>
      </c>
      <c r="M348" s="73" t="inlineStr">
        <is>
          <t>Consulting</t>
        </is>
      </c>
      <c r="N348" s="73" t="inlineStr">
        <is>
          <t>Portal</t>
        </is>
      </c>
      <c r="O348" s="73" t="inlineStr">
        <is>
          <t>Savya Atrey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2026-01-08</t>
        </is>
      </c>
      <c r="Z348" s="73" t="inlineStr">
        <is>
          <t>https://app-na2.hubspot.com/contacts/243046792/record/0-3/257293099725</t>
        </is>
      </c>
      <c r="AA348" s="73" t="inlineStr"/>
    </row>
    <row r="349">
      <c r="A349" s="73" t="n">
        <v>348</v>
      </c>
      <c r="B349" s="73" t="inlineStr">
        <is>
          <t>223308058320</t>
        </is>
      </c>
      <c r="C349" s="73" t="inlineStr"/>
      <c r="D349" s="73" t="inlineStr">
        <is>
          <t>ENTERPRISE RESOURCE PLANNING (ERP) SOFTWAREAND IMPLEMENTATION SERVICES</t>
        </is>
      </c>
      <c r="E349" s="73" t="inlineStr">
        <is>
          <t>Vero beach</t>
        </is>
      </c>
      <c r="F349" s="73" t="inlineStr">
        <is>
          <t>Florida</t>
        </is>
      </c>
      <c r="G349" s="73" t="inlineStr">
        <is>
          <t>Submitted</t>
        </is>
      </c>
      <c r="H349" s="73" t="inlineStr"/>
      <c r="I349" s="73" t="inlineStr"/>
      <c r="J349" s="73" t="inlineStr">
        <is>
          <t>2026-01-22</t>
        </is>
      </c>
      <c r="K349" s="73" t="inlineStr">
        <is>
          <t>2026-01-22</t>
        </is>
      </c>
      <c r="L349" s="73" t="n"/>
      <c r="M349" s="73" t="inlineStr">
        <is>
          <t>Platform Implementation (ERP, CRMs)</t>
        </is>
      </c>
      <c r="N349" s="73" t="inlineStr">
        <is>
          <t>Offline</t>
        </is>
      </c>
      <c r="O349" s="73" t="inlineStr">
        <is>
          <t>Jyothsna Nanda kishore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2025-11-19</t>
        </is>
      </c>
      <c r="Z349" s="73" t="inlineStr">
        <is>
          <t>https://app-na2.hubspot.com/contacts/243046792/record/0-3/223308058320</t>
        </is>
      </c>
      <c r="AA349" s="73" t="inlineStr"/>
    </row>
    <row r="350">
      <c r="A350" s="73" t="n">
        <v>349</v>
      </c>
      <c r="B350" s="73" t="inlineStr">
        <is>
          <t>256863960825</t>
        </is>
      </c>
      <c r="C350" s="73" t="inlineStr">
        <is>
          <t>RFP 25-71</t>
        </is>
      </c>
      <c r="D350" s="73" t="inlineStr">
        <is>
          <t>SEPA for Regional Cyber Incident Preparedness Project</t>
        </is>
      </c>
      <c r="E350" s="73" t="inlineStr">
        <is>
          <t>Montgomery County</t>
        </is>
      </c>
      <c r="F350" s="73" t="inlineStr">
        <is>
          <t>Pennsylvania</t>
        </is>
      </c>
      <c r="G350" s="73" t="inlineStr">
        <is>
          <t>Submitted</t>
        </is>
      </c>
      <c r="H350" s="73" t="inlineStr"/>
      <c r="I350" s="73" t="inlineStr"/>
      <c r="J350" s="73" t="inlineStr">
        <is>
          <t>2026-01-22</t>
        </is>
      </c>
      <c r="K350" s="73" t="inlineStr">
        <is>
          <t>2026-01-20</t>
        </is>
      </c>
      <c r="L350" s="75" t="n">
        <v>37300</v>
      </c>
      <c r="M350" s="73" t="inlineStr">
        <is>
          <t>Consulting</t>
        </is>
      </c>
      <c r="N350" s="73" t="inlineStr">
        <is>
          <t>Portal</t>
        </is>
      </c>
      <c r="O350" s="73" t="inlineStr">
        <is>
          <t>Savya Atrey</t>
        </is>
      </c>
      <c r="P350" s="73" t="inlineStr"/>
      <c r="Q350" s="73" t="inlineStr"/>
      <c r="R350" s="73" t="inlineStr"/>
      <c r="S350" s="73" t="inlineStr"/>
      <c r="T350" s="73" t="inlineStr"/>
      <c r="U350" s="73" t="inlineStr"/>
      <c r="V350" s="73" t="inlineStr"/>
      <c r="W350" s="73" t="inlineStr"/>
      <c r="X350" s="73" t="inlineStr"/>
      <c r="Y350" s="73" t="inlineStr">
        <is>
          <t>2026-01-08</t>
        </is>
      </c>
      <c r="Z350" s="73" t="inlineStr">
        <is>
          <t>https://app-na2.hubspot.com/contacts/243046792/record/0-3/256863960825</t>
        </is>
      </c>
      <c r="AA350" s="73" t="inlineStr"/>
    </row>
    <row r="351">
      <c r="A351" s="73" t="n">
        <v>350</v>
      </c>
      <c r="B351" s="73" t="inlineStr">
        <is>
          <t>253057082092</t>
        </is>
      </c>
      <c r="C351" s="73" t="inlineStr"/>
      <c r="D351" s="73" t="inlineStr">
        <is>
          <t>Security Information and Event Management Platform</t>
        </is>
      </c>
      <c r="E351" s="73" t="inlineStr">
        <is>
          <t>City of Lee's Summit</t>
        </is>
      </c>
      <c r="F351" s="73" t="inlineStr">
        <is>
          <t>Missouri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2026-01-22</t>
        </is>
      </c>
      <c r="K351" s="73" t="inlineStr">
        <is>
          <t>2026-01-22</t>
        </is>
      </c>
      <c r="L351" s="73" t="n"/>
      <c r="M351" s="73" t="inlineStr">
        <is>
          <t>Modernization / Migration</t>
        </is>
      </c>
      <c r="N351" s="73" t="inlineStr"/>
      <c r="O351" s="73" t="inlineStr">
        <is>
          <t>Jyothsna Nanda kishore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2026-01-07</t>
        </is>
      </c>
      <c r="Z351" s="73" t="inlineStr">
        <is>
          <t>https://app-na2.hubspot.com/contacts/243046792/record/0-3/253057082092</t>
        </is>
      </c>
      <c r="AA351" s="73" t="inlineStr"/>
    </row>
    <row r="352">
      <c r="A352" s="73" t="n">
        <v>351</v>
      </c>
      <c r="B352" s="73" t="inlineStr">
        <is>
          <t>255640222432</t>
        </is>
      </c>
      <c r="C352" s="73" t="inlineStr">
        <is>
          <t>2026-086</t>
        </is>
      </c>
      <c r="D352" s="73" t="inlineStr">
        <is>
          <t>Microsoft Authorized License Reseller</t>
        </is>
      </c>
      <c r="E352" s="73" t="inlineStr">
        <is>
          <t>Roanoke County</t>
        </is>
      </c>
      <c r="F352" s="73" t="inlineStr">
        <is>
          <t>Virginia</t>
        </is>
      </c>
      <c r="G352" s="73" t="inlineStr">
        <is>
          <t>Submitted</t>
        </is>
      </c>
      <c r="H352" s="73" t="inlineStr"/>
      <c r="I352" s="73" t="inlineStr"/>
      <c r="J352" s="73" t="inlineStr">
        <is>
          <t>2026-01-23</t>
        </is>
      </c>
      <c r="K352" s="73" t="inlineStr">
        <is>
          <t>2026-01-23</t>
        </is>
      </c>
      <c r="L352" s="73" t="n"/>
      <c r="M352" s="73" t="inlineStr">
        <is>
          <t>Reseller</t>
        </is>
      </c>
      <c r="N352" s="73" t="inlineStr">
        <is>
          <t>Portal</t>
        </is>
      </c>
      <c r="O352" s="73" t="inlineStr">
        <is>
          <t>Ashutosh Chauhan</t>
        </is>
      </c>
      <c r="P352" s="73" t="inlineStr"/>
      <c r="Q352" s="73" t="inlineStr"/>
      <c r="R352" s="73" t="inlineStr"/>
      <c r="S352" s="73" t="inlineStr"/>
      <c r="T352" s="73" t="inlineStr"/>
      <c r="U352" s="73" t="inlineStr"/>
      <c r="V352" s="73" t="inlineStr"/>
      <c r="W352" s="73" t="inlineStr"/>
      <c r="X352" s="73" t="inlineStr"/>
      <c r="Y352" s="73" t="inlineStr">
        <is>
          <t>2026-01-06</t>
        </is>
      </c>
      <c r="Z352" s="73" t="inlineStr">
        <is>
          <t>https://app-na2.hubspot.com/contacts/243046792/record/0-3/255640222432</t>
        </is>
      </c>
      <c r="AA352" s="73" t="inlineStr"/>
    </row>
    <row r="353">
      <c r="A353" s="73" t="n">
        <v>352</v>
      </c>
      <c r="B353" s="73" t="inlineStr">
        <is>
          <t>255640222454</t>
        </is>
      </c>
      <c r="C353" s="73" t="inlineStr"/>
      <c r="D353" s="73" t="inlineStr">
        <is>
          <t>Managed Information Technology Support Services</t>
        </is>
      </c>
      <c r="E353" s="73" t="inlineStr">
        <is>
          <t>City of Frontenac</t>
        </is>
      </c>
      <c r="F353" s="73" t="inlineStr">
        <is>
          <t>Missouri</t>
        </is>
      </c>
      <c r="G353" s="73" t="inlineStr">
        <is>
          <t>Submitted</t>
        </is>
      </c>
      <c r="H353" s="73" t="inlineStr"/>
      <c r="I353" s="73" t="inlineStr"/>
      <c r="J353" s="73" t="inlineStr">
        <is>
          <t>2026-01-23</t>
        </is>
      </c>
      <c r="K353" s="73" t="inlineStr">
        <is>
          <t>2026-01-23</t>
        </is>
      </c>
      <c r="L353" s="75" t="n">
        <v>83400</v>
      </c>
      <c r="M353" s="73" t="inlineStr">
        <is>
          <t>Managed Services (MSP)</t>
        </is>
      </c>
      <c r="N353" s="73" t="inlineStr">
        <is>
          <t>Email</t>
        </is>
      </c>
      <c r="O353" s="73" t="inlineStr">
        <is>
          <t>Ashutosh Chauhan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2026-01-06</t>
        </is>
      </c>
      <c r="Z353" s="73" t="inlineStr">
        <is>
          <t>https://app-na2.hubspot.com/contacts/243046792/record/0-3/255640222454</t>
        </is>
      </c>
      <c r="AA353" s="73" t="inlineStr"/>
    </row>
    <row r="354">
      <c r="A354" s="73" t="n">
        <v>353</v>
      </c>
      <c r="B354" s="73" t="inlineStr">
        <is>
          <t>235964613326</t>
        </is>
      </c>
      <c r="C354" s="73" t="inlineStr"/>
      <c r="D354" s="73" t="inlineStr">
        <is>
          <t>Transformational AI Capabilities for DOE NNSA</t>
        </is>
      </c>
      <c r="E354" s="73" t="inlineStr">
        <is>
          <t>Department of Energy</t>
        </is>
      </c>
      <c r="F354" s="73" t="inlineStr">
        <is>
          <t>US</t>
        </is>
      </c>
      <c r="G354" s="73" t="inlineStr">
        <is>
          <t>Submitted</t>
        </is>
      </c>
      <c r="H354" s="73" t="inlineStr"/>
      <c r="I354" s="73" t="inlineStr"/>
      <c r="J354" s="73" t="inlineStr">
        <is>
          <t>2026-01-23</t>
        </is>
      </c>
      <c r="K354" s="73" t="inlineStr">
        <is>
          <t>2026-01-23</t>
        </is>
      </c>
      <c r="L354" s="73" t="n"/>
      <c r="M354" s="73" t="inlineStr">
        <is>
          <t>Consulting</t>
        </is>
      </c>
      <c r="N354" s="73" t="inlineStr">
        <is>
          <t>Email</t>
        </is>
      </c>
      <c r="O354" s="73" t="inlineStr">
        <is>
          <t>Ashutosh Chauhan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2025-12-09</t>
        </is>
      </c>
      <c r="Z354" s="73" t="inlineStr">
        <is>
          <t>https://app-na2.hubspot.com/contacts/243046792/record/0-3/235964613326</t>
        </is>
      </c>
      <c r="AA354" s="73" t="inlineStr"/>
    </row>
    <row r="355">
      <c r="A355" s="73" t="n">
        <v>354</v>
      </c>
      <c r="B355" s="73" t="inlineStr">
        <is>
          <t>253057032914</t>
        </is>
      </c>
      <c r="C355" s="73" t="inlineStr"/>
      <c r="D355" s="73" t="inlineStr">
        <is>
          <t>Board of Elections Foundations Google</t>
        </is>
      </c>
      <c r="E355" s="73" t="inlineStr">
        <is>
          <t>New York State Board of Elections (NYSBOE)</t>
        </is>
      </c>
      <c r="F355" s="73" t="inlineStr">
        <is>
          <t>New York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2026-01-23</t>
        </is>
      </c>
      <c r="K355" s="73" t="inlineStr">
        <is>
          <t>2026-01-23</t>
        </is>
      </c>
      <c r="L355" s="73" t="n"/>
      <c r="M355" s="73" t="inlineStr">
        <is>
          <t>Platform Implementation (ERP, CRMs)</t>
        </is>
      </c>
      <c r="N355" s="73" t="inlineStr"/>
      <c r="O355" s="73" t="inlineStr">
        <is>
          <t>Ashutosh Chauhan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2026-01-06</t>
        </is>
      </c>
      <c r="Z355" s="73" t="inlineStr">
        <is>
          <t>https://app-na2.hubspot.com/contacts/243046792/record/0-3/253057032914</t>
        </is>
      </c>
      <c r="AA355" s="73" t="inlineStr"/>
    </row>
    <row r="356">
      <c r="A356" s="73" t="n">
        <v>355</v>
      </c>
      <c r="B356" s="73" t="inlineStr">
        <is>
          <t>237725763303</t>
        </is>
      </c>
      <c r="C356" s="73" t="inlineStr">
        <is>
          <t>25114</t>
        </is>
      </c>
      <c r="D356" s="73" t="inlineStr">
        <is>
          <t>SAP SuccessFactors Onboarding, Offboarding, Crossboarding Implementation Services</t>
        </is>
      </c>
      <c r="E356" s="73" t="inlineStr">
        <is>
          <t>Nebraska Public Power District</t>
        </is>
      </c>
      <c r="F356" s="73" t="inlineStr">
        <is>
          <t>Nebraska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2026-01-23</t>
        </is>
      </c>
      <c r="K356" s="73" t="inlineStr">
        <is>
          <t>2026-01-23</t>
        </is>
      </c>
      <c r="L356" s="75" t="n">
        <v>52320</v>
      </c>
      <c r="M356" s="73" t="inlineStr">
        <is>
          <t>Platform Implementation (ERP, CRMs)</t>
        </is>
      </c>
      <c r="N356" s="73" t="inlineStr">
        <is>
          <t>Email</t>
        </is>
      </c>
      <c r="O356" s="73" t="inlineStr">
        <is>
          <t>Ashutosh Chauhan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2025-12-10</t>
        </is>
      </c>
      <c r="Z356" s="73" t="inlineStr">
        <is>
          <t>https://app-na2.hubspot.com/contacts/243046792/record/0-3/237725763303</t>
        </is>
      </c>
      <c r="AA356" s="73" t="inlineStr"/>
    </row>
    <row r="357">
      <c r="A357" s="73" t="n">
        <v>356</v>
      </c>
      <c r="B357" s="73" t="inlineStr">
        <is>
          <t>253057083080</t>
        </is>
      </c>
      <c r="C357" s="73" t="inlineStr"/>
      <c r="D357" s="73" t="inlineStr">
        <is>
          <t>TL Consultant and Project Management for IT Projects</t>
        </is>
      </c>
      <c r="E357" s="73" t="inlineStr">
        <is>
          <t>Kane County</t>
        </is>
      </c>
      <c r="F357" s="73" t="inlineStr">
        <is>
          <t>Illinois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2026-01-23</t>
        </is>
      </c>
      <c r="K357" s="73" t="inlineStr">
        <is>
          <t>2026-01-23</t>
        </is>
      </c>
      <c r="L357" s="73" t="n"/>
      <c r="M357" s="73" t="inlineStr">
        <is>
          <t>Consulting</t>
        </is>
      </c>
      <c r="N357" s="73" t="inlineStr">
        <is>
          <t>Portal</t>
        </is>
      </c>
      <c r="O357" s="73" t="inlineStr">
        <is>
          <t>Jyothsna Nanda kishore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2026-01-07</t>
        </is>
      </c>
      <c r="Z357" s="73" t="inlineStr">
        <is>
          <t>https://app-na2.hubspot.com/contacts/243046792/record/0-3/253057083080</t>
        </is>
      </c>
      <c r="AA357" s="73" t="inlineStr"/>
    </row>
    <row r="358">
      <c r="A358" s="73" t="n">
        <v>357</v>
      </c>
      <c r="B358" s="73" t="inlineStr">
        <is>
          <t>245627910888</t>
        </is>
      </c>
      <c r="C358" s="73" t="inlineStr"/>
      <c r="D358" s="73" t="inlineStr">
        <is>
          <t>Managed Services Support for Workforce Software</t>
        </is>
      </c>
      <c r="E358" s="73" t="inlineStr">
        <is>
          <t>Denver Public Schools</t>
        </is>
      </c>
      <c r="F358" s="73" t="inlineStr">
        <is>
          <t>Colorado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2026-01-23</t>
        </is>
      </c>
      <c r="K358" s="73" t="inlineStr">
        <is>
          <t>2026-01-23</t>
        </is>
      </c>
      <c r="L358" s="73" t="n"/>
      <c r="M358" s="73" t="inlineStr">
        <is>
          <t>Managed Services (MSP)</t>
        </is>
      </c>
      <c r="N358" s="73" t="inlineStr">
        <is>
          <t>Email</t>
        </is>
      </c>
      <c r="O358" s="73" t="inlineStr">
        <is>
          <t>Ashutosh Chauhan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2025-12-22</t>
        </is>
      </c>
      <c r="Z358" s="73" t="inlineStr">
        <is>
          <t>https://app-na2.hubspot.com/contacts/243046792/record/0-3/245627910888</t>
        </is>
      </c>
      <c r="AA358" s="73" t="inlineStr"/>
    </row>
    <row r="359">
      <c r="A359" s="73" t="n">
        <v>358</v>
      </c>
      <c r="B359" s="73" t="inlineStr">
        <is>
          <t>253070304989</t>
        </is>
      </c>
      <c r="C359" s="73" t="inlineStr"/>
      <c r="D359" s="73" t="inlineStr">
        <is>
          <t xml:space="preserve">Computer &amp; Information Technology (IT) Services </t>
        </is>
      </c>
      <c r="E359" s="73" t="inlineStr">
        <is>
          <t>Town of Thompson</t>
        </is>
      </c>
      <c r="F359" s="73" t="inlineStr">
        <is>
          <t>New York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2026-01-23</t>
        </is>
      </c>
      <c r="K359" s="73" t="inlineStr">
        <is>
          <t>2026-01-23</t>
        </is>
      </c>
      <c r="L359" s="73" t="n"/>
      <c r="M359" s="73" t="inlineStr">
        <is>
          <t>Managed Services (MSP)</t>
        </is>
      </c>
      <c r="N359" s="73" t="inlineStr"/>
      <c r="O359" s="73" t="inlineStr">
        <is>
          <t>Ashutosh Chauhan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2026-01-07</t>
        </is>
      </c>
      <c r="Z359" s="73" t="inlineStr">
        <is>
          <t>https://app-na2.hubspot.com/contacts/243046792/record/0-3/253070304989</t>
        </is>
      </c>
      <c r="AA359" s="73" t="inlineStr"/>
    </row>
    <row r="360">
      <c r="A360" s="73" t="n">
        <v>359</v>
      </c>
      <c r="B360" s="73" t="inlineStr">
        <is>
          <t>255828500216</t>
        </is>
      </c>
      <c r="C360" s="73" t="inlineStr"/>
      <c r="D360" s="73" t="inlineStr">
        <is>
          <t>Oracle Database Maintenance and Support Services</t>
        </is>
      </c>
      <c r="E360" s="73" t="inlineStr">
        <is>
          <t xml:space="preserve">Corrections and Rehabilitation </t>
        </is>
      </c>
      <c r="F360" s="73" t="inlineStr">
        <is>
          <t>Hawaii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2026-01-23</t>
        </is>
      </c>
      <c r="K360" s="73" t="inlineStr">
        <is>
          <t>2026-01-22</t>
        </is>
      </c>
      <c r="L360" s="73" t="n"/>
      <c r="M360" s="73" t="inlineStr">
        <is>
          <t>Support &amp; Maintenance</t>
        </is>
      </c>
      <c r="N360" s="73" t="inlineStr">
        <is>
          <t>Portal</t>
        </is>
      </c>
      <c r="O360" s="73" t="inlineStr">
        <is>
          <t>Ashutosh Chauhan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2026-01-07</t>
        </is>
      </c>
      <c r="Z360" s="73" t="inlineStr">
        <is>
          <t>https://app-na2.hubspot.com/contacts/243046792/record/0-3/255828500216</t>
        </is>
      </c>
      <c r="AA360" s="73" t="inlineStr"/>
    </row>
    <row r="361">
      <c r="A361" s="73" t="n">
        <v>360</v>
      </c>
      <c r="B361" s="73" t="inlineStr">
        <is>
          <t>225906287352</t>
        </is>
      </c>
      <c r="C361" s="73" t="inlineStr"/>
      <c r="D361" s="73" t="inlineStr">
        <is>
          <t>Small Software Application Development</t>
        </is>
      </c>
      <c r="E361" s="73" t="inlineStr">
        <is>
          <t xml:space="preserve">Insurance Reserve Fund </t>
        </is>
      </c>
      <c r="F361" s="73" t="inlineStr">
        <is>
          <t>South Carolina</t>
        </is>
      </c>
      <c r="G361" s="73" t="inlineStr">
        <is>
          <t>Intent to Award</t>
        </is>
      </c>
      <c r="H361" s="73" t="inlineStr"/>
      <c r="I361" s="73" t="inlineStr"/>
      <c r="J361" s="73" t="inlineStr">
        <is>
          <t>2026-01-26</t>
        </is>
      </c>
      <c r="K361" s="73" t="inlineStr">
        <is>
          <t>2026-01-26</t>
        </is>
      </c>
      <c r="L361" s="73" t="n"/>
      <c r="M361" s="73" t="inlineStr">
        <is>
          <t>Staff Augmentation</t>
        </is>
      </c>
      <c r="N361" s="73" t="inlineStr">
        <is>
          <t>Portal</t>
        </is>
      </c>
      <c r="O361" s="73" t="inlineStr">
        <is>
          <t>Ashutosh Chauhan</t>
        </is>
      </c>
      <c r="P361" s="73" t="inlineStr"/>
      <c r="Q361" s="73" t="inlineStr"/>
      <c r="R361" s="73" t="inlineStr"/>
      <c r="S361" s="73" t="inlineStr">
        <is>
          <t>2026-03-02</t>
        </is>
      </c>
      <c r="T361" s="73" t="inlineStr"/>
      <c r="U361" s="73" t="inlineStr">
        <is>
          <t>2026-03-18</t>
        </is>
      </c>
      <c r="V361" s="73" t="inlineStr"/>
      <c r="W361" s="73" t="inlineStr"/>
      <c r="X361" s="73" t="inlineStr"/>
      <c r="Y361" s="73" t="inlineStr">
        <is>
          <t>2025-11-24</t>
        </is>
      </c>
      <c r="Z361" s="73" t="inlineStr">
        <is>
          <t>https://app-na2.hubspot.com/contacts/243046792/record/0-3/225906287352</t>
        </is>
      </c>
      <c r="AA361" s="73" t="inlineStr"/>
    </row>
    <row r="362">
      <c r="A362" s="73" t="n">
        <v>361</v>
      </c>
      <c r="B362" s="73" t="inlineStr">
        <is>
          <t>270520036083</t>
        </is>
      </c>
      <c r="C362" s="73" t="inlineStr">
        <is>
          <t>SRC0000032729</t>
        </is>
      </c>
      <c r="D362" s="73" t="inlineStr">
        <is>
          <t>Data Integration System</t>
        </is>
      </c>
      <c r="E362" s="73" t="inlineStr">
        <is>
          <t>State of Alabama - Department of Communications</t>
        </is>
      </c>
      <c r="F362" s="73" t="inlineStr">
        <is>
          <t>Alabama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2026-01-26</t>
        </is>
      </c>
      <c r="K362" s="73" t="inlineStr">
        <is>
          <t>2026-01-26</t>
        </is>
      </c>
      <c r="L362" s="75" t="n">
        <v>31000</v>
      </c>
      <c r="M362" s="73" t="inlineStr">
        <is>
          <t>Support &amp; Maintenance</t>
        </is>
      </c>
      <c r="N362" s="73" t="inlineStr">
        <is>
          <t>Portal</t>
        </is>
      </c>
      <c r="O362" s="73" t="inlineStr">
        <is>
          <t>Abhishek Zalani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2026-01-23</t>
        </is>
      </c>
      <c r="Z362" s="73" t="inlineStr">
        <is>
          <t>https://app-na2.hubspot.com/contacts/243046792/record/0-3/270520036083</t>
        </is>
      </c>
      <c r="AA362" s="73" t="inlineStr"/>
    </row>
    <row r="363">
      <c r="A363" s="73" t="n">
        <v>362</v>
      </c>
      <c r="B363" s="73" t="inlineStr">
        <is>
          <t>169109642951</t>
        </is>
      </c>
      <c r="C363" s="73" t="inlineStr">
        <is>
          <t>242-25-00022</t>
        </is>
      </c>
      <c r="D363" s="73" t="inlineStr">
        <is>
          <t xml:space="preserve">Consulting &amp; Training Support - Workday Adaptive Planning </t>
        </is>
      </c>
      <c r="E363" s="73" t="inlineStr">
        <is>
          <t>Christopher Newport University</t>
        </is>
      </c>
      <c r="F363" s="73" t="inlineStr">
        <is>
          <t>Virginia</t>
        </is>
      </c>
      <c r="G363" s="73" t="inlineStr">
        <is>
          <t>Closed Won</t>
        </is>
      </c>
      <c r="H363" s="73" t="inlineStr">
        <is>
          <t>Yes</t>
        </is>
      </c>
      <c r="I363" s="73" t="inlineStr">
        <is>
          <t>Interview</t>
        </is>
      </c>
      <c r="J363" s="73" t="inlineStr">
        <is>
          <t>2026-01-27</t>
        </is>
      </c>
      <c r="K363" s="73" t="inlineStr">
        <is>
          <t>2025-10-18</t>
        </is>
      </c>
      <c r="L363" s="75" t="n">
        <v>30000</v>
      </c>
      <c r="M363" s="73" t="inlineStr">
        <is>
          <t>Consulting;Training</t>
        </is>
      </c>
      <c r="N363" s="73" t="inlineStr">
        <is>
          <t>Offline</t>
        </is>
      </c>
      <c r="O363" s="73" t="inlineStr">
        <is>
          <t>Ashutosh Chauhan</t>
        </is>
      </c>
      <c r="P363" s="73" t="inlineStr">
        <is>
          <t>Interview Scheduled</t>
        </is>
      </c>
      <c r="Q363" s="73" t="inlineStr">
        <is>
          <t>2025-12-08</t>
        </is>
      </c>
      <c r="R363" s="73" t="inlineStr"/>
      <c r="S363" s="73" t="inlineStr">
        <is>
          <t>2026-01-14</t>
        </is>
      </c>
      <c r="T363" s="73" t="inlineStr"/>
      <c r="U363" s="73" t="inlineStr">
        <is>
          <t>2026-01-26</t>
        </is>
      </c>
      <c r="V363" s="73" t="inlineStr"/>
      <c r="W363" s="73" t="inlineStr"/>
      <c r="X363" s="73" t="inlineStr"/>
      <c r="Y363" s="73" t="inlineStr">
        <is>
          <t>2025-09-24</t>
        </is>
      </c>
      <c r="Z363" s="73" t="inlineStr">
        <is>
          <t>https://app-na2.hubspot.com/contacts/243046792/record/0-3/169109642951</t>
        </is>
      </c>
      <c r="AA363" s="73" t="inlineStr"/>
    </row>
    <row r="364">
      <c r="A364" s="73" t="n">
        <v>363</v>
      </c>
      <c r="B364" s="73" t="inlineStr">
        <is>
          <t>259549800169</t>
        </is>
      </c>
      <c r="C364" s="73" t="inlineStr">
        <is>
          <t>P2025WMS</t>
        </is>
      </c>
      <c r="D364" s="73" t="inlineStr">
        <is>
          <t>Web Management Services</t>
        </is>
      </c>
      <c r="E364" s="73" t="inlineStr">
        <is>
          <t>Housing Authority of the City of Daytona Beach</t>
        </is>
      </c>
      <c r="F364" s="73" t="inlineStr">
        <is>
          <t>Florida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2026-01-28</t>
        </is>
      </c>
      <c r="K364" s="73" t="inlineStr">
        <is>
          <t>2026-01-28</t>
        </is>
      </c>
      <c r="L364" s="73" t="n"/>
      <c r="M364" s="73" t="inlineStr">
        <is>
          <t>Consulting</t>
        </is>
      </c>
      <c r="N364" s="73" t="inlineStr"/>
      <c r="O364" s="73" t="inlineStr">
        <is>
          <t>Jyothsna Nanda kishore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2026-01-12</t>
        </is>
      </c>
      <c r="Z364" s="73" t="inlineStr">
        <is>
          <t>https://app-na2.hubspot.com/contacts/243046792/record/0-3/259549800169</t>
        </is>
      </c>
      <c r="AA364" s="73" t="inlineStr"/>
    </row>
    <row r="365">
      <c r="A365" s="73" t="n">
        <v>364</v>
      </c>
      <c r="B365" s="73" t="inlineStr">
        <is>
          <t>260429488875</t>
        </is>
      </c>
      <c r="C365" s="73" t="inlineStr"/>
      <c r="D365" s="73" t="inlineStr">
        <is>
          <t>INFORMATION TECHNOLOGY MANAGEMENT AND COMPUTER CONSULTING SERVICES FOR COMPUTERS, PROGRAMS AND PERIPHERAL COMPUTER EQUIPMENT THROUGHOUT THE DEPARTMENTS OF THE BOROUGH OF MIDDLESEX</t>
        </is>
      </c>
      <c r="E365" s="73" t="inlineStr">
        <is>
          <t>Borough of Middlesex</t>
        </is>
      </c>
      <c r="F365" s="73" t="inlineStr">
        <is>
          <t>New Jersey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2026-01-28</t>
        </is>
      </c>
      <c r="K365" s="73" t="inlineStr">
        <is>
          <t>2026-01-28</t>
        </is>
      </c>
      <c r="L365" s="73" t="n"/>
      <c r="M365" s="73" t="inlineStr">
        <is>
          <t>Consulting;Managed Services (MSP)</t>
        </is>
      </c>
      <c r="N365" s="73" t="inlineStr">
        <is>
          <t>Offline</t>
        </is>
      </c>
      <c r="O365" s="73" t="inlineStr">
        <is>
          <t>Jyothsna Nanda kishore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2026-01-14</t>
        </is>
      </c>
      <c r="Z365" s="73" t="inlineStr">
        <is>
          <t>https://app-na2.hubspot.com/contacts/243046792/record/0-3/260429488875</t>
        </is>
      </c>
      <c r="AA365" s="73" t="inlineStr"/>
    </row>
    <row r="366">
      <c r="A366" s="73" t="n">
        <v>365</v>
      </c>
      <c r="B366" s="73" t="inlineStr">
        <is>
          <t>259790270153</t>
        </is>
      </c>
      <c r="C366" s="73" t="inlineStr">
        <is>
          <t xml:space="preserve">Invitation to Negotiate (ITN), No. 2526-01 </t>
        </is>
      </c>
      <c r="D366" s="73" t="inlineStr">
        <is>
          <t>Claims System Modernization</t>
        </is>
      </c>
      <c r="E366" s="73" t="inlineStr">
        <is>
          <t xml:space="preserve">Florida Department of Financial Services </t>
        </is>
      </c>
      <c r="F366" s="73" t="inlineStr">
        <is>
          <t>Florida</t>
        </is>
      </c>
      <c r="G366" s="73" t="inlineStr">
        <is>
          <t>Submitted</t>
        </is>
      </c>
      <c r="H366" s="73" t="inlineStr"/>
      <c r="I366" s="73" t="inlineStr"/>
      <c r="J366" s="73" t="inlineStr">
        <is>
          <t>2026-01-28</t>
        </is>
      </c>
      <c r="K366" s="73" t="inlineStr">
        <is>
          <t>2026-01-31</t>
        </is>
      </c>
      <c r="L366" s="75" t="n">
        <v>1989362</v>
      </c>
      <c r="M366" s="73" t="inlineStr">
        <is>
          <t>Platform Implementation (ERP, CRMs)</t>
        </is>
      </c>
      <c r="N366" s="73" t="inlineStr">
        <is>
          <t>Offline</t>
        </is>
      </c>
      <c r="O366" s="73" t="inlineStr">
        <is>
          <t>Abhishek Zalani</t>
        </is>
      </c>
      <c r="P366" s="73" t="inlineStr"/>
      <c r="Q366" s="73" t="inlineStr"/>
      <c r="R366" s="73" t="inlineStr"/>
      <c r="S366" s="73" t="inlineStr"/>
      <c r="T366" s="73" t="inlineStr"/>
      <c r="U366" s="73" t="inlineStr"/>
      <c r="V366" s="73" t="inlineStr"/>
      <c r="W366" s="73" t="inlineStr"/>
      <c r="X366" s="73" t="inlineStr"/>
      <c r="Y366" s="73" t="inlineStr">
        <is>
          <t>2026-01-13</t>
        </is>
      </c>
      <c r="Z366" s="73" t="inlineStr">
        <is>
          <t>https://app-na2.hubspot.com/contacts/243046792/record/0-3/259790270153</t>
        </is>
      </c>
      <c r="AA366" s="73" t="inlineStr"/>
    </row>
    <row r="367">
      <c r="A367" s="73" t="n">
        <v>366</v>
      </c>
      <c r="B367" s="73" t="inlineStr">
        <is>
          <t>235608146653</t>
        </is>
      </c>
      <c r="C367" s="73" t="inlineStr"/>
      <c r="D367" s="73" t="inlineStr">
        <is>
          <t>Salesforce Professional Services</t>
        </is>
      </c>
      <c r="E367" s="73" t="inlineStr">
        <is>
          <t>Department of Information Technology (DoIT)</t>
        </is>
      </c>
      <c r="F367" s="73" t="inlineStr">
        <is>
          <t>New Hampshire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2026-01-29</t>
        </is>
      </c>
      <c r="K367" s="73" t="inlineStr">
        <is>
          <t>2026-01-29</t>
        </is>
      </c>
      <c r="L367" s="73" t="n"/>
      <c r="M367" s="73" t="inlineStr">
        <is>
          <t>Platform Implementation (ERP, CRMs)</t>
        </is>
      </c>
      <c r="N367" s="73" t="inlineStr">
        <is>
          <t>Email</t>
        </is>
      </c>
      <c r="O367" s="73" t="inlineStr">
        <is>
          <t>Ashutosh Chauhan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2025-12-09</t>
        </is>
      </c>
      <c r="Z367" s="73" t="inlineStr">
        <is>
          <t>https://app-na2.hubspot.com/contacts/243046792/record/0-3/235608146653</t>
        </is>
      </c>
      <c r="AA367" s="73" t="inlineStr"/>
    </row>
    <row r="368">
      <c r="A368" s="73" t="n">
        <v>367</v>
      </c>
      <c r="B368" s="73" t="inlineStr">
        <is>
          <t>267448777444</t>
        </is>
      </c>
      <c r="C368" s="73" t="inlineStr"/>
      <c r="D368" s="73" t="inlineStr">
        <is>
          <t>OFF - Design, Hosting, and Implementation of the Town Website and Online Forms Platform</t>
        </is>
      </c>
      <c r="E368" s="73" t="inlineStr">
        <is>
          <t>THE TOWN OF IRONDEQUOIT</t>
        </is>
      </c>
      <c r="F368" s="73" t="inlineStr">
        <is>
          <t>New York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2026-01-29</t>
        </is>
      </c>
      <c r="K368" s="73" t="inlineStr">
        <is>
          <t>2026-01-28</t>
        </is>
      </c>
      <c r="L368" s="73" t="n"/>
      <c r="M368" s="73" t="inlineStr">
        <is>
          <t>Consulting</t>
        </is>
      </c>
      <c r="N368" s="73" t="inlineStr">
        <is>
          <t>Offline;Email</t>
        </is>
      </c>
      <c r="O368" s="73" t="inlineStr">
        <is>
          <t>Abhishek Zalani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2026-01-21</t>
        </is>
      </c>
      <c r="Z368" s="73" t="inlineStr">
        <is>
          <t>https://app-na2.hubspot.com/contacts/243046792/record/0-3/267448777444</t>
        </is>
      </c>
      <c r="AA368" s="73" t="inlineStr"/>
    </row>
    <row r="369">
      <c r="A369" s="73" t="n">
        <v>368</v>
      </c>
      <c r="B369" s="73" t="inlineStr">
        <is>
          <t>254846650094</t>
        </is>
      </c>
      <c r="C369" s="73" t="inlineStr"/>
      <c r="D369" s="73" t="inlineStr">
        <is>
          <t>IT Managed Services</t>
        </is>
      </c>
      <c r="E369" s="73" t="inlineStr">
        <is>
          <t>Kentuckiana Regional Planning &amp; Development Agency</t>
        </is>
      </c>
      <c r="F369" s="73" t="inlineStr">
        <is>
          <t>Kentucky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2026-01-29</t>
        </is>
      </c>
      <c r="K369" s="73" t="inlineStr">
        <is>
          <t>2026-01-30</t>
        </is>
      </c>
      <c r="L369" s="73" t="n"/>
      <c r="M369" s="73" t="inlineStr">
        <is>
          <t>Managed Services (MSP)</t>
        </is>
      </c>
      <c r="N369" s="73" t="inlineStr">
        <is>
          <t>Email</t>
        </is>
      </c>
      <c r="O369" s="73" t="inlineStr">
        <is>
          <t>Ashutosh Chauhan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2026-01-07</t>
        </is>
      </c>
      <c r="Z369" s="73" t="inlineStr">
        <is>
          <t>https://app-na2.hubspot.com/contacts/243046792/record/0-3/254846650094</t>
        </is>
      </c>
      <c r="AA369" s="73" t="inlineStr"/>
    </row>
    <row r="370">
      <c r="A370" s="73" t="n">
        <v>369</v>
      </c>
      <c r="B370" s="73" t="inlineStr">
        <is>
          <t>259507975872</t>
        </is>
      </c>
      <c r="C370" s="73" t="inlineStr"/>
      <c r="D370" s="73" t="inlineStr">
        <is>
          <t>CYBERSECURITY INCIDENT RESPONSE PLAN &amp;TABLE-TOP EXERCISES</t>
        </is>
      </c>
      <c r="E370" s="73" t="inlineStr">
        <is>
          <t>City of Puyallup</t>
        </is>
      </c>
      <c r="F370" s="73" t="inlineStr">
        <is>
          <t>Washington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2026-01-30</t>
        </is>
      </c>
      <c r="K370" s="73" t="inlineStr">
        <is>
          <t>2026-01-30</t>
        </is>
      </c>
      <c r="L370" s="73" t="n"/>
      <c r="M370" s="73" t="inlineStr">
        <is>
          <t>Consulting;Audits and Assessment</t>
        </is>
      </c>
      <c r="N370" s="73" t="inlineStr"/>
      <c r="O370" s="73" t="inlineStr">
        <is>
          <t>Jyothsna Nanda kishore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2026-01-12</t>
        </is>
      </c>
      <c r="Z370" s="73" t="inlineStr">
        <is>
          <t>https://app-na2.hubspot.com/contacts/243046792/record/0-3/259507975872</t>
        </is>
      </c>
      <c r="AA370" s="73" t="inlineStr"/>
    </row>
    <row r="371">
      <c r="A371" s="73" t="n">
        <v>370</v>
      </c>
      <c r="B371" s="73" t="inlineStr">
        <is>
          <t>261923701472</t>
        </is>
      </c>
      <c r="C371" s="73" t="inlineStr"/>
      <c r="D371" s="73" t="inlineStr">
        <is>
          <t>EXTERNAL AND INTERNAL NETWORK PENETRATION TESTING SERVICES</t>
        </is>
      </c>
      <c r="E371" s="73" t="inlineStr">
        <is>
          <t>Miami University</t>
        </is>
      </c>
      <c r="F371" s="73" t="inlineStr">
        <is>
          <t>Ohio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2026-01-30</t>
        </is>
      </c>
      <c r="K371" s="73" t="inlineStr">
        <is>
          <t>2026-01-30</t>
        </is>
      </c>
      <c r="L371" s="73" t="n"/>
      <c r="M371" s="73" t="inlineStr">
        <is>
          <t>Consulting</t>
        </is>
      </c>
      <c r="N371" s="73" t="inlineStr"/>
      <c r="O371" s="73" t="inlineStr">
        <is>
          <t>Jyothsna Nanda kishore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2026-01-14</t>
        </is>
      </c>
      <c r="Z371" s="73" t="inlineStr">
        <is>
          <t>https://app-na2.hubspot.com/contacts/243046792/record/0-3/261923701472</t>
        </is>
      </c>
      <c r="AA371" s="73" t="inlineStr"/>
    </row>
    <row r="372">
      <c r="A372" s="73" t="n">
        <v>371</v>
      </c>
      <c r="B372" s="73" t="inlineStr">
        <is>
          <t>256648178398</t>
        </is>
      </c>
      <c r="C372" s="73" t="inlineStr"/>
      <c r="D372" s="73" t="inlineStr">
        <is>
          <t>Data Management Plan Development</t>
        </is>
      </c>
      <c r="E372" s="73" t="inlineStr">
        <is>
          <t>Texas A&amp;M Transportation Institute</t>
        </is>
      </c>
      <c r="F372" s="73" t="inlineStr">
        <is>
          <t>Texas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2026-01-30</t>
        </is>
      </c>
      <c r="K372" s="73" t="inlineStr">
        <is>
          <t>2026-01-30</t>
        </is>
      </c>
      <c r="L372" s="73" t="n"/>
      <c r="M372" s="73" t="inlineStr">
        <is>
          <t>Audits and Assessment</t>
        </is>
      </c>
      <c r="N372" s="73" t="inlineStr">
        <is>
          <t>Portal</t>
        </is>
      </c>
      <c r="O372" s="73" t="inlineStr">
        <is>
          <t>Savya Atrey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2026-01-08</t>
        </is>
      </c>
      <c r="Z372" s="73" t="inlineStr">
        <is>
          <t>https://app-na2.hubspot.com/contacts/243046792/record/0-3/256648178398</t>
        </is>
      </c>
      <c r="AA372" s="73" t="inlineStr"/>
    </row>
    <row r="373">
      <c r="A373" s="73" t="n">
        <v>372</v>
      </c>
      <c r="B373" s="73" t="inlineStr">
        <is>
          <t>256863962865</t>
        </is>
      </c>
      <c r="C373" s="73" t="inlineStr"/>
      <c r="D373" s="73" t="inlineStr">
        <is>
          <t>PMIS Implementation Project</t>
        </is>
      </c>
      <c r="E373" s="73" t="inlineStr">
        <is>
          <t>University of Maryland, Baltimore (University of UMB)</t>
        </is>
      </c>
      <c r="F373" s="73" t="inlineStr"/>
      <c r="G373" s="73" t="inlineStr">
        <is>
          <t>Submitted</t>
        </is>
      </c>
      <c r="H373" s="73" t="inlineStr"/>
      <c r="I373" s="73" t="inlineStr"/>
      <c r="J373" s="73" t="inlineStr">
        <is>
          <t>2026-01-30</t>
        </is>
      </c>
      <c r="K373" s="73" t="inlineStr">
        <is>
          <t>2026-01-30</t>
        </is>
      </c>
      <c r="L373" s="73" t="n"/>
      <c r="M373" s="73" t="inlineStr">
        <is>
          <t>Platform Implementation (ERP, CRMs)</t>
        </is>
      </c>
      <c r="N373" s="73" t="inlineStr"/>
      <c r="O373" s="73" t="inlineStr">
        <is>
          <t>Savya Atrey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2026-01-08</t>
        </is>
      </c>
      <c r="Z373" s="73" t="inlineStr">
        <is>
          <t>https://app-na2.hubspot.com/contacts/243046792/record/0-3/256863962865</t>
        </is>
      </c>
      <c r="AA373" s="73" t="inlineStr"/>
    </row>
    <row r="374">
      <c r="A374" s="73" t="n">
        <v>373</v>
      </c>
      <c r="B374" s="73" t="inlineStr">
        <is>
          <t>275400216303</t>
        </is>
      </c>
      <c r="C374" s="73" t="inlineStr">
        <is>
          <t>IP 26-016-CJ</t>
        </is>
      </c>
      <c r="D374" s="73" t="inlineStr">
        <is>
          <t>ERP Implementation Advisory Support Services</t>
        </is>
      </c>
      <c r="E374" s="73" t="inlineStr">
        <is>
          <t>Gloucester County</t>
        </is>
      </c>
      <c r="F374" s="73" t="inlineStr">
        <is>
          <t>New Jersey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2026-01-30</t>
        </is>
      </c>
      <c r="K374" s="73" t="inlineStr">
        <is>
          <t>2026-01-31</t>
        </is>
      </c>
      <c r="L374" s="75" t="n">
        <v>37500</v>
      </c>
      <c r="M374" s="73" t="inlineStr">
        <is>
          <t>Platform Implementation (ERP, CRMs)</t>
        </is>
      </c>
      <c r="N374" s="73" t="inlineStr">
        <is>
          <t>Email</t>
        </is>
      </c>
      <c r="O374" s="73" t="inlineStr">
        <is>
          <t>Savya Atrey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2026-01-26</t>
        </is>
      </c>
      <c r="Z374" s="73" t="inlineStr">
        <is>
          <t>https://app-na2.hubspot.com/contacts/243046792/record/0-3/275400216303</t>
        </is>
      </c>
      <c r="AA374" s="73" t="inlineStr"/>
    </row>
    <row r="375">
      <c r="A375" s="73" t="n">
        <v>374</v>
      </c>
      <c r="B375" s="73" t="inlineStr">
        <is>
          <t>257226027706</t>
        </is>
      </c>
      <c r="C375" s="73" t="inlineStr"/>
      <c r="D375" s="73" t="inlineStr">
        <is>
          <t>Co-Managed I.T. Support Services</t>
        </is>
      </c>
      <c r="E375" s="73" t="inlineStr">
        <is>
          <t>Macatawa Area Express Transportation Authority</t>
        </is>
      </c>
      <c r="F375" s="73" t="inlineStr">
        <is>
          <t>Michigan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2026-01-30</t>
        </is>
      </c>
      <c r="K375" s="73" t="inlineStr">
        <is>
          <t>2026-01-30</t>
        </is>
      </c>
      <c r="L375" s="73" t="n"/>
      <c r="M375" s="73" t="inlineStr">
        <is>
          <t>Managed Services (MSP)</t>
        </is>
      </c>
      <c r="N375" s="73" t="inlineStr"/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2026-01-08</t>
        </is>
      </c>
      <c r="Z375" s="73" t="inlineStr">
        <is>
          <t>https://app-na2.hubspot.com/contacts/243046792/record/0-3/257226027706</t>
        </is>
      </c>
      <c r="AA375" s="73" t="inlineStr"/>
    </row>
    <row r="376">
      <c r="A376" s="73" t="n">
        <v>375</v>
      </c>
      <c r="B376" s="73" t="inlineStr">
        <is>
          <t>259780884197</t>
        </is>
      </c>
      <c r="C376" s="73" t="inlineStr"/>
      <c r="D376" s="73" t="inlineStr">
        <is>
          <t>Information Technology Support Services</t>
        </is>
      </c>
      <c r="E376" s="73" t="inlineStr">
        <is>
          <t>City of Warrenton</t>
        </is>
      </c>
      <c r="F376" s="73" t="inlineStr">
        <is>
          <t>Oregon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2026-01-30</t>
        </is>
      </c>
      <c r="K376" s="73" t="inlineStr">
        <is>
          <t>2026-01-30</t>
        </is>
      </c>
      <c r="L376" s="75" t="n">
        <v>358748</v>
      </c>
      <c r="M376" s="73" t="inlineStr">
        <is>
          <t>Managed Services (MSP)</t>
        </is>
      </c>
      <c r="N376" s="73" t="inlineStr"/>
      <c r="O376" s="73" t="inlineStr">
        <is>
          <t>Ashutosh Chauhan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2026-01-13</t>
        </is>
      </c>
      <c r="Z376" s="73" t="inlineStr">
        <is>
          <t>https://app-na2.hubspot.com/contacts/243046792/record/0-3/259780884197</t>
        </is>
      </c>
      <c r="AA376" s="73" t="inlineStr"/>
    </row>
    <row r="377">
      <c r="A377" s="73" t="n">
        <v>376</v>
      </c>
      <c r="B377" s="73" t="inlineStr">
        <is>
          <t>126595998432</t>
        </is>
      </c>
      <c r="C377" s="73" t="inlineStr">
        <is>
          <t>RFP-554-2025-0052-0-2025/AH</t>
        </is>
      </c>
      <c r="D377" s="73" t="inlineStr">
        <is>
          <t>SharePoint Consultant</t>
        </is>
      </c>
      <c r="E377" s="73" t="inlineStr">
        <is>
          <t>Raleigh Durham Airport Authority [NC]</t>
        </is>
      </c>
      <c r="F377" s="73" t="inlineStr">
        <is>
          <t>North Carolina</t>
        </is>
      </c>
      <c r="G377" s="73" t="inlineStr">
        <is>
          <t>Closed Won</t>
        </is>
      </c>
      <c r="H377" s="73" t="inlineStr"/>
      <c r="I377" s="73" t="inlineStr"/>
      <c r="J377" s="73" t="inlineStr">
        <is>
          <t>2026-01-30</t>
        </is>
      </c>
      <c r="K377" s="73" t="inlineStr">
        <is>
          <t>2025-10-02</t>
        </is>
      </c>
      <c r="L377" s="73" t="n"/>
      <c r="M377" s="73" t="inlineStr">
        <is>
          <t>Consulting</t>
        </is>
      </c>
      <c r="N377" s="73" t="inlineStr">
        <is>
          <t>Portal</t>
        </is>
      </c>
      <c r="O377" s="73" t="inlineStr">
        <is>
          <t>Madhav Mitruka</t>
        </is>
      </c>
      <c r="P377" s="73" t="inlineStr"/>
      <c r="Q377" s="73" t="inlineStr"/>
      <c r="R377" s="73" t="inlineStr"/>
      <c r="S377" s="73" t="inlineStr">
        <is>
          <t>2026-01-30</t>
        </is>
      </c>
      <c r="T377" s="73" t="inlineStr"/>
      <c r="U377" s="73" t="inlineStr"/>
      <c r="V377" s="73" t="inlineStr"/>
      <c r="W377" s="73" t="inlineStr"/>
      <c r="X377" s="73" t="inlineStr"/>
      <c r="Y377" s="73" t="inlineStr">
        <is>
          <t>2025-07-21</t>
        </is>
      </c>
      <c r="Z377" s="73" t="inlineStr">
        <is>
          <t>https://app-na2.hubspot.com/contacts/243046792/record/0-3/126595998432</t>
        </is>
      </c>
      <c r="AA377" s="73" t="inlineStr"/>
    </row>
    <row r="378">
      <c r="A378" s="73" t="n">
        <v>377</v>
      </c>
      <c r="B378" s="73" t="inlineStr">
        <is>
          <t>255828464358</t>
        </is>
      </c>
      <c r="C378" s="73" t="inlineStr"/>
      <c r="D378" s="73" t="inlineStr">
        <is>
          <t>Internal Audit Co-Sourcing Services</t>
        </is>
      </c>
      <c r="E378" s="73" t="inlineStr">
        <is>
          <t>George Mason University</t>
        </is>
      </c>
      <c r="F378" s="73" t="inlineStr">
        <is>
          <t>Virginia</t>
        </is>
      </c>
      <c r="G378" s="73" t="inlineStr">
        <is>
          <t>Submitted</t>
        </is>
      </c>
      <c r="H378" s="73" t="inlineStr"/>
      <c r="I378" s="73" t="inlineStr"/>
      <c r="J378" s="73" t="inlineStr">
        <is>
          <t>2026-01-30</t>
        </is>
      </c>
      <c r="K378" s="73" t="inlineStr">
        <is>
          <t>2026-01-30</t>
        </is>
      </c>
      <c r="L378" s="73" t="n"/>
      <c r="M378" s="73" t="inlineStr">
        <is>
          <t>Audits and Assessment</t>
        </is>
      </c>
      <c r="N378" s="73" t="inlineStr"/>
      <c r="O378" s="73" t="inlineStr">
        <is>
          <t>Savya Atrey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2026-01-06</t>
        </is>
      </c>
      <c r="Z378" s="73" t="inlineStr">
        <is>
          <t>https://app-na2.hubspot.com/contacts/243046792/record/0-3/255828464358</t>
        </is>
      </c>
      <c r="AA378" s="73" t="inlineStr"/>
    </row>
    <row r="379">
      <c r="A379" s="73" t="n">
        <v>378</v>
      </c>
      <c r="B379" s="73" t="inlineStr">
        <is>
          <t>256648180416</t>
        </is>
      </c>
      <c r="C379" s="73" t="inlineStr"/>
      <c r="D379" s="73" t="inlineStr">
        <is>
          <t>OFFLINE - Managed IT Services Provider</t>
        </is>
      </c>
      <c r="E379" s="73" t="inlineStr">
        <is>
          <t>Housing Authority of Henry County</t>
        </is>
      </c>
      <c r="F379" s="73" t="inlineStr">
        <is>
          <t>Illinois</t>
        </is>
      </c>
      <c r="G379" s="73" t="inlineStr">
        <is>
          <t>Submitted</t>
        </is>
      </c>
      <c r="H379" s="73" t="inlineStr"/>
      <c r="I379" s="73" t="inlineStr"/>
      <c r="J379" s="73" t="inlineStr">
        <is>
          <t>2026-01-31</t>
        </is>
      </c>
      <c r="K379" s="73" t="inlineStr">
        <is>
          <t>2026-01-29</t>
        </is>
      </c>
      <c r="L379" s="73" t="n"/>
      <c r="M379" s="73" t="inlineStr">
        <is>
          <t>Managed Services (MSP)</t>
        </is>
      </c>
      <c r="N379" s="73" t="inlineStr"/>
      <c r="O379" s="73" t="inlineStr">
        <is>
          <t>Savya Atrey</t>
        </is>
      </c>
      <c r="P379" s="73" t="inlineStr"/>
      <c r="Q379" s="73" t="inlineStr"/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2026-01-08</t>
        </is>
      </c>
      <c r="Z379" s="73" t="inlineStr">
        <is>
          <t>https://app-na2.hubspot.com/contacts/243046792/record/0-3/256648180416</t>
        </is>
      </c>
      <c r="AA379" s="73" t="inlineStr"/>
    </row>
    <row r="380">
      <c r="A380" s="73" t="n">
        <v>379</v>
      </c>
      <c r="B380" s="73" t="inlineStr">
        <is>
          <t>254846611170</t>
        </is>
      </c>
      <c r="C380" s="73" t="inlineStr"/>
      <c r="D380" s="73" t="inlineStr">
        <is>
          <t>Information Technology Service Management (ITSM) Software Purchase and Implementation</t>
        </is>
      </c>
      <c r="E380" s="73" t="inlineStr">
        <is>
          <t>Port of Long Beach</t>
        </is>
      </c>
      <c r="F380" s="73" t="inlineStr">
        <is>
          <t>California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2026-02-02</t>
        </is>
      </c>
      <c r="K380" s="73" t="inlineStr">
        <is>
          <t>2026-02-02</t>
        </is>
      </c>
      <c r="L380" s="73" t="n"/>
      <c r="M380" s="73" t="inlineStr">
        <is>
          <t>Platform Implementation (ERP, CRMs)</t>
        </is>
      </c>
      <c r="N380" s="73" t="inlineStr"/>
      <c r="O380" s="73" t="inlineStr">
        <is>
          <t>Savya Atrey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2026-01-06</t>
        </is>
      </c>
      <c r="Z380" s="73" t="inlineStr">
        <is>
          <t>https://app-na2.hubspot.com/contacts/243046792/record/0-3/254846611170</t>
        </is>
      </c>
      <c r="AA380" s="73" t="inlineStr"/>
    </row>
    <row r="381">
      <c r="A381" s="73" t="n">
        <v>380</v>
      </c>
      <c r="B381" s="73" t="inlineStr">
        <is>
          <t>278975444717</t>
        </is>
      </c>
      <c r="C381" s="73" t="inlineStr"/>
      <c r="D381" s="73" t="inlineStr">
        <is>
          <t>Cemetery Database Management and Support</t>
        </is>
      </c>
      <c r="E381" s="73" t="inlineStr">
        <is>
          <t>City of Fitchburg</t>
        </is>
      </c>
      <c r="F381" s="73" t="inlineStr">
        <is>
          <t>Massachusetts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2026-02-02</t>
        </is>
      </c>
      <c r="K381" s="73" t="inlineStr">
        <is>
          <t>2026-02-03</t>
        </is>
      </c>
      <c r="L381" s="73" t="n"/>
      <c r="M381" s="73" t="inlineStr">
        <is>
          <t>Support &amp; Maintenance</t>
        </is>
      </c>
      <c r="N381" s="73" t="inlineStr"/>
      <c r="O381" s="73" t="inlineStr">
        <is>
          <t>Ashutosh Chauhan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2026-01-30</t>
        </is>
      </c>
      <c r="Z381" s="73" t="inlineStr">
        <is>
          <t>https://app-na2.hubspot.com/contacts/243046792/record/0-3/278975444717</t>
        </is>
      </c>
      <c r="AA381" s="73" t="inlineStr"/>
    </row>
    <row r="382">
      <c r="A382" s="73" t="n">
        <v>381</v>
      </c>
      <c r="B382" s="73" t="inlineStr">
        <is>
          <t>264548349664</t>
        </is>
      </c>
      <c r="C382" s="73" t="inlineStr"/>
      <c r="D382" s="73" t="inlineStr">
        <is>
          <t xml:space="preserve">Software Development </t>
        </is>
      </c>
      <c r="E382" s="73" t="inlineStr">
        <is>
          <t>Lorain County Veterans Service Commission</t>
        </is>
      </c>
      <c r="F382" s="73" t="inlineStr">
        <is>
          <t>Ohio</t>
        </is>
      </c>
      <c r="G382" s="73" t="inlineStr">
        <is>
          <t>Submitted</t>
        </is>
      </c>
      <c r="H382" s="73" t="inlineStr"/>
      <c r="I382" s="73" t="inlineStr"/>
      <c r="J382" s="73" t="inlineStr">
        <is>
          <t>2026-02-02</t>
        </is>
      </c>
      <c r="K382" s="73" t="inlineStr">
        <is>
          <t>2026-01-30</t>
        </is>
      </c>
      <c r="L382" s="73" t="n"/>
      <c r="M382" s="73" t="inlineStr">
        <is>
          <t>Consulting</t>
        </is>
      </c>
      <c r="N382" s="73" t="inlineStr"/>
      <c r="O382" s="73" t="inlineStr">
        <is>
          <t>Savya Atrey</t>
        </is>
      </c>
      <c r="P382" s="73" t="inlineStr"/>
      <c r="Q382" s="73" t="inlineStr"/>
      <c r="R382" s="73" t="inlineStr"/>
      <c r="S382" s="73" t="inlineStr"/>
      <c r="T382" s="73" t="inlineStr"/>
      <c r="U382" s="73" t="inlineStr"/>
      <c r="V382" s="73" t="inlineStr"/>
      <c r="W382" s="73" t="inlineStr"/>
      <c r="X382" s="73" t="inlineStr"/>
      <c r="Y382" s="73" t="inlineStr">
        <is>
          <t>2026-01-16</t>
        </is>
      </c>
      <c r="Z382" s="73" t="inlineStr">
        <is>
          <t>https://app-na2.hubspot.com/contacts/243046792/record/0-3/264548349664</t>
        </is>
      </c>
      <c r="AA382" s="73" t="inlineStr"/>
    </row>
    <row r="383">
      <c r="A383" s="73" t="n">
        <v>382</v>
      </c>
      <c r="B383" s="73" t="inlineStr">
        <is>
          <t>260450677478</t>
        </is>
      </c>
      <c r="C383" s="73" t="inlineStr"/>
      <c r="D383" s="73" t="inlineStr">
        <is>
          <t>Comprehensive Cybersecurity Assessment Services</t>
        </is>
      </c>
      <c r="E383" s="73" t="inlineStr">
        <is>
          <t>Meramec Regional Planning Commission</t>
        </is>
      </c>
      <c r="F383" s="73" t="inlineStr">
        <is>
          <t>Missouri</t>
        </is>
      </c>
      <c r="G383" s="73" t="inlineStr">
        <is>
          <t>Submitted</t>
        </is>
      </c>
      <c r="H383" s="73" t="inlineStr"/>
      <c r="I383" s="73" t="inlineStr"/>
      <c r="J383" s="73" t="inlineStr">
        <is>
          <t>2026-02-02</t>
        </is>
      </c>
      <c r="K383" s="73" t="inlineStr">
        <is>
          <t>2026-01-31</t>
        </is>
      </c>
      <c r="L383" s="73" t="n"/>
      <c r="M383" s="73" t="inlineStr">
        <is>
          <t>Consulting</t>
        </is>
      </c>
      <c r="N383" s="73" t="inlineStr">
        <is>
          <t>Email</t>
        </is>
      </c>
      <c r="O383" s="73" t="inlineStr">
        <is>
          <t>Abhishek Zalani</t>
        </is>
      </c>
      <c r="P383" s="73" t="inlineStr"/>
      <c r="Q383" s="73" t="inlineStr"/>
      <c r="R383" s="73" t="inlineStr"/>
      <c r="S383" s="73" t="inlineStr"/>
      <c r="T383" s="73" t="inlineStr"/>
      <c r="U383" s="73" t="inlineStr"/>
      <c r="V383" s="73" t="inlineStr"/>
      <c r="W383" s="73" t="inlineStr"/>
      <c r="X383" s="73" t="inlineStr"/>
      <c r="Y383" s="73" t="inlineStr">
        <is>
          <t>2026-01-13</t>
        </is>
      </c>
      <c r="Z383" s="73" t="inlineStr">
        <is>
          <t>https://app-na2.hubspot.com/contacts/243046792/record/0-3/260450677478</t>
        </is>
      </c>
      <c r="AA383" s="73" t="inlineStr"/>
    </row>
    <row r="384">
      <c r="A384" s="73" t="n">
        <v>383</v>
      </c>
      <c r="B384" s="73" t="inlineStr">
        <is>
          <t>255414924015</t>
        </is>
      </c>
      <c r="C384" s="73" t="inlineStr"/>
      <c r="D384" s="73" t="inlineStr">
        <is>
          <t>Tyler Enterprise ERP (Munis) Optimization</t>
        </is>
      </c>
      <c r="E384" s="73" t="inlineStr">
        <is>
          <t>COUNTY OF ALBANY</t>
        </is>
      </c>
      <c r="F384" s="73" t="inlineStr">
        <is>
          <t>New York</t>
        </is>
      </c>
      <c r="G384" s="73" t="inlineStr">
        <is>
          <t>Submitted</t>
        </is>
      </c>
      <c r="H384" s="73" t="inlineStr"/>
      <c r="I384" s="73" t="inlineStr"/>
      <c r="J384" s="73" t="inlineStr">
        <is>
          <t>2026-02-03</t>
        </is>
      </c>
      <c r="K384" s="73" t="inlineStr">
        <is>
          <t>2026-01-30</t>
        </is>
      </c>
      <c r="L384" s="73" t="n"/>
      <c r="M384" s="73" t="inlineStr">
        <is>
          <t>Platform Implementation (ERP, CRMs)</t>
        </is>
      </c>
      <c r="N384" s="73" t="inlineStr">
        <is>
          <t>Portal</t>
        </is>
      </c>
      <c r="O384" s="73" t="inlineStr">
        <is>
          <t>Jyothsna Nanda kishore</t>
        </is>
      </c>
      <c r="P384" s="73" t="inlineStr"/>
      <c r="Q384" s="73" t="inlineStr"/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2026-01-06</t>
        </is>
      </c>
      <c r="Z384" s="73" t="inlineStr">
        <is>
          <t>https://app-na2.hubspot.com/contacts/243046792/record/0-3/255414924015</t>
        </is>
      </c>
      <c r="AA384" s="73" t="inlineStr"/>
    </row>
    <row r="385">
      <c r="A385" s="73" t="n">
        <v>384</v>
      </c>
      <c r="B385" s="73" t="inlineStr">
        <is>
          <t>264042757860</t>
        </is>
      </c>
      <c r="C385" s="73" t="inlineStr">
        <is>
          <t>AMHIT-2026-0994</t>
        </is>
      </c>
      <c r="D385" s="73" t="inlineStr">
        <is>
          <t>UMass Amherst IT Services Assessment</t>
        </is>
      </c>
      <c r="E385" s="73" t="inlineStr">
        <is>
          <t>University of Massachusetts</t>
        </is>
      </c>
      <c r="F385" s="73" t="inlineStr">
        <is>
          <t>Massachusetts</t>
        </is>
      </c>
      <c r="G385" s="73" t="inlineStr">
        <is>
          <t>Submitted</t>
        </is>
      </c>
      <c r="H385" s="73" t="inlineStr"/>
      <c r="I385" s="73" t="inlineStr"/>
      <c r="J385" s="73" t="inlineStr">
        <is>
          <t>2026-02-03</t>
        </is>
      </c>
      <c r="K385" s="73" t="inlineStr">
        <is>
          <t>2026-02-03</t>
        </is>
      </c>
      <c r="L385" s="75" t="n">
        <v>93150</v>
      </c>
      <c r="M385" s="73" t="inlineStr">
        <is>
          <t>Audits and Assessment</t>
        </is>
      </c>
      <c r="N385" s="73" t="inlineStr">
        <is>
          <t>Portal</t>
        </is>
      </c>
      <c r="O385" s="73" t="inlineStr">
        <is>
          <t>Ashutosh Chauhan</t>
        </is>
      </c>
      <c r="P385" s="73" t="inlineStr"/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2026-01-16</t>
        </is>
      </c>
      <c r="Z385" s="73" t="inlineStr">
        <is>
          <t>https://app-na2.hubspot.com/contacts/243046792/record/0-3/264042757860</t>
        </is>
      </c>
      <c r="AA385" s="73" t="inlineStr"/>
    </row>
    <row r="386">
      <c r="A386" s="73" t="n">
        <v>385</v>
      </c>
      <c r="B386" s="73" t="inlineStr">
        <is>
          <t>199601365719</t>
        </is>
      </c>
      <c r="C386" s="73" t="inlineStr"/>
      <c r="D386" s="73" t="inlineStr">
        <is>
          <t>Cloud Managed Service Provider</t>
        </is>
      </c>
      <c r="E386" s="73" t="inlineStr">
        <is>
          <t>Illinois Department of Innovation and Technology [IL]</t>
        </is>
      </c>
      <c r="F386" s="73" t="inlineStr"/>
      <c r="G386" s="73" t="inlineStr">
        <is>
          <t>Submitted</t>
        </is>
      </c>
      <c r="H386" s="73" t="inlineStr"/>
      <c r="I386" s="73" t="inlineStr"/>
      <c r="J386" s="73" t="inlineStr">
        <is>
          <t>2026-02-03</t>
        </is>
      </c>
      <c r="K386" s="73" t="inlineStr">
        <is>
          <t>2026-02-03</t>
        </is>
      </c>
      <c r="L386" s="73" t="n"/>
      <c r="M386" s="73" t="inlineStr">
        <is>
          <t>Managed Services (MSP)</t>
        </is>
      </c>
      <c r="N386" s="73" t="inlineStr">
        <is>
          <t>Portal</t>
        </is>
      </c>
      <c r="O386" s="73" t="inlineStr">
        <is>
          <t>Jyothsna Nanda kishore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2025-10-28</t>
        </is>
      </c>
      <c r="Z386" s="73" t="inlineStr">
        <is>
          <t>https://app-na2.hubspot.com/contacts/243046792/record/0-3/199601365719</t>
        </is>
      </c>
      <c r="AA386" s="73" t="inlineStr"/>
    </row>
    <row r="387">
      <c r="A387" s="73" t="n">
        <v>386</v>
      </c>
      <c r="B387" s="73" t="inlineStr">
        <is>
          <t>263531727552</t>
        </is>
      </c>
      <c r="C387" s="73" t="inlineStr">
        <is>
          <t>#2026-RFP-022</t>
        </is>
      </c>
      <c r="D387" s="73" t="inlineStr">
        <is>
          <t>SAN PEDRO WEB-BASED HYDROLOGIC INFORMATION PORTAL(WHIP)</t>
        </is>
      </c>
      <c r="E387" s="73" t="inlineStr">
        <is>
          <t>City of Sierra Vista</t>
        </is>
      </c>
      <c r="F387" s="73" t="inlineStr">
        <is>
          <t>Arizona</t>
        </is>
      </c>
      <c r="G387" s="73" t="inlineStr">
        <is>
          <t>Submitted</t>
        </is>
      </c>
      <c r="H387" s="73" t="inlineStr"/>
      <c r="I387" s="73" t="inlineStr"/>
      <c r="J387" s="73" t="inlineStr">
        <is>
          <t>2026-02-03</t>
        </is>
      </c>
      <c r="K387" s="73" t="inlineStr">
        <is>
          <t>2026-01-30</t>
        </is>
      </c>
      <c r="L387" s="75" t="n">
        <v>48000</v>
      </c>
      <c r="M387" s="73" t="inlineStr">
        <is>
          <t>Platform Implementation (ERP, CRMs)</t>
        </is>
      </c>
      <c r="N387" s="73" t="inlineStr">
        <is>
          <t>Portal</t>
        </is>
      </c>
      <c r="O387" s="73" t="inlineStr">
        <is>
          <t>Savya Atrey</t>
        </is>
      </c>
      <c r="P387" s="73" t="inlineStr"/>
      <c r="Q387" s="73" t="inlineStr"/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2026-01-15</t>
        </is>
      </c>
      <c r="Z387" s="73" t="inlineStr">
        <is>
          <t>https://app-na2.hubspot.com/contacts/243046792/record/0-3/263531727552</t>
        </is>
      </c>
      <c r="AA387" s="73" t="inlineStr"/>
    </row>
    <row r="388">
      <c r="A388" s="73" t="n">
        <v>387</v>
      </c>
      <c r="B388" s="73" t="inlineStr">
        <is>
          <t>269511940808</t>
        </is>
      </c>
      <c r="C388" s="73" t="inlineStr"/>
      <c r="D388" s="73" t="inlineStr">
        <is>
          <t>Managed Services Provider for IT Services</t>
        </is>
      </c>
      <c r="E388" s="73" t="inlineStr">
        <is>
          <t>city of cedar springs</t>
        </is>
      </c>
      <c r="F388" s="73" t="inlineStr">
        <is>
          <t>Michigan</t>
        </is>
      </c>
      <c r="G388" s="73" t="inlineStr">
        <is>
          <t>Submitted</t>
        </is>
      </c>
      <c r="H388" s="73" t="inlineStr"/>
      <c r="I388" s="73" t="inlineStr"/>
      <c r="J388" s="73" t="inlineStr">
        <is>
          <t>2026-02-04</t>
        </is>
      </c>
      <c r="K388" s="73" t="inlineStr">
        <is>
          <t>2026-01-30</t>
        </is>
      </c>
      <c r="L388" s="73" t="n"/>
      <c r="M388" s="73" t="inlineStr">
        <is>
          <t>Managed Services (MSP)</t>
        </is>
      </c>
      <c r="N388" s="73" t="inlineStr">
        <is>
          <t>Offline</t>
        </is>
      </c>
      <c r="O388" s="73" t="inlineStr">
        <is>
          <t>Jyothsna Nanda kishore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2026-01-22</t>
        </is>
      </c>
      <c r="Z388" s="73" t="inlineStr">
        <is>
          <t>https://app-na2.hubspot.com/contacts/243046792/record/0-3/269511940808</t>
        </is>
      </c>
      <c r="AA388" s="73" t="inlineStr"/>
    </row>
    <row r="389">
      <c r="A389" s="73" t="n">
        <v>388</v>
      </c>
      <c r="B389" s="73" t="inlineStr">
        <is>
          <t>285829969648</t>
        </is>
      </c>
      <c r="C389" s="73" t="inlineStr">
        <is>
          <t>RFP26-11</t>
        </is>
      </c>
      <c r="D389" s="73" t="inlineStr">
        <is>
          <t>Data Governance Assessment And Framework Development</t>
        </is>
      </c>
      <c r="E389" s="73" t="inlineStr">
        <is>
          <t>City of Rochester</t>
        </is>
      </c>
      <c r="F389" s="73" t="inlineStr">
        <is>
          <t>New York</t>
        </is>
      </c>
      <c r="G389" s="73" t="inlineStr">
        <is>
          <t>Submitted</t>
        </is>
      </c>
      <c r="H389" s="73" t="inlineStr"/>
      <c r="I389" s="73" t="inlineStr"/>
      <c r="J389" s="73" t="inlineStr">
        <is>
          <t>2026-02-04</t>
        </is>
      </c>
      <c r="K389" s="73" t="inlineStr">
        <is>
          <t>2026-02-04</t>
        </is>
      </c>
      <c r="L389" s="75" t="n">
        <v>38750</v>
      </c>
      <c r="M389" s="73" t="inlineStr">
        <is>
          <t>Consulting;Audits and Assessment</t>
        </is>
      </c>
      <c r="N389" s="73" t="inlineStr">
        <is>
          <t>Email</t>
        </is>
      </c>
      <c r="O389" s="73" t="inlineStr">
        <is>
          <t>Savya Atrey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2026-02-04</t>
        </is>
      </c>
      <c r="Z389" s="73" t="inlineStr">
        <is>
          <t>https://app-na2.hubspot.com/contacts/243046792/record/0-3/285829969648</t>
        </is>
      </c>
      <c r="AA389" s="73" t="inlineStr"/>
    </row>
    <row r="390">
      <c r="A390" s="73" t="n">
        <v>389</v>
      </c>
      <c r="B390" s="73" t="inlineStr">
        <is>
          <t>255422640874</t>
        </is>
      </c>
      <c r="C390" s="73" t="inlineStr">
        <is>
          <t>RTL260085LJ</t>
        </is>
      </c>
      <c r="D390" s="73" t="inlineStr">
        <is>
          <t>Microsoft 365 (M365) Enterprise Implementation Services</t>
        </is>
      </c>
      <c r="E390" s="73" t="inlineStr">
        <is>
          <t>Tri-County Metropolitan Transportation District of Oregon</t>
        </is>
      </c>
      <c r="F390" s="73" t="inlineStr">
        <is>
          <t>Oregon</t>
        </is>
      </c>
      <c r="G390" s="73" t="inlineStr">
        <is>
          <t>Closed Lost</t>
        </is>
      </c>
      <c r="H390" s="73" t="inlineStr"/>
      <c r="I390" s="73" t="inlineStr"/>
      <c r="J390" s="73" t="inlineStr">
        <is>
          <t>2026-02-04</t>
        </is>
      </c>
      <c r="K390" s="73" t="inlineStr">
        <is>
          <t>2026-01-15</t>
        </is>
      </c>
      <c r="L390" s="75" t="n">
        <v>82460</v>
      </c>
      <c r="M390" s="73" t="inlineStr">
        <is>
          <t>Platform Implementation (ERP, CRMs)</t>
        </is>
      </c>
      <c r="N390" s="73" t="inlineStr">
        <is>
          <t>Portal</t>
        </is>
      </c>
      <c r="O390" s="73" t="inlineStr">
        <is>
          <t>Ashutosh Chauhan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2026-01-06</t>
        </is>
      </c>
      <c r="Z390" s="73" t="inlineStr">
        <is>
          <t>https://app-na2.hubspot.com/contacts/243046792/record/0-3/255422640874</t>
        </is>
      </c>
      <c r="AA390" s="73" t="inlineStr"/>
    </row>
    <row r="391">
      <c r="A391" s="73" t="n">
        <v>390</v>
      </c>
      <c r="B391" s="73" t="inlineStr">
        <is>
          <t>238161230535</t>
        </is>
      </c>
      <c r="C391" s="73" t="inlineStr"/>
      <c r="D391" s="73" t="inlineStr">
        <is>
          <t>Oracle Implementation Evaluation (Offline)</t>
        </is>
      </c>
      <c r="E391" s="73" t="inlineStr">
        <is>
          <t>Rochester City School District</t>
        </is>
      </c>
      <c r="F391" s="73" t="inlineStr">
        <is>
          <t>New York</t>
        </is>
      </c>
      <c r="G391" s="73" t="inlineStr">
        <is>
          <t>Interview</t>
        </is>
      </c>
      <c r="H391" s="73" t="inlineStr">
        <is>
          <t>Yes</t>
        </is>
      </c>
      <c r="I391" s="73" t="inlineStr">
        <is>
          <t>Interview</t>
        </is>
      </c>
      <c r="J391" s="73" t="inlineStr">
        <is>
          <t>2026-02-05</t>
        </is>
      </c>
      <c r="K391" s="73" t="inlineStr">
        <is>
          <t>2026-02-05</t>
        </is>
      </c>
      <c r="L391" s="73" t="n"/>
      <c r="M391" s="73" t="inlineStr">
        <is>
          <t>Consulting;Audits and Assessment</t>
        </is>
      </c>
      <c r="N391" s="73" t="inlineStr">
        <is>
          <t>Offline</t>
        </is>
      </c>
      <c r="O391" s="73" t="inlineStr">
        <is>
          <t>Ashutosh Chauhan</t>
        </is>
      </c>
      <c r="P391" s="73" t="inlineStr">
        <is>
          <t>Interview Scheduled</t>
        </is>
      </c>
      <c r="Q391" s="73" t="inlineStr">
        <is>
          <t>2026-04-07</t>
        </is>
      </c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2025-12-11</t>
        </is>
      </c>
      <c r="Z391" s="73" t="inlineStr">
        <is>
          <t>https://app-na2.hubspot.com/contacts/243046792/record/0-3/238161230535</t>
        </is>
      </c>
      <c r="AA391" s="73" t="inlineStr"/>
    </row>
    <row r="392">
      <c r="A392" s="73" t="n">
        <v>391</v>
      </c>
      <c r="B392" s="73" t="inlineStr">
        <is>
          <t>275790526197</t>
        </is>
      </c>
      <c r="C392" s="73" t="inlineStr"/>
      <c r="D392" s="73" t="inlineStr">
        <is>
          <t>IT Support and Managed Services</t>
        </is>
      </c>
      <c r="E392" s="73" t="inlineStr">
        <is>
          <t>Montague Police Department</t>
        </is>
      </c>
      <c r="F392" s="73" t="inlineStr">
        <is>
          <t>Massachusetts</t>
        </is>
      </c>
      <c r="G392" s="73" t="inlineStr">
        <is>
          <t>Submitted</t>
        </is>
      </c>
      <c r="H392" s="73" t="inlineStr"/>
      <c r="I392" s="73" t="inlineStr"/>
      <c r="J392" s="73" t="inlineStr">
        <is>
          <t>2026-02-05</t>
        </is>
      </c>
      <c r="K392" s="73" t="inlineStr">
        <is>
          <t>2026-02-05</t>
        </is>
      </c>
      <c r="L392" s="75" t="n">
        <v>30000</v>
      </c>
      <c r="M392" s="73" t="inlineStr">
        <is>
          <t>Managed Services (MSP)</t>
        </is>
      </c>
      <c r="N392" s="73" t="inlineStr">
        <is>
          <t>Email</t>
        </is>
      </c>
      <c r="O392" s="73" t="inlineStr">
        <is>
          <t>Ashutosh Chauhan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2026-01-27</t>
        </is>
      </c>
      <c r="Z392" s="73" t="inlineStr">
        <is>
          <t>https://app-na2.hubspot.com/contacts/243046792/record/0-3/275790526197</t>
        </is>
      </c>
      <c r="AA392" s="73" t="inlineStr"/>
    </row>
    <row r="393">
      <c r="A393" s="73" t="n">
        <v>392</v>
      </c>
      <c r="B393" s="73" t="inlineStr">
        <is>
          <t>269387571901</t>
        </is>
      </c>
      <c r="C393" s="73" t="inlineStr">
        <is>
          <t>RTC 26-05</t>
        </is>
      </c>
      <c r="D393" s="73" t="inlineStr">
        <is>
          <t>RTC ERP Evaluator Services</t>
        </is>
      </c>
      <c r="E393" s="73" t="inlineStr">
        <is>
          <t>Regional Transportation Commission</t>
        </is>
      </c>
      <c r="F393" s="73" t="inlineStr">
        <is>
          <t>Nevada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2026-02-05</t>
        </is>
      </c>
      <c r="K393" s="73" t="inlineStr">
        <is>
          <t>2026-02-05</t>
        </is>
      </c>
      <c r="L393" s="75" t="n">
        <v>78300</v>
      </c>
      <c r="M393" s="73" t="inlineStr">
        <is>
          <t>Consulting</t>
        </is>
      </c>
      <c r="N393" s="73" t="inlineStr">
        <is>
          <t>Portal</t>
        </is>
      </c>
      <c r="O393" s="73" t="inlineStr">
        <is>
          <t>Savya Atrey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2026-01-20</t>
        </is>
      </c>
      <c r="Z393" s="73" t="inlineStr">
        <is>
          <t>https://app-na2.hubspot.com/contacts/243046792/record/0-3/269387571901</t>
        </is>
      </c>
      <c r="AA393" s="73" t="inlineStr"/>
    </row>
    <row r="394">
      <c r="A394" s="73" t="n">
        <v>393</v>
      </c>
      <c r="B394" s="73" t="inlineStr">
        <is>
          <t>209641964265</t>
        </is>
      </c>
      <c r="C394" s="73" t="inlineStr"/>
      <c r="D394" s="73" t="inlineStr">
        <is>
          <t>Professional and Technical IT Contracting Services for SharePoint Migration</t>
        </is>
      </c>
      <c r="E394" s="73" t="inlineStr">
        <is>
          <t>City of Sunnyvale</t>
        </is>
      </c>
      <c r="F394" s="73" t="inlineStr">
        <is>
          <t>California</t>
        </is>
      </c>
      <c r="G394" s="73" t="inlineStr">
        <is>
          <t>Closed Won</t>
        </is>
      </c>
      <c r="H394" s="73" t="inlineStr">
        <is>
          <t>Yes</t>
        </is>
      </c>
      <c r="I394" s="73" t="inlineStr">
        <is>
          <t>Interview</t>
        </is>
      </c>
      <c r="J394" s="73" t="inlineStr">
        <is>
          <t>2026-02-05</t>
        </is>
      </c>
      <c r="K394" s="73" t="inlineStr">
        <is>
          <t>2025-11-18</t>
        </is>
      </c>
      <c r="L394" s="75" t="n">
        <v>45800</v>
      </c>
      <c r="M394" s="73" t="inlineStr">
        <is>
          <t>Modernization / Migration</t>
        </is>
      </c>
      <c r="N394" s="73" t="inlineStr"/>
      <c r="O394" s="73" t="inlineStr">
        <is>
          <t>Jyothsna Nanda kishore</t>
        </is>
      </c>
      <c r="P394" s="73" t="inlineStr"/>
      <c r="Q394" s="73" t="inlineStr">
        <is>
          <t>2025-12-11</t>
        </is>
      </c>
      <c r="R394" s="73" t="inlineStr"/>
      <c r="S394" s="73" t="inlineStr">
        <is>
          <t>2025-12-30</t>
        </is>
      </c>
      <c r="T394" s="73" t="inlineStr"/>
      <c r="U394" s="73" t="inlineStr">
        <is>
          <t>2025-12-31</t>
        </is>
      </c>
      <c r="V394" s="73" t="inlineStr"/>
      <c r="W394" s="73" t="inlineStr"/>
      <c r="X394" s="73" t="inlineStr"/>
      <c r="Y394" s="73" t="inlineStr">
        <is>
          <t>2025-11-03</t>
        </is>
      </c>
      <c r="Z394" s="73" t="inlineStr">
        <is>
          <t>https://app-na2.hubspot.com/contacts/243046792/record/0-3/209641964265</t>
        </is>
      </c>
      <c r="AA394" s="73" t="inlineStr">
        <is>
          <t>Yes</t>
        </is>
      </c>
    </row>
    <row r="395">
      <c r="A395" s="73" t="n">
        <v>394</v>
      </c>
      <c r="B395" s="73" t="inlineStr">
        <is>
          <t>158113559231</t>
        </is>
      </c>
      <c r="C395" s="73" t="inlineStr"/>
      <c r="D395" s="73" t="inlineStr">
        <is>
          <t>Legacy File Server Migration to SharePoint Modernization</t>
        </is>
      </c>
      <c r="E395" s="73" t="inlineStr">
        <is>
          <t>City of San Carlos</t>
        </is>
      </c>
      <c r="F395" s="73" t="inlineStr">
        <is>
          <t>California</t>
        </is>
      </c>
      <c r="G395" s="73" t="inlineStr">
        <is>
          <t>Intent to Award</t>
        </is>
      </c>
      <c r="H395" s="73" t="inlineStr">
        <is>
          <t>Yes</t>
        </is>
      </c>
      <c r="I395" s="73" t="inlineStr">
        <is>
          <t>Interview</t>
        </is>
      </c>
      <c r="J395" s="73" t="inlineStr">
        <is>
          <t>2026-02-05</t>
        </is>
      </c>
      <c r="K395" s="73" t="inlineStr">
        <is>
          <t>2025-10-06</t>
        </is>
      </c>
      <c r="L395" s="75" t="n">
        <v>98000</v>
      </c>
      <c r="M395" s="73" t="inlineStr">
        <is>
          <t>Modernization / Migration</t>
        </is>
      </c>
      <c r="N395" s="73" t="inlineStr">
        <is>
          <t>Email</t>
        </is>
      </c>
      <c r="O395" s="73" t="inlineStr">
        <is>
          <t>Abhishek Zalani</t>
        </is>
      </c>
      <c r="P395" s="73" t="inlineStr">
        <is>
          <t>Interview Scheduled</t>
        </is>
      </c>
      <c r="Q395" s="73" t="inlineStr">
        <is>
          <t>2025-12-10</t>
        </is>
      </c>
      <c r="R395" s="73" t="inlineStr"/>
      <c r="S395" s="73" t="inlineStr"/>
      <c r="T395" s="73" t="inlineStr"/>
      <c r="U395" s="73" t="inlineStr">
        <is>
          <t>2026-01-28</t>
        </is>
      </c>
      <c r="V395" s="73" t="inlineStr"/>
      <c r="W395" s="73" t="inlineStr"/>
      <c r="X395" s="73" t="inlineStr"/>
      <c r="Y395" s="73" t="inlineStr">
        <is>
          <t>2025-09-10</t>
        </is>
      </c>
      <c r="Z395" s="73" t="inlineStr">
        <is>
          <t>https://app-na2.hubspot.com/contacts/243046792/record/0-3/158113559231</t>
        </is>
      </c>
      <c r="AA395" s="73" t="inlineStr"/>
    </row>
    <row r="396">
      <c r="A396" s="73" t="n">
        <v>395</v>
      </c>
      <c r="B396" s="73" t="inlineStr">
        <is>
          <t>182404957901</t>
        </is>
      </c>
      <c r="C396" s="73" t="inlineStr">
        <is>
          <t>2026-05</t>
        </is>
      </c>
      <c r="D396" s="73" t="inlineStr">
        <is>
          <t>INFORMATION TECHNOLOGY SUPPORT SERVICES</t>
        </is>
      </c>
      <c r="E396" s="73" t="inlineStr">
        <is>
          <t>Town of Portland</t>
        </is>
      </c>
      <c r="F396" s="73" t="inlineStr">
        <is>
          <t>Connecticut</t>
        </is>
      </c>
      <c r="G396" s="73" t="inlineStr">
        <is>
          <t>Closed Lost</t>
        </is>
      </c>
      <c r="H396" s="73" t="inlineStr">
        <is>
          <t>Yes</t>
        </is>
      </c>
      <c r="I396" s="73" t="inlineStr">
        <is>
          <t>Interview</t>
        </is>
      </c>
      <c r="J396" s="73" t="inlineStr">
        <is>
          <t>2026-02-05</t>
        </is>
      </c>
      <c r="K396" s="73" t="inlineStr">
        <is>
          <t>2025-10-28</t>
        </is>
      </c>
      <c r="L396" s="73" t="n"/>
      <c r="M396" s="73" t="inlineStr">
        <is>
          <t>Managed Services (MSP)</t>
        </is>
      </c>
      <c r="N396" s="73" t="inlineStr">
        <is>
          <t>Offline</t>
        </is>
      </c>
      <c r="O396" s="73" t="inlineStr">
        <is>
          <t>Ashutosh Chauhan</t>
        </is>
      </c>
      <c r="P396" s="73" t="inlineStr"/>
      <c r="Q396" s="73" t="inlineStr">
        <is>
          <t>2025-12-10</t>
        </is>
      </c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2025-10-09</t>
        </is>
      </c>
      <c r="Z396" s="73" t="inlineStr">
        <is>
          <t>https://app-na2.hubspot.com/contacts/243046792/record/0-3/182404957901</t>
        </is>
      </c>
      <c r="AA396" s="73" t="inlineStr"/>
    </row>
    <row r="397">
      <c r="A397" s="73" t="n">
        <v>396</v>
      </c>
      <c r="B397" s="73" t="inlineStr">
        <is>
          <t>278519751386</t>
        </is>
      </c>
      <c r="C397" s="73" t="inlineStr"/>
      <c r="D397" s="73" t="inlineStr">
        <is>
          <t>Data Warehousing Services</t>
        </is>
      </c>
      <c r="E397" s="73" t="inlineStr">
        <is>
          <t xml:space="preserve">Allen Town School District </t>
        </is>
      </c>
      <c r="F397" s="73" t="inlineStr">
        <is>
          <t>Pennsylvania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2026-02-06</t>
        </is>
      </c>
      <c r="K397" s="73" t="inlineStr"/>
      <c r="L397" s="73" t="n"/>
      <c r="M397" s="73" t="inlineStr">
        <is>
          <t>Platform Implementation (ERP, CRMs);Support &amp; Maintenance</t>
        </is>
      </c>
      <c r="N397" s="73" t="inlineStr">
        <is>
          <t>Email</t>
        </is>
      </c>
      <c r="O397" s="73" t="inlineStr">
        <is>
          <t>Jyothsna Nanda kishore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2026-01-30</t>
        </is>
      </c>
      <c r="Z397" s="73" t="inlineStr">
        <is>
          <t>https://app-na2.hubspot.com/contacts/243046792/record/0-3/278519751386</t>
        </is>
      </c>
      <c r="AA397" s="73" t="inlineStr"/>
    </row>
    <row r="398">
      <c r="A398" s="73" t="n">
        <v>397</v>
      </c>
      <c r="B398" s="73" t="inlineStr">
        <is>
          <t>261870782138</t>
        </is>
      </c>
      <c r="C398" s="73" t="inlineStr">
        <is>
          <t>2024-RFP-00286</t>
        </is>
      </c>
      <c r="D398" s="73" t="inlineStr">
        <is>
          <t>Software Solution and Mobile App for Citizens to Report Illegal Dumping</t>
        </is>
      </c>
      <c r="E398" s="73" t="inlineStr">
        <is>
          <t>County of San Mateo</t>
        </is>
      </c>
      <c r="F398" s="73" t="inlineStr">
        <is>
          <t>California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2026-02-06</t>
        </is>
      </c>
      <c r="K398" s="73" t="inlineStr">
        <is>
          <t>2026-02-06</t>
        </is>
      </c>
      <c r="L398" s="73" t="n"/>
      <c r="M398" s="73" t="inlineStr">
        <is>
          <t>Platform Implementation (ERP, CRMs)</t>
        </is>
      </c>
      <c r="N398" s="73" t="inlineStr">
        <is>
          <t>Portal</t>
        </is>
      </c>
      <c r="O398" s="73" t="inlineStr">
        <is>
          <t>Jyothsna Nanda kishore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2026-01-14</t>
        </is>
      </c>
      <c r="Z398" s="73" t="inlineStr">
        <is>
          <t>https://app-na2.hubspot.com/contacts/243046792/record/0-3/261870782138</t>
        </is>
      </c>
      <c r="AA398" s="73" t="inlineStr"/>
    </row>
    <row r="399">
      <c r="A399" s="73" t="n">
        <v>398</v>
      </c>
      <c r="B399" s="73" t="inlineStr">
        <is>
          <t>259780976338</t>
        </is>
      </c>
      <c r="C399" s="73" t="inlineStr">
        <is>
          <t>045-25</t>
        </is>
      </c>
      <c r="D399" s="73" t="inlineStr">
        <is>
          <t>OFF- Accela Software Implemenation</t>
        </is>
      </c>
      <c r="E399" s="73" t="inlineStr">
        <is>
          <t>Mendocino County</t>
        </is>
      </c>
      <c r="F399" s="73" t="inlineStr">
        <is>
          <t>California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2026-02-06</t>
        </is>
      </c>
      <c r="K399" s="73" t="inlineStr">
        <is>
          <t>2026-02-06</t>
        </is>
      </c>
      <c r="L399" s="73" t="n"/>
      <c r="M399" s="73" t="inlineStr">
        <is>
          <t>Platform Implementation (ERP, CRMs)</t>
        </is>
      </c>
      <c r="N399" s="73" t="inlineStr"/>
      <c r="O399" s="73" t="inlineStr">
        <is>
          <t>Ashutosh Chauhan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2026-01-14</t>
        </is>
      </c>
      <c r="Z399" s="73" t="inlineStr">
        <is>
          <t>https://app-na2.hubspot.com/contacts/243046792/record/0-3/259780976338</t>
        </is>
      </c>
      <c r="AA399" s="73" t="inlineStr"/>
    </row>
    <row r="400">
      <c r="A400" s="73" t="n">
        <v>399</v>
      </c>
      <c r="B400" s="73" t="inlineStr">
        <is>
          <t>276106770108</t>
        </is>
      </c>
      <c r="C400" s="73" t="inlineStr"/>
      <c r="D400" s="73" t="inlineStr">
        <is>
          <t xml:space="preserve">Enterprise Data &amp; AI Strategy and Governance </t>
        </is>
      </c>
      <c r="E400" s="73" t="inlineStr">
        <is>
          <t>Electric Reliability Council of Texas</t>
        </is>
      </c>
      <c r="F400" s="73" t="inlineStr">
        <is>
          <t>Texas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2026-02-06</t>
        </is>
      </c>
      <c r="K400" s="73" t="inlineStr">
        <is>
          <t>2026-02-06</t>
        </is>
      </c>
      <c r="L400" s="73" t="n"/>
      <c r="M400" s="73" t="inlineStr">
        <is>
          <t>Consulting</t>
        </is>
      </c>
      <c r="N400" s="73" t="inlineStr"/>
      <c r="O400" s="73" t="inlineStr">
        <is>
          <t>Abhishek Zalani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2026-01-28</t>
        </is>
      </c>
      <c r="Z400" s="73" t="inlineStr">
        <is>
          <t>https://app-na2.hubspot.com/contacts/243046792/record/0-3/276106770108</t>
        </is>
      </c>
      <c r="AA400" s="73" t="inlineStr"/>
    </row>
    <row r="401">
      <c r="A401" s="73" t="n">
        <v>400</v>
      </c>
      <c r="B401" s="73" t="inlineStr">
        <is>
          <t>264972739293</t>
        </is>
      </c>
      <c r="C401" s="73" t="inlineStr"/>
      <c r="D401" s="73" t="inlineStr">
        <is>
          <t>ERP Consulting Services</t>
        </is>
      </c>
      <c r="E401" s="73" t="inlineStr">
        <is>
          <t>Washington County</t>
        </is>
      </c>
      <c r="F401" s="73" t="inlineStr">
        <is>
          <t>Minnesota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2026-02-06</t>
        </is>
      </c>
      <c r="K401" s="73" t="inlineStr">
        <is>
          <t>2026-02-06</t>
        </is>
      </c>
      <c r="L401" s="75" t="n">
        <v>128800</v>
      </c>
      <c r="M401" s="73" t="inlineStr">
        <is>
          <t>Consulting</t>
        </is>
      </c>
      <c r="N401" s="73" t="inlineStr">
        <is>
          <t>Email</t>
        </is>
      </c>
      <c r="O401" s="73" t="inlineStr">
        <is>
          <t>Savya Atrey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2026-01-16</t>
        </is>
      </c>
      <c r="Z401" s="73" t="inlineStr">
        <is>
          <t>https://app-na2.hubspot.com/contacts/243046792/record/0-3/264972739293</t>
        </is>
      </c>
      <c r="AA401" s="73" t="inlineStr"/>
    </row>
    <row r="402">
      <c r="A402" s="73" t="n">
        <v>401</v>
      </c>
      <c r="B402" s="73" t="inlineStr">
        <is>
          <t>259789462223</t>
        </is>
      </c>
      <c r="C402" s="73" t="inlineStr">
        <is>
          <t>RFQ1791333</t>
        </is>
      </c>
      <c r="D402" s="73" t="inlineStr">
        <is>
          <t>Technology for Applications, Logistics, Operations, and Network</t>
        </is>
      </c>
      <c r="E402" s="73" t="inlineStr">
        <is>
          <t>Department of Homeland Security, Transportation Security Administration</t>
        </is>
      </c>
      <c r="F402" s="73" t="inlineStr">
        <is>
          <t>Virginia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2026-02-06</t>
        </is>
      </c>
      <c r="K402" s="73" t="inlineStr">
        <is>
          <t>2026-02-06</t>
        </is>
      </c>
      <c r="L402" s="73" t="n"/>
      <c r="M402" s="73" t="inlineStr">
        <is>
          <t>Consulting;Modernization / Migration;Platform Implementation (ERP, CRMs);Managed Services (MSP)</t>
        </is>
      </c>
      <c r="N402" s="73" t="inlineStr">
        <is>
          <t>Portal</t>
        </is>
      </c>
      <c r="O402" s="73" t="inlineStr">
        <is>
          <t>Ashutosh Chauhan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2026-01-12</t>
        </is>
      </c>
      <c r="Z402" s="73" t="inlineStr">
        <is>
          <t>https://app-na2.hubspot.com/contacts/243046792/record/0-3/259789462223</t>
        </is>
      </c>
      <c r="AA402" s="73" t="inlineStr"/>
    </row>
    <row r="403">
      <c r="A403" s="73" t="n">
        <v>402</v>
      </c>
      <c r="B403" s="73" t="inlineStr">
        <is>
          <t>277652562628</t>
        </is>
      </c>
      <c r="C403" s="73" t="inlineStr">
        <is>
          <t>RFP 0011384-TECH-2025-AD</t>
        </is>
      </c>
      <c r="D403" s="73" t="inlineStr">
        <is>
          <t>Microsoft M365 High CUI Managed Service Provider</t>
        </is>
      </c>
      <c r="E403" s="73" t="inlineStr"/>
      <c r="F403" s="73" t="inlineStr"/>
      <c r="G403" s="73" t="inlineStr">
        <is>
          <t>Submitted</t>
        </is>
      </c>
      <c r="H403" s="73" t="inlineStr"/>
      <c r="I403" s="73" t="inlineStr"/>
      <c r="J403" s="73" t="inlineStr">
        <is>
          <t>2026-02-09</t>
        </is>
      </c>
      <c r="K403" s="73" t="inlineStr">
        <is>
          <t>2026-02-09</t>
        </is>
      </c>
      <c r="L403" s="73" t="n"/>
      <c r="M403" s="73" t="inlineStr">
        <is>
          <t>Managed Services (MSP)</t>
        </is>
      </c>
      <c r="N403" s="73" t="inlineStr">
        <is>
          <t>Email</t>
        </is>
      </c>
      <c r="O403" s="73" t="inlineStr">
        <is>
          <t>Ashley Lamaniya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2026-01-29</t>
        </is>
      </c>
      <c r="Z403" s="73" t="inlineStr">
        <is>
          <t>https://app-na2.hubspot.com/contacts/243046792/record/0-3/277652562628</t>
        </is>
      </c>
      <c r="AA403" s="73" t="inlineStr"/>
    </row>
    <row r="404">
      <c r="A404" s="73" t="n">
        <v>403</v>
      </c>
      <c r="B404" s="73" t="inlineStr">
        <is>
          <t>270333293302</t>
        </is>
      </c>
      <c r="C404" s="73" t="inlineStr"/>
      <c r="D404" s="73" t="inlineStr">
        <is>
          <t>Electronic Document Management System for the Housing Authority</t>
        </is>
      </c>
      <c r="E404" s="73" t="inlineStr">
        <is>
          <t>Community Development Department (City of Santa Ana)</t>
        </is>
      </c>
      <c r="F404" s="73" t="inlineStr">
        <is>
          <t>California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2026-02-10</t>
        </is>
      </c>
      <c r="K404" s="73" t="inlineStr">
        <is>
          <t>2026-02-10</t>
        </is>
      </c>
      <c r="L404" s="73" t="n"/>
      <c r="M404" s="73" t="inlineStr">
        <is>
          <t>Platform Implementation (ERP, CRMs)</t>
        </is>
      </c>
      <c r="N404" s="73" t="inlineStr">
        <is>
          <t>Portal</t>
        </is>
      </c>
      <c r="O404" s="73" t="inlineStr">
        <is>
          <t>Jyothsna Nanda kishore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2026-01-22</t>
        </is>
      </c>
      <c r="Z404" s="73" t="inlineStr">
        <is>
          <t>https://app-na2.hubspot.com/contacts/243046792/record/0-3/270333293302</t>
        </is>
      </c>
      <c r="AA404" s="73" t="inlineStr"/>
    </row>
    <row r="405">
      <c r="A405" s="73" t="n">
        <v>404</v>
      </c>
      <c r="B405" s="73" t="inlineStr">
        <is>
          <t>261898863325</t>
        </is>
      </c>
      <c r="C405" s="73" t="inlineStr">
        <is>
          <t>RFP 25-26-053</t>
        </is>
      </c>
      <c r="D405" s="73" t="inlineStr">
        <is>
          <t>GIS Consultant</t>
        </is>
      </c>
      <c r="E405" s="73" t="inlineStr">
        <is>
          <t>City of Danville</t>
        </is>
      </c>
      <c r="F405" s="73" t="inlineStr">
        <is>
          <t>Virginia</t>
        </is>
      </c>
      <c r="G405" s="73" t="inlineStr">
        <is>
          <t>Submitted</t>
        </is>
      </c>
      <c r="H405" s="73" t="inlineStr"/>
      <c r="I405" s="73" t="inlineStr"/>
      <c r="J405" s="73" t="inlineStr">
        <is>
          <t>2026-02-10</t>
        </is>
      </c>
      <c r="K405" s="73" t="inlineStr">
        <is>
          <t>2026-02-10</t>
        </is>
      </c>
      <c r="L405" s="73" t="n"/>
      <c r="M405" s="73" t="inlineStr">
        <is>
          <t>Consulting</t>
        </is>
      </c>
      <c r="N405" s="73" t="inlineStr">
        <is>
          <t>Email</t>
        </is>
      </c>
      <c r="O405" s="73" t="inlineStr">
        <is>
          <t>Ashutosh Chauhan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2026-01-14</t>
        </is>
      </c>
      <c r="Z405" s="73" t="inlineStr">
        <is>
          <t>https://app-na2.hubspot.com/contacts/243046792/record/0-3/261898863325</t>
        </is>
      </c>
      <c r="AA405" s="73" t="inlineStr"/>
    </row>
    <row r="406">
      <c r="A406" s="73" t="n">
        <v>405</v>
      </c>
      <c r="B406" s="73" t="inlineStr">
        <is>
          <t>275197799148</t>
        </is>
      </c>
      <c r="C406" s="73" t="inlineStr">
        <is>
          <t>RFP #26-03</t>
        </is>
      </c>
      <c r="D406" s="73" t="inlineStr">
        <is>
          <t>OFF- Information Technology Managed Services</t>
        </is>
      </c>
      <c r="E406" s="73" t="inlineStr">
        <is>
          <t>The Charter Township of Brighton</t>
        </is>
      </c>
      <c r="F406" s="73" t="inlineStr">
        <is>
          <t>Michigan</t>
        </is>
      </c>
      <c r="G406" s="73" t="inlineStr">
        <is>
          <t>Submitted</t>
        </is>
      </c>
      <c r="H406" s="73" t="inlineStr"/>
      <c r="I406" s="73" t="inlineStr"/>
      <c r="J406" s="73" t="inlineStr">
        <is>
          <t>2026-02-10</t>
        </is>
      </c>
      <c r="K406" s="73" t="inlineStr">
        <is>
          <t>2026-02-10</t>
        </is>
      </c>
      <c r="L406" s="75" t="n">
        <v>36000</v>
      </c>
      <c r="M406" s="73" t="inlineStr">
        <is>
          <t>Managed Services (MSP)</t>
        </is>
      </c>
      <c r="N406" s="73" t="inlineStr">
        <is>
          <t>Offline</t>
        </is>
      </c>
      <c r="O406" s="73" t="inlineStr">
        <is>
          <t>Ashutosh Chauhan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2026-01-27</t>
        </is>
      </c>
      <c r="Z406" s="73" t="inlineStr">
        <is>
          <t>https://app-na2.hubspot.com/contacts/243046792/record/0-3/275197799148</t>
        </is>
      </c>
      <c r="AA406" s="73" t="inlineStr"/>
    </row>
    <row r="407">
      <c r="A407" s="73" t="n">
        <v>406</v>
      </c>
      <c r="B407" s="73" t="inlineStr">
        <is>
          <t>275198517964</t>
        </is>
      </c>
      <c r="C407" s="73" t="inlineStr">
        <is>
          <t>10221</t>
        </is>
      </c>
      <c r="D407" s="73" t="inlineStr">
        <is>
          <t>Guideway Gate Control Website Rebuild</t>
        </is>
      </c>
      <c r="E407" s="73" t="inlineStr">
        <is>
          <t>City of Fort Collins</t>
        </is>
      </c>
      <c r="F407" s="73" t="inlineStr">
        <is>
          <t>Colorado</t>
        </is>
      </c>
      <c r="G407" s="73" t="inlineStr">
        <is>
          <t>Submitted</t>
        </is>
      </c>
      <c r="H407" s="73" t="inlineStr"/>
      <c r="I407" s="73" t="inlineStr"/>
      <c r="J407" s="73" t="inlineStr">
        <is>
          <t>2026-02-11</t>
        </is>
      </c>
      <c r="K407" s="73" t="inlineStr">
        <is>
          <t>2026-02-11</t>
        </is>
      </c>
      <c r="L407" s="73" t="n"/>
      <c r="M407" s="73" t="inlineStr">
        <is>
          <t>Modernization / Migration</t>
        </is>
      </c>
      <c r="N407" s="73" t="inlineStr">
        <is>
          <t>Portal</t>
        </is>
      </c>
      <c r="O407" s="73" t="inlineStr">
        <is>
          <t>Ashutosh Chauhan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2026-01-27</t>
        </is>
      </c>
      <c r="Z407" s="73" t="inlineStr">
        <is>
          <t>https://app-na2.hubspot.com/contacts/243046792/record/0-3/275198517964</t>
        </is>
      </c>
      <c r="AA407" s="73" t="inlineStr"/>
    </row>
    <row r="408">
      <c r="A408" s="73" t="n">
        <v>407</v>
      </c>
      <c r="B408" s="73" t="inlineStr">
        <is>
          <t>279300575938</t>
        </is>
      </c>
      <c r="C408" s="73" t="inlineStr"/>
      <c r="D408" s="73" t="inlineStr">
        <is>
          <t>Grant Management Software Solutions</t>
        </is>
      </c>
      <c r="E408" s="73" t="inlineStr">
        <is>
          <t>Rhode Island Commerce Corporation</t>
        </is>
      </c>
      <c r="F408" s="73" t="inlineStr">
        <is>
          <t>Rhode Island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2026-02-11</t>
        </is>
      </c>
      <c r="K408" s="73" t="inlineStr">
        <is>
          <t>2026-02-11</t>
        </is>
      </c>
      <c r="L408" s="73" t="n"/>
      <c r="M408" s="73" t="inlineStr">
        <is>
          <t>Platform Implementation (ERP, CRMs)</t>
        </is>
      </c>
      <c r="N408" s="73" t="inlineStr">
        <is>
          <t>Email</t>
        </is>
      </c>
      <c r="O408" s="73" t="inlineStr">
        <is>
          <t>Ashutosh Chauhan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2026-01-30</t>
        </is>
      </c>
      <c r="Z408" s="73" t="inlineStr">
        <is>
          <t>https://app-na2.hubspot.com/contacts/243046792/record/0-3/279300575938</t>
        </is>
      </c>
      <c r="AA408" s="73" t="inlineStr"/>
    </row>
    <row r="409">
      <c r="A409" s="73" t="n">
        <v>408</v>
      </c>
      <c r="B409" s="73" t="inlineStr">
        <is>
          <t>276110717630</t>
        </is>
      </c>
      <c r="C409" s="73" t="inlineStr"/>
      <c r="D409" s="73" t="inlineStr">
        <is>
          <t>IT Audit &amp; Assessment Services</t>
        </is>
      </c>
      <c r="E409" s="73" t="inlineStr">
        <is>
          <t>Maine Municipal Bond Bank</t>
        </is>
      </c>
      <c r="F409" s="73" t="inlineStr">
        <is>
          <t>Maine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2026-02-11</t>
        </is>
      </c>
      <c r="K409" s="73" t="inlineStr">
        <is>
          <t>2026-02-11</t>
        </is>
      </c>
      <c r="L409" s="73" t="n"/>
      <c r="M409" s="73" t="inlineStr">
        <is>
          <t>Audits and Assessment</t>
        </is>
      </c>
      <c r="N409" s="73" t="inlineStr"/>
      <c r="O409" s="73" t="inlineStr">
        <is>
          <t>Jyothsna Nanda kishore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2026-01-28</t>
        </is>
      </c>
      <c r="Z409" s="73" t="inlineStr">
        <is>
          <t>https://app-na2.hubspot.com/contacts/243046792/record/0-3/276110717630</t>
        </is>
      </c>
      <c r="AA409" s="73" t="inlineStr"/>
    </row>
    <row r="410">
      <c r="A410" s="73" t="n">
        <v>409</v>
      </c>
      <c r="B410" s="73" t="inlineStr">
        <is>
          <t>271450900190</t>
        </is>
      </c>
      <c r="C410" s="73" t="inlineStr">
        <is>
          <t>03-26</t>
        </is>
      </c>
      <c r="D410" s="73" t="inlineStr">
        <is>
          <t>IT Managed Services</t>
        </is>
      </c>
      <c r="E410" s="73" t="inlineStr">
        <is>
          <t>Brookdale Community College</t>
        </is>
      </c>
      <c r="F410" s="73" t="inlineStr">
        <is>
          <t>New Jersey</t>
        </is>
      </c>
      <c r="G410" s="73" t="inlineStr">
        <is>
          <t>Submitted</t>
        </is>
      </c>
      <c r="H410" s="73" t="inlineStr"/>
      <c r="I410" s="73" t="inlineStr"/>
      <c r="J410" s="73" t="inlineStr">
        <is>
          <t>2026-02-12</t>
        </is>
      </c>
      <c r="K410" s="73" t="inlineStr">
        <is>
          <t>2026-02-12</t>
        </is>
      </c>
      <c r="L410" s="73" t="n"/>
      <c r="M410" s="73" t="inlineStr">
        <is>
          <t>Managed Services (MSP)</t>
        </is>
      </c>
      <c r="N410" s="73" t="inlineStr">
        <is>
          <t>Offline</t>
        </is>
      </c>
      <c r="O410" s="73" t="inlineStr">
        <is>
          <t>Jyothsna Nanda kishore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2026-01-23</t>
        </is>
      </c>
      <c r="Z410" s="73" t="inlineStr">
        <is>
          <t>https://app-na2.hubspot.com/contacts/243046792/record/0-3/271450900190</t>
        </is>
      </c>
      <c r="AA410" s="73" t="inlineStr"/>
    </row>
    <row r="411">
      <c r="A411" s="73" t="n">
        <v>410</v>
      </c>
      <c r="B411" s="73" t="inlineStr">
        <is>
          <t>237752687329</t>
        </is>
      </c>
      <c r="C411" s="73" t="inlineStr">
        <is>
          <t>RFP-VC-25-014</t>
        </is>
      </c>
      <c r="D411" s="73" t="inlineStr">
        <is>
          <t>Enterprise Asset Management (EAM) System</t>
        </is>
      </c>
      <c r="E411" s="73" t="inlineStr">
        <is>
          <t>Inland Empire Utilities Agency</t>
        </is>
      </c>
      <c r="F411" s="73" t="inlineStr">
        <is>
          <t>California</t>
        </is>
      </c>
      <c r="G411" s="73" t="inlineStr">
        <is>
          <t>Submitted</t>
        </is>
      </c>
      <c r="H411" s="73" t="inlineStr"/>
      <c r="I411" s="73" t="inlineStr"/>
      <c r="J411" s="73" t="inlineStr">
        <is>
          <t>2026-02-12</t>
        </is>
      </c>
      <c r="K411" s="73" t="inlineStr">
        <is>
          <t>2026-02-12</t>
        </is>
      </c>
      <c r="L411" s="73" t="n"/>
      <c r="M411" s="73" t="inlineStr">
        <is>
          <t>Platform Implementation (ERP, CRMs)</t>
        </is>
      </c>
      <c r="N411" s="73" t="inlineStr">
        <is>
          <t>Portal</t>
        </is>
      </c>
      <c r="O411" s="73" t="inlineStr">
        <is>
          <t>Ashutosh Chauhan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2025-12-11</t>
        </is>
      </c>
      <c r="Z411" s="73" t="inlineStr">
        <is>
          <t>https://app-na2.hubspot.com/contacts/243046792/record/0-3/237752687329</t>
        </is>
      </c>
      <c r="AA411" s="73" t="inlineStr"/>
    </row>
    <row r="412">
      <c r="A412" s="73" t="n">
        <v>411</v>
      </c>
      <c r="B412" s="73" t="inlineStr">
        <is>
          <t>267668370169</t>
        </is>
      </c>
      <c r="C412" s="73" t="inlineStr">
        <is>
          <t>RFP 2026-0003</t>
        </is>
      </c>
      <c r="D412" s="73" t="inlineStr">
        <is>
          <t>Backup Disaster and Recovery (BDR) Solution</t>
        </is>
      </c>
      <c r="E412" s="73" t="inlineStr">
        <is>
          <t xml:space="preserve">Savannah Airport Commission </t>
        </is>
      </c>
      <c r="F412" s="73" t="inlineStr">
        <is>
          <t>Georgia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2026-02-12</t>
        </is>
      </c>
      <c r="K412" s="73" t="inlineStr">
        <is>
          <t>2026-02-12</t>
        </is>
      </c>
      <c r="L412" s="75" t="n">
        <v>964400</v>
      </c>
      <c r="M412" s="73" t="inlineStr">
        <is>
          <t>Managed Services (MSP)</t>
        </is>
      </c>
      <c r="N412" s="73" t="inlineStr">
        <is>
          <t>Portal</t>
        </is>
      </c>
      <c r="O412" s="73" t="inlineStr">
        <is>
          <t>Abhishek Zalani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2026-01-22</t>
        </is>
      </c>
      <c r="Z412" s="73" t="inlineStr">
        <is>
          <t>https://app-na2.hubspot.com/contacts/243046792/record/0-3/267668370169</t>
        </is>
      </c>
      <c r="AA412" s="73" t="inlineStr"/>
    </row>
    <row r="413">
      <c r="A413" s="73" t="n">
        <v>412</v>
      </c>
      <c r="B413" s="73" t="inlineStr">
        <is>
          <t>264083313380</t>
        </is>
      </c>
      <c r="C413" s="73" t="inlineStr">
        <is>
          <t>2026-001</t>
        </is>
      </c>
      <c r="D413" s="73" t="inlineStr">
        <is>
          <t>ERP Implementation Services</t>
        </is>
      </c>
      <c r="E413" s="73" t="inlineStr">
        <is>
          <t>Portland Public Schools School District</t>
        </is>
      </c>
      <c r="F413" s="73" t="inlineStr">
        <is>
          <t>Oregon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2026-02-12</t>
        </is>
      </c>
      <c r="K413" s="73" t="inlineStr">
        <is>
          <t>2026-02-12</t>
        </is>
      </c>
      <c r="L413" s="73" t="n"/>
      <c r="M413" s="73" t="inlineStr">
        <is>
          <t>Consulting</t>
        </is>
      </c>
      <c r="N413" s="73" t="inlineStr">
        <is>
          <t>Portal</t>
        </is>
      </c>
      <c r="O413" s="73" t="inlineStr">
        <is>
          <t>Ashutosh Chauhan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2026-01-16</t>
        </is>
      </c>
      <c r="Z413" s="73" t="inlineStr">
        <is>
          <t>https://app-na2.hubspot.com/contacts/243046792/record/0-3/264083313380</t>
        </is>
      </c>
      <c r="AA413" s="73" t="inlineStr"/>
    </row>
    <row r="414">
      <c r="A414" s="73" t="n">
        <v>413</v>
      </c>
      <c r="B414" s="73" t="inlineStr">
        <is>
          <t>279745905369</t>
        </is>
      </c>
      <c r="C414" s="73" t="inlineStr"/>
      <c r="D414" s="73" t="inlineStr">
        <is>
          <t>WPEngine Hosting</t>
        </is>
      </c>
      <c r="E414" s="73" t="inlineStr">
        <is>
          <t>Sacramento Regional Transit District</t>
        </is>
      </c>
      <c r="F414" s="73" t="inlineStr">
        <is>
          <t>California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2026-02-12</t>
        </is>
      </c>
      <c r="K414" s="73" t="inlineStr">
        <is>
          <t>2026-02-12</t>
        </is>
      </c>
      <c r="L414" s="75" t="n">
        <v>15607</v>
      </c>
      <c r="M414" s="73" t="inlineStr">
        <is>
          <t>Reseller</t>
        </is>
      </c>
      <c r="N414" s="73" t="inlineStr">
        <is>
          <t>Portal</t>
        </is>
      </c>
      <c r="O414" s="73" t="inlineStr">
        <is>
          <t>Savya Atrey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2026-02-03</t>
        </is>
      </c>
      <c r="Z414" s="73" t="inlineStr">
        <is>
          <t>https://app-na2.hubspot.com/contacts/243046792/record/0-3/279745905369</t>
        </is>
      </c>
      <c r="AA414" s="73" t="inlineStr"/>
    </row>
    <row r="415">
      <c r="A415" s="73" t="n">
        <v>414</v>
      </c>
      <c r="B415" s="73" t="inlineStr">
        <is>
          <t>267448763113</t>
        </is>
      </c>
      <c r="C415" s="73" t="inlineStr"/>
      <c r="D415" s="73" t="inlineStr">
        <is>
          <t>Data Privacy, Security, and AI Use Policy Development</t>
        </is>
      </c>
      <c r="E415" s="73" t="inlineStr">
        <is>
          <t>City of Kyle</t>
        </is>
      </c>
      <c r="F415" s="73" t="inlineStr">
        <is>
          <t>Texas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2026-02-12</t>
        </is>
      </c>
      <c r="K415" s="73" t="inlineStr">
        <is>
          <t>2026-02-12</t>
        </is>
      </c>
      <c r="L415" s="73" t="n"/>
      <c r="M415" s="73" t="inlineStr">
        <is>
          <t>Consulting</t>
        </is>
      </c>
      <c r="N415" s="73" t="inlineStr"/>
      <c r="O415" s="73" t="inlineStr">
        <is>
          <t>Savya Atrey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2026-01-21</t>
        </is>
      </c>
      <c r="Z415" s="73" t="inlineStr">
        <is>
          <t>https://app-na2.hubspot.com/contacts/243046792/record/0-3/267448763113</t>
        </is>
      </c>
      <c r="AA415" s="73" t="inlineStr"/>
    </row>
    <row r="416">
      <c r="A416" s="73" t="n">
        <v>415</v>
      </c>
      <c r="B416" s="73" t="inlineStr">
        <is>
          <t>282986204884</t>
        </is>
      </c>
      <c r="C416" s="73" t="inlineStr">
        <is>
          <t>RFP-RH-26-004</t>
        </is>
      </c>
      <c r="D416" s="73" t="inlineStr">
        <is>
          <t>GIS Consulting Services</t>
        </is>
      </c>
      <c r="E416" s="73" t="inlineStr">
        <is>
          <t>City of Rochester Hills</t>
        </is>
      </c>
      <c r="F416" s="73" t="inlineStr">
        <is>
          <t>Michigan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2026-02-12</t>
        </is>
      </c>
      <c r="K416" s="73" t="inlineStr">
        <is>
          <t>2026-02-12</t>
        </is>
      </c>
      <c r="L416" s="73" t="n"/>
      <c r="M416" s="73" t="inlineStr">
        <is>
          <t>Consulting;Modernization / Migration</t>
        </is>
      </c>
      <c r="N416" s="73" t="inlineStr"/>
      <c r="O416" s="73" t="inlineStr">
        <is>
          <t>Abhishek Zalani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2026-02-02</t>
        </is>
      </c>
      <c r="Z416" s="73" t="inlineStr">
        <is>
          <t>https://app-na2.hubspot.com/contacts/243046792/record/0-3/282986204884</t>
        </is>
      </c>
      <c r="AA416" s="73" t="inlineStr"/>
    </row>
    <row r="417">
      <c r="A417" s="73" t="n">
        <v>416</v>
      </c>
      <c r="B417" s="73" t="inlineStr">
        <is>
          <t>203233555183</t>
        </is>
      </c>
      <c r="C417" s="73" t="inlineStr"/>
      <c r="D417" s="73" t="inlineStr">
        <is>
          <t>SCADA MASTER PLAN</t>
        </is>
      </c>
      <c r="E417" s="73" t="inlineStr">
        <is>
          <t>Elsinore Valley Municipal Water District</t>
        </is>
      </c>
      <c r="F417" s="73" t="inlineStr">
        <is>
          <t>California</t>
        </is>
      </c>
      <c r="G417" s="73" t="inlineStr">
        <is>
          <t>Closed Lost</t>
        </is>
      </c>
      <c r="H417" s="73" t="inlineStr"/>
      <c r="I417" s="73" t="inlineStr"/>
      <c r="J417" s="73" t="inlineStr">
        <is>
          <t>2026-02-13</t>
        </is>
      </c>
      <c r="K417" s="73" t="inlineStr">
        <is>
          <t>2026-01-08</t>
        </is>
      </c>
      <c r="L417" s="73" t="n"/>
      <c r="M417" s="73" t="inlineStr"/>
      <c r="N417" s="73" t="inlineStr">
        <is>
          <t>Portal</t>
        </is>
      </c>
      <c r="O417" s="73" t="inlineStr">
        <is>
          <t>Jyothsna Nanda kishore</t>
        </is>
      </c>
      <c r="P417" s="73" t="inlineStr"/>
      <c r="Q417" s="73" t="inlineStr"/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2025-10-30</t>
        </is>
      </c>
      <c r="Z417" s="73" t="inlineStr">
        <is>
          <t>https://app-na2.hubspot.com/contacts/243046792/record/0-3/203233555183</t>
        </is>
      </c>
      <c r="AA417" s="73" t="inlineStr"/>
    </row>
    <row r="418">
      <c r="A418" s="73" t="n">
        <v>417</v>
      </c>
      <c r="B418" s="73" t="inlineStr">
        <is>
          <t>258010914520</t>
        </is>
      </c>
      <c r="C418" s="73" t="inlineStr"/>
      <c r="D418" s="73" t="inlineStr">
        <is>
          <t xml:space="preserve">Thrive Island County Resource Directory Development </t>
        </is>
      </c>
      <c r="E418" s="73" t="inlineStr">
        <is>
          <t>Island County Public Health</t>
        </is>
      </c>
      <c r="F418" s="73" t="inlineStr">
        <is>
          <t>Washington</t>
        </is>
      </c>
      <c r="G418" s="73" t="inlineStr">
        <is>
          <t>Closed Lost</t>
        </is>
      </c>
      <c r="H418" s="73" t="inlineStr"/>
      <c r="I418" s="73" t="inlineStr"/>
      <c r="J418" s="73" t="inlineStr">
        <is>
          <t>2026-02-13</t>
        </is>
      </c>
      <c r="K418" s="73" t="inlineStr">
        <is>
          <t>2026-01-30</t>
        </is>
      </c>
      <c r="L418" s="73" t="n"/>
      <c r="M418" s="73" t="inlineStr"/>
      <c r="N418" s="73" t="inlineStr"/>
      <c r="O418" s="73" t="inlineStr">
        <is>
          <t>Jyothsna Nanda kishore</t>
        </is>
      </c>
      <c r="P418" s="73" t="inlineStr"/>
      <c r="Q418" s="73" t="inlineStr"/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2026-01-12</t>
        </is>
      </c>
      <c r="Z418" s="73" t="inlineStr">
        <is>
          <t>https://app-na2.hubspot.com/contacts/243046792/record/0-3/258010914520</t>
        </is>
      </c>
      <c r="AA418" s="73" t="inlineStr"/>
    </row>
    <row r="419">
      <c r="A419" s="73" t="n">
        <v>418</v>
      </c>
      <c r="B419" s="73" t="inlineStr">
        <is>
          <t>260400812779</t>
        </is>
      </c>
      <c r="C419" s="73" t="inlineStr">
        <is>
          <t xml:space="preserve"> 2026-211</t>
        </is>
      </c>
      <c r="D419" s="73" t="inlineStr">
        <is>
          <t>Microsoft 365 Tenant-to-Tenant Migration Service</t>
        </is>
      </c>
      <c r="E419" s="73" t="inlineStr">
        <is>
          <t>Siloam Springs</t>
        </is>
      </c>
      <c r="F419" s="73" t="inlineStr">
        <is>
          <t>Arkansas</t>
        </is>
      </c>
      <c r="G419" s="73" t="inlineStr">
        <is>
          <t>Submitted</t>
        </is>
      </c>
      <c r="H419" s="73" t="inlineStr"/>
      <c r="I419" s="73" t="inlineStr"/>
      <c r="J419" s="73" t="inlineStr">
        <is>
          <t>2026-02-13</t>
        </is>
      </c>
      <c r="K419" s="73" t="inlineStr">
        <is>
          <t>2026-02-11</t>
        </is>
      </c>
      <c r="L419" s="73" t="n"/>
      <c r="M419" s="73" t="inlineStr">
        <is>
          <t>Modernization / Migration</t>
        </is>
      </c>
      <c r="N419" s="73" t="inlineStr">
        <is>
          <t>Offline</t>
        </is>
      </c>
      <c r="O419" s="73" t="inlineStr">
        <is>
          <t>Jyothsna Nanda kishore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2026-01-13</t>
        </is>
      </c>
      <c r="Z419" s="73" t="inlineStr">
        <is>
          <t>https://app-na2.hubspot.com/contacts/243046792/record/0-3/260400812779</t>
        </is>
      </c>
      <c r="AA419" s="73" t="inlineStr"/>
    </row>
    <row r="420">
      <c r="A420" s="73" t="n">
        <v>419</v>
      </c>
      <c r="B420" s="73" t="inlineStr">
        <is>
          <t>277652556497</t>
        </is>
      </c>
      <c r="C420" s="73" t="inlineStr"/>
      <c r="D420" s="73" t="inlineStr">
        <is>
          <t>ServiceNow Development and Implementation Consultant</t>
        </is>
      </c>
      <c r="E420" s="73" t="inlineStr">
        <is>
          <t>Seattle Public Schools</t>
        </is>
      </c>
      <c r="F420" s="73" t="inlineStr">
        <is>
          <t>Washington</t>
        </is>
      </c>
      <c r="G420" s="73" t="inlineStr">
        <is>
          <t>Submitted</t>
        </is>
      </c>
      <c r="H420" s="73" t="inlineStr"/>
      <c r="I420" s="73" t="inlineStr"/>
      <c r="J420" s="73" t="inlineStr">
        <is>
          <t>2026-02-13</t>
        </is>
      </c>
      <c r="K420" s="73" t="inlineStr">
        <is>
          <t>2026-02-13</t>
        </is>
      </c>
      <c r="L420" s="73" t="n"/>
      <c r="M420" s="73" t="inlineStr">
        <is>
          <t>Consulting</t>
        </is>
      </c>
      <c r="N420" s="73" t="inlineStr">
        <is>
          <t>Email</t>
        </is>
      </c>
      <c r="O420" s="73" t="inlineStr">
        <is>
          <t>Jyothsna Nanda kishore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2026-01-29</t>
        </is>
      </c>
      <c r="Z420" s="73" t="inlineStr">
        <is>
          <t>https://app-na2.hubspot.com/contacts/243046792/record/0-3/277652556497</t>
        </is>
      </c>
      <c r="AA420" s="73" t="inlineStr"/>
    </row>
    <row r="421">
      <c r="A421" s="73" t="n">
        <v>420</v>
      </c>
      <c r="B421" s="73" t="inlineStr">
        <is>
          <t>260627880683</t>
        </is>
      </c>
      <c r="C421" s="73" t="inlineStr"/>
      <c r="D421" s="73" t="inlineStr">
        <is>
          <t>Oracle Reporting &amp; Analytics Solution</t>
        </is>
      </c>
      <c r="E421" s="73" t="inlineStr">
        <is>
          <t>Greenville County Schools</t>
        </is>
      </c>
      <c r="F421" s="73" t="inlineStr">
        <is>
          <t>South Carolina</t>
        </is>
      </c>
      <c r="G421" s="73" t="inlineStr">
        <is>
          <t>Submitted</t>
        </is>
      </c>
      <c r="H421" s="73" t="inlineStr"/>
      <c r="I421" s="73" t="inlineStr"/>
      <c r="J421" s="73" t="inlineStr">
        <is>
          <t>2026-02-13</t>
        </is>
      </c>
      <c r="K421" s="73" t="inlineStr">
        <is>
          <t>2026-02-13</t>
        </is>
      </c>
      <c r="L421" s="73" t="n"/>
      <c r="M421" s="73" t="inlineStr">
        <is>
          <t>Platform Implementation (ERP, CRMs)</t>
        </is>
      </c>
      <c r="N421" s="73" t="inlineStr"/>
      <c r="O421" s="73" t="inlineStr">
        <is>
          <t>Abhishek Zalani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2026-01-13</t>
        </is>
      </c>
      <c r="Z421" s="73" t="inlineStr">
        <is>
          <t>https://app-na2.hubspot.com/contacts/243046792/record/0-3/260627880683</t>
        </is>
      </c>
      <c r="AA421" s="73" t="inlineStr"/>
    </row>
    <row r="422">
      <c r="A422" s="73" t="n">
        <v>421</v>
      </c>
      <c r="B422" s="73" t="inlineStr">
        <is>
          <t>275790527210</t>
        </is>
      </c>
      <c r="C422" s="73" t="inlineStr">
        <is>
          <t>RFP 26-10</t>
        </is>
      </c>
      <c r="D422" s="73" t="inlineStr">
        <is>
          <t>Fractional Information Technology Leadership</t>
        </is>
      </c>
      <c r="E422" s="73" t="inlineStr">
        <is>
          <t>St. Mary's County Health Department</t>
        </is>
      </c>
      <c r="F422" s="73" t="inlineStr">
        <is>
          <t>Maryland</t>
        </is>
      </c>
      <c r="G422" s="73" t="inlineStr">
        <is>
          <t>RFx Cancelled</t>
        </is>
      </c>
      <c r="H422" s="73" t="inlineStr"/>
      <c r="I422" s="73" t="inlineStr"/>
      <c r="J422" s="73" t="inlineStr">
        <is>
          <t>2026-02-13</t>
        </is>
      </c>
      <c r="K422" s="73" t="inlineStr">
        <is>
          <t>2026-02-13</t>
        </is>
      </c>
      <c r="L422" s="73" t="n"/>
      <c r="M422" s="73" t="inlineStr">
        <is>
          <t>Staff Augmentation</t>
        </is>
      </c>
      <c r="N422" s="73" t="inlineStr"/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2026-01-27</t>
        </is>
      </c>
      <c r="Z422" s="73" t="inlineStr">
        <is>
          <t>https://app-na2.hubspot.com/contacts/243046792/record/0-3/275790527210</t>
        </is>
      </c>
      <c r="AA422" s="73" t="inlineStr"/>
    </row>
    <row r="423">
      <c r="A423" s="73" t="n">
        <v>422</v>
      </c>
      <c r="B423" s="73" t="inlineStr">
        <is>
          <t>246431989451</t>
        </is>
      </c>
      <c r="C423" s="73" t="inlineStr"/>
      <c r="D423" s="73" t="inlineStr">
        <is>
          <t xml:space="preserve">Information Technology Managed Services and Operational Support </t>
        </is>
      </c>
      <c r="E423" s="73" t="inlineStr">
        <is>
          <t xml:space="preserve">Capital Regional Transportation Council </t>
        </is>
      </c>
      <c r="F423" s="73" t="inlineStr">
        <is>
          <t>New York</t>
        </is>
      </c>
      <c r="G423" s="73" t="inlineStr">
        <is>
          <t>Submitted</t>
        </is>
      </c>
      <c r="H423" s="73" t="inlineStr"/>
      <c r="I423" s="73" t="inlineStr"/>
      <c r="J423" s="73" t="inlineStr">
        <is>
          <t>2026-02-13</t>
        </is>
      </c>
      <c r="K423" s="73" t="inlineStr">
        <is>
          <t>2026-02-13</t>
        </is>
      </c>
      <c r="L423" s="73" t="n"/>
      <c r="M423" s="73" t="inlineStr">
        <is>
          <t>Managed Services (MSP)</t>
        </is>
      </c>
      <c r="N423" s="73" t="inlineStr"/>
      <c r="O423" s="73" t="inlineStr">
        <is>
          <t>Savya Atrey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2025-12-22</t>
        </is>
      </c>
      <c r="Z423" s="73" t="inlineStr">
        <is>
          <t>https://app-na2.hubspot.com/contacts/243046792/record/0-3/246431989451</t>
        </is>
      </c>
      <c r="AA423" s="73" t="inlineStr"/>
    </row>
    <row r="424">
      <c r="A424" s="73" t="n">
        <v>423</v>
      </c>
      <c r="B424" s="73" t="inlineStr">
        <is>
          <t>271508120250</t>
        </is>
      </c>
      <c r="C424" s="73" t="inlineStr"/>
      <c r="D424" s="73" t="inlineStr">
        <is>
          <t>Managed IT Services</t>
        </is>
      </c>
      <c r="E424" s="73" t="inlineStr">
        <is>
          <t xml:space="preserve">City of Lake Forest </t>
        </is>
      </c>
      <c r="F424" s="73" t="inlineStr">
        <is>
          <t>California</t>
        </is>
      </c>
      <c r="G424" s="73" t="inlineStr">
        <is>
          <t>Submitted</t>
        </is>
      </c>
      <c r="H424" s="73" t="inlineStr"/>
      <c r="I424" s="73" t="inlineStr"/>
      <c r="J424" s="73" t="inlineStr">
        <is>
          <t>2026-02-13</t>
        </is>
      </c>
      <c r="K424" s="73" t="inlineStr">
        <is>
          <t>2026-02-13</t>
        </is>
      </c>
      <c r="L424" s="73" t="n"/>
      <c r="M424" s="73" t="inlineStr">
        <is>
          <t>Managed Services (MSP)</t>
        </is>
      </c>
      <c r="N424" s="73" t="inlineStr">
        <is>
          <t>Portal</t>
        </is>
      </c>
      <c r="O424" s="73" t="inlineStr">
        <is>
          <t>Jyothsna Nanda kishore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2026-01-23</t>
        </is>
      </c>
      <c r="Z424" s="73" t="inlineStr">
        <is>
          <t>https://app-na2.hubspot.com/contacts/243046792/record/0-3/271508120250</t>
        </is>
      </c>
      <c r="AA424" s="73" t="inlineStr"/>
    </row>
    <row r="425">
      <c r="A425" s="73" t="n">
        <v>424</v>
      </c>
      <c r="B425" s="73" t="inlineStr">
        <is>
          <t>270519938755</t>
        </is>
      </c>
      <c r="C425" s="73" t="inlineStr"/>
      <c r="D425" s="73" t="inlineStr">
        <is>
          <t>DNN Website Maintenance &amp; Support</t>
        </is>
      </c>
      <c r="E425" s="73" t="inlineStr">
        <is>
          <t>City of Allentown</t>
        </is>
      </c>
      <c r="F425" s="73" t="inlineStr">
        <is>
          <t>Pennsylvania</t>
        </is>
      </c>
      <c r="G425" s="73" t="inlineStr">
        <is>
          <t>RFx Cancelled</t>
        </is>
      </c>
      <c r="H425" s="73" t="inlineStr"/>
      <c r="I425" s="73" t="inlineStr"/>
      <c r="J425" s="73" t="inlineStr">
        <is>
          <t>2026-02-13</t>
        </is>
      </c>
      <c r="K425" s="73" t="inlineStr">
        <is>
          <t>2026-02-13</t>
        </is>
      </c>
      <c r="L425" s="73" t="n"/>
      <c r="M425" s="73" t="inlineStr">
        <is>
          <t>Modernization / Migration</t>
        </is>
      </c>
      <c r="N425" s="73" t="inlineStr">
        <is>
          <t>Portal</t>
        </is>
      </c>
      <c r="O425" s="73" t="inlineStr">
        <is>
          <t>Ashutosh Chauhan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2026-01-22</t>
        </is>
      </c>
      <c r="Z425" s="73" t="inlineStr">
        <is>
          <t>https://app-na2.hubspot.com/contacts/243046792/record/0-3/270519938755</t>
        </is>
      </c>
      <c r="AA425" s="73" t="inlineStr"/>
    </row>
    <row r="426">
      <c r="A426" s="73" t="n">
        <v>425</v>
      </c>
      <c r="B426" s="73" t="inlineStr">
        <is>
          <t>284918952655</t>
        </is>
      </c>
      <c r="C426" s="73" t="inlineStr"/>
      <c r="D426" s="73" t="inlineStr">
        <is>
          <t>Network Monitoring Tool Software</t>
        </is>
      </c>
      <c r="E426" s="73" t="inlineStr">
        <is>
          <t>LA County- Internal Services Department</t>
        </is>
      </c>
      <c r="F426" s="73" t="inlineStr"/>
      <c r="G426" s="73" t="inlineStr">
        <is>
          <t>Submitted</t>
        </is>
      </c>
      <c r="H426" s="73" t="inlineStr"/>
      <c r="I426" s="73" t="inlineStr"/>
      <c r="J426" s="73" t="inlineStr">
        <is>
          <t>2026-02-13</t>
        </is>
      </c>
      <c r="K426" s="73" t="inlineStr">
        <is>
          <t>2026-02-13</t>
        </is>
      </c>
      <c r="L426" s="73" t="n"/>
      <c r="M426" s="73" t="inlineStr">
        <is>
          <t>Platform Implementation (ERP, CRMs)</t>
        </is>
      </c>
      <c r="N426" s="73" t="inlineStr"/>
      <c r="O426" s="73" t="inlineStr">
        <is>
          <t>Ashutosh Chauhan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2026-02-03</t>
        </is>
      </c>
      <c r="Z426" s="73" t="inlineStr">
        <is>
          <t>https://app-na2.hubspot.com/contacts/243046792/record/0-3/284918952655</t>
        </is>
      </c>
      <c r="AA426" s="73" t="inlineStr"/>
    </row>
    <row r="427">
      <c r="A427" s="73" t="n">
        <v>426</v>
      </c>
      <c r="B427" s="73" t="inlineStr">
        <is>
          <t>270519938771</t>
        </is>
      </c>
      <c r="C427" s="73" t="inlineStr"/>
      <c r="D427" s="73" t="inlineStr">
        <is>
          <t>Information Technology Security Audit Services</t>
        </is>
      </c>
      <c r="E427" s="73" t="inlineStr">
        <is>
          <t>Memorial Healthcare System</t>
        </is>
      </c>
      <c r="F427" s="73" t="inlineStr">
        <is>
          <t>Florida</t>
        </is>
      </c>
      <c r="G427" s="73" t="inlineStr">
        <is>
          <t>Submitted</t>
        </is>
      </c>
      <c r="H427" s="73" t="inlineStr"/>
      <c r="I427" s="73" t="inlineStr"/>
      <c r="J427" s="73" t="inlineStr">
        <is>
          <t>2026-02-13</t>
        </is>
      </c>
      <c r="K427" s="73" t="inlineStr">
        <is>
          <t>2026-02-13</t>
        </is>
      </c>
      <c r="L427" s="75" t="n">
        <v>220000</v>
      </c>
      <c r="M427" s="73" t="inlineStr">
        <is>
          <t>Audits and Assessment</t>
        </is>
      </c>
      <c r="N427" s="73" t="inlineStr"/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2026-01-22</t>
        </is>
      </c>
      <c r="Z427" s="73" t="inlineStr">
        <is>
          <t>https://app-na2.hubspot.com/contacts/243046792/record/0-3/270519938771</t>
        </is>
      </c>
      <c r="AA427" s="73" t="inlineStr"/>
    </row>
    <row r="428">
      <c r="A428" s="73" t="n">
        <v>427</v>
      </c>
      <c r="B428" s="73" t="inlineStr">
        <is>
          <t>257226026740</t>
        </is>
      </c>
      <c r="C428" s="73" t="inlineStr"/>
      <c r="D428" s="73" t="inlineStr">
        <is>
          <t>IT Consulting Services: Assessment and Roadmap</t>
        </is>
      </c>
      <c r="E428" s="73" t="inlineStr">
        <is>
          <t>City of Aspen</t>
        </is>
      </c>
      <c r="F428" s="73" t="inlineStr">
        <is>
          <t>Colorado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2026-02-13</t>
        </is>
      </c>
      <c r="K428" s="73" t="inlineStr">
        <is>
          <t>2026-02-13</t>
        </is>
      </c>
      <c r="L428" s="73" t="n"/>
      <c r="M428" s="73" t="inlineStr">
        <is>
          <t>Consulting</t>
        </is>
      </c>
      <c r="N428" s="73" t="inlineStr"/>
      <c r="O428" s="73" t="inlineStr">
        <is>
          <t>Savya Atrey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2026-01-08</t>
        </is>
      </c>
      <c r="Z428" s="73" t="inlineStr">
        <is>
          <t>https://app-na2.hubspot.com/contacts/243046792/record/0-3/257226026740</t>
        </is>
      </c>
      <c r="AA428" s="73" t="inlineStr"/>
    </row>
    <row r="429">
      <c r="A429" s="73" t="n">
        <v>428</v>
      </c>
      <c r="B429" s="73" t="inlineStr">
        <is>
          <t>278519758523</t>
        </is>
      </c>
      <c r="C429" s="73" t="inlineStr"/>
      <c r="D429" s="73" t="inlineStr">
        <is>
          <t>Colorado Wholesale Producer Directory – Database&amp; Integration BuildDatabase &amp; Integration Build</t>
        </is>
      </c>
      <c r="E429" s="73" t="inlineStr">
        <is>
          <t>Provecho Collective</t>
        </is>
      </c>
      <c r="F429" s="73" t="inlineStr">
        <is>
          <t>Colorado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2026-02-16</t>
        </is>
      </c>
      <c r="K429" s="73" t="inlineStr">
        <is>
          <t>2026-02-13</t>
        </is>
      </c>
      <c r="L429" s="75" t="n">
        <v>33600</v>
      </c>
      <c r="M429" s="73" t="inlineStr">
        <is>
          <t>Platform Implementation (ERP, CRMs)</t>
        </is>
      </c>
      <c r="N429" s="73" t="inlineStr"/>
      <c r="O429" s="73" t="inlineStr">
        <is>
          <t>Jyothsna Nanda kishore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2026-01-30</t>
        </is>
      </c>
      <c r="Z429" s="73" t="inlineStr">
        <is>
          <t>https://app-na2.hubspot.com/contacts/243046792/record/0-3/278519758523</t>
        </is>
      </c>
      <c r="AA429" s="73" t="inlineStr"/>
    </row>
    <row r="430">
      <c r="A430" s="73" t="n">
        <v>429</v>
      </c>
      <c r="B430" s="73" t="inlineStr">
        <is>
          <t>296279908039</t>
        </is>
      </c>
      <c r="C430" s="73" t="inlineStr"/>
      <c r="D430" s="73" t="inlineStr">
        <is>
          <t>Database to Improve School Meals</t>
        </is>
      </c>
      <c r="E430" s="73" t="inlineStr">
        <is>
          <t>Nourish Colorado</t>
        </is>
      </c>
      <c r="F430" s="73" t="inlineStr">
        <is>
          <t>Colorado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2026-02-16</t>
        </is>
      </c>
      <c r="K430" s="73" t="inlineStr">
        <is>
          <t>2026-02-13</t>
        </is>
      </c>
      <c r="L430" s="75" t="n">
        <v>33000</v>
      </c>
      <c r="M430" s="73" t="inlineStr">
        <is>
          <t>Platform Implementation (ERP, CRMs)</t>
        </is>
      </c>
      <c r="N430" s="73" t="inlineStr"/>
      <c r="O430" s="73" t="inlineStr">
        <is>
          <t>Jyothsna Nanda kishore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2026-02-13</t>
        </is>
      </c>
      <c r="Z430" s="73" t="inlineStr">
        <is>
          <t>https://app-na2.hubspot.com/contacts/243046792/record/0-3/296279908039</t>
        </is>
      </c>
      <c r="AA430" s="73" t="inlineStr"/>
    </row>
    <row r="431">
      <c r="A431" s="73" t="n">
        <v>430</v>
      </c>
      <c r="B431" s="73" t="inlineStr">
        <is>
          <t>197783925452</t>
        </is>
      </c>
      <c r="C431" s="73" t="inlineStr"/>
      <c r="D431" s="73" t="inlineStr">
        <is>
          <t>IT Assessment &amp; Modernization at CU Boulder</t>
        </is>
      </c>
      <c r="E431" s="73" t="inlineStr">
        <is>
          <t>University of Colorado</t>
        </is>
      </c>
      <c r="F431" s="73" t="inlineStr">
        <is>
          <t>Colorado</t>
        </is>
      </c>
      <c r="G431" s="73" t="inlineStr">
        <is>
          <t>Interview</t>
        </is>
      </c>
      <c r="H431" s="73" t="inlineStr">
        <is>
          <t>Yes</t>
        </is>
      </c>
      <c r="I431" s="73" t="inlineStr">
        <is>
          <t>Interview</t>
        </is>
      </c>
      <c r="J431" s="73" t="inlineStr">
        <is>
          <t>2026-02-17</t>
        </is>
      </c>
      <c r="K431" s="73" t="inlineStr">
        <is>
          <t>2025-12-05</t>
        </is>
      </c>
      <c r="L431" s="75" t="n">
        <v>184215</v>
      </c>
      <c r="M431" s="73" t="inlineStr">
        <is>
          <t>Consulting</t>
        </is>
      </c>
      <c r="N431" s="73" t="inlineStr">
        <is>
          <t>Portal</t>
        </is>
      </c>
      <c r="O431" s="73" t="inlineStr">
        <is>
          <t>Jyothsna Nanda kishore</t>
        </is>
      </c>
      <c r="P431" s="73" t="inlineStr">
        <is>
          <t>Interview Scheduled</t>
        </is>
      </c>
      <c r="Q431" s="73" t="inlineStr">
        <is>
          <t>2026-02-20</t>
        </is>
      </c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2025-10-28</t>
        </is>
      </c>
      <c r="Z431" s="73" t="inlineStr">
        <is>
          <t>https://app-na2.hubspot.com/contacts/243046792/record/0-3/197783925452</t>
        </is>
      </c>
      <c r="AA431" s="73" t="inlineStr"/>
    </row>
    <row r="432">
      <c r="A432" s="73" t="n">
        <v>431</v>
      </c>
      <c r="B432" s="73" t="inlineStr">
        <is>
          <t>239542774489</t>
        </is>
      </c>
      <c r="C432" s="73" t="inlineStr">
        <is>
          <t>R5-2023-77-0035</t>
        </is>
      </c>
      <c r="D432" s="73" t="inlineStr">
        <is>
          <t>Multifactor Authentication (MFA) Implementation – Microsoft GCC Migration / Intune / WindowsHello for Business</t>
        </is>
      </c>
      <c r="E432" s="73" t="inlineStr">
        <is>
          <t>Coldwater City and Coldwater Board of Public Utilities (CBPU)</t>
        </is>
      </c>
      <c r="F432" s="73" t="inlineStr"/>
      <c r="G432" s="73" t="inlineStr">
        <is>
          <t>Closed Lost</t>
        </is>
      </c>
      <c r="H432" s="73" t="inlineStr">
        <is>
          <t>Yes</t>
        </is>
      </c>
      <c r="I432" s="73" t="inlineStr">
        <is>
          <t>Interview</t>
        </is>
      </c>
      <c r="J432" s="73" t="inlineStr">
        <is>
          <t>2026-02-17</t>
        </is>
      </c>
      <c r="K432" s="73" t="inlineStr">
        <is>
          <t>2026-01-08</t>
        </is>
      </c>
      <c r="L432" s="75" t="n">
        <v>164660</v>
      </c>
      <c r="M432" s="73" t="inlineStr">
        <is>
          <t>Modernization / Migration</t>
        </is>
      </c>
      <c r="N432" s="73" t="inlineStr">
        <is>
          <t>Email</t>
        </is>
      </c>
      <c r="O432" s="73" t="inlineStr">
        <is>
          <t>Jyothsna Nanda kishore</t>
        </is>
      </c>
      <c r="P432" s="73" t="inlineStr">
        <is>
          <t>Interview Scheduled</t>
        </is>
      </c>
      <c r="Q432" s="73" t="inlineStr">
        <is>
          <t>2026-01-16</t>
        </is>
      </c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2025-12-18</t>
        </is>
      </c>
      <c r="Z432" s="73" t="inlineStr">
        <is>
          <t>https://app-na2.hubspot.com/contacts/243046792/record/0-3/239542774489</t>
        </is>
      </c>
      <c r="AA432" s="73" t="inlineStr"/>
    </row>
    <row r="433">
      <c r="A433" s="73" t="n">
        <v>432</v>
      </c>
      <c r="B433" s="73" t="inlineStr">
        <is>
          <t>202091020006</t>
        </is>
      </c>
      <c r="C433" s="73" t="inlineStr"/>
      <c r="D433" s="73" t="inlineStr">
        <is>
          <t>Multi-Jurisdictional, Cybersecurity Penetration Testing</t>
        </is>
      </c>
      <c r="E433" s="73" t="inlineStr">
        <is>
          <t xml:space="preserve">Atlanta Regional Commission </t>
        </is>
      </c>
      <c r="F433" s="73" t="inlineStr">
        <is>
          <t>Georgia</t>
        </is>
      </c>
      <c r="G433" s="73" t="inlineStr">
        <is>
          <t>Closed Lost</t>
        </is>
      </c>
      <c r="H433" s="73" t="inlineStr"/>
      <c r="I433" s="73" t="inlineStr"/>
      <c r="J433" s="73" t="inlineStr">
        <is>
          <t>2026-02-17</t>
        </is>
      </c>
      <c r="K433" s="73" t="inlineStr">
        <is>
          <t>2025-11-25</t>
        </is>
      </c>
      <c r="L433" s="75" t="n">
        <v>116050.5</v>
      </c>
      <c r="M433" s="73" t="inlineStr">
        <is>
          <t>Audits and Assessment</t>
        </is>
      </c>
      <c r="N433" s="73" t="inlineStr"/>
      <c r="O433" s="73" t="inlineStr">
        <is>
          <t>Ashutosh Chauhan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2025-10-28</t>
        </is>
      </c>
      <c r="Z433" s="73" t="inlineStr">
        <is>
          <t>https://app-na2.hubspot.com/contacts/243046792/record/0-3/202091020006</t>
        </is>
      </c>
      <c r="AA433" s="73" t="inlineStr"/>
    </row>
    <row r="434">
      <c r="A434" s="73" t="n">
        <v>433</v>
      </c>
      <c r="B434" s="73" t="inlineStr">
        <is>
          <t>222376001220</t>
        </is>
      </c>
      <c r="C434" s="73" t="inlineStr"/>
      <c r="D434" s="73" t="inlineStr">
        <is>
          <t>MANAGEENGINE ENDPOINT CENTRAL SECURITY EDITION</t>
        </is>
      </c>
      <c r="E434" s="73" t="inlineStr">
        <is>
          <t>Greenville County</t>
        </is>
      </c>
      <c r="F434" s="73" t="inlineStr">
        <is>
          <t>South Carolina</t>
        </is>
      </c>
      <c r="G434" s="73" t="inlineStr">
        <is>
          <t>Closed Lost</t>
        </is>
      </c>
      <c r="H434" s="73" t="inlineStr"/>
      <c r="I434" s="73" t="inlineStr"/>
      <c r="J434" s="73" t="inlineStr">
        <is>
          <t>2026-02-17</t>
        </is>
      </c>
      <c r="K434" s="73" t="inlineStr">
        <is>
          <t>2025-12-12</t>
        </is>
      </c>
      <c r="L434" s="73" t="n"/>
      <c r="M434" s="73" t="inlineStr">
        <is>
          <t>Reseller</t>
        </is>
      </c>
      <c r="N434" s="73" t="inlineStr"/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2025-11-18</t>
        </is>
      </c>
      <c r="Z434" s="73" t="inlineStr">
        <is>
          <t>https://app-na2.hubspot.com/contacts/243046792/record/0-3/222376001220</t>
        </is>
      </c>
      <c r="AA434" s="73" t="inlineStr"/>
    </row>
    <row r="435">
      <c r="A435" s="73" t="n">
        <v>434</v>
      </c>
      <c r="B435" s="73" t="inlineStr">
        <is>
          <t>237718554309</t>
        </is>
      </c>
      <c r="C435" s="73" t="inlineStr"/>
      <c r="D435" s="73" t="inlineStr">
        <is>
          <t>Syxsense Cyber Security Services Renewal</t>
        </is>
      </c>
      <c r="E435" s="73" t="inlineStr">
        <is>
          <t>Port of Oakland</t>
        </is>
      </c>
      <c r="F435" s="73" t="inlineStr">
        <is>
          <t>California</t>
        </is>
      </c>
      <c r="G435" s="73" t="inlineStr">
        <is>
          <t>Closed Lost</t>
        </is>
      </c>
      <c r="H435" s="73" t="inlineStr"/>
      <c r="I435" s="73" t="inlineStr"/>
      <c r="J435" s="73" t="inlineStr">
        <is>
          <t>2026-02-17</t>
        </is>
      </c>
      <c r="K435" s="73" t="inlineStr">
        <is>
          <t>2026-01-07</t>
        </is>
      </c>
      <c r="L435" s="75" t="n">
        <v>149518.04</v>
      </c>
      <c r="M435" s="73" t="inlineStr">
        <is>
          <t>Reseller</t>
        </is>
      </c>
      <c r="N435" s="73" t="inlineStr">
        <is>
          <t>Offline</t>
        </is>
      </c>
      <c r="O435" s="73" t="inlineStr">
        <is>
          <t>Ashutosh Chauhan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2025-12-10</t>
        </is>
      </c>
      <c r="Z435" s="73" t="inlineStr">
        <is>
          <t>https://app-na2.hubspot.com/contacts/243046792/record/0-3/237718554309</t>
        </is>
      </c>
      <c r="AA435" s="73" t="inlineStr"/>
    </row>
    <row r="436">
      <c r="A436" s="73" t="n">
        <v>435</v>
      </c>
      <c r="B436" s="73" t="inlineStr">
        <is>
          <t>235966049983</t>
        </is>
      </c>
      <c r="C436" s="73" t="inlineStr"/>
      <c r="D436" s="73" t="inlineStr">
        <is>
          <t>On-Call Services and Software for Building Performance Standards Implementation</t>
        </is>
      </c>
      <c r="E436" s="73" t="inlineStr">
        <is>
          <t>City of West Hollywood</t>
        </is>
      </c>
      <c r="F436" s="73" t="inlineStr">
        <is>
          <t>California</t>
        </is>
      </c>
      <c r="G436" s="73" t="inlineStr">
        <is>
          <t>Closed Lost</t>
        </is>
      </c>
      <c r="H436" s="73" t="inlineStr"/>
      <c r="I436" s="73" t="inlineStr"/>
      <c r="J436" s="73" t="inlineStr">
        <is>
          <t>2026-02-17</t>
        </is>
      </c>
      <c r="K436" s="73" t="inlineStr">
        <is>
          <t>2026-01-21</t>
        </is>
      </c>
      <c r="L436" s="73" t="n"/>
      <c r="M436" s="73" t="inlineStr">
        <is>
          <t>Support &amp; Maintenance</t>
        </is>
      </c>
      <c r="N436" s="73" t="inlineStr"/>
      <c r="O436" s="73" t="inlineStr">
        <is>
          <t>Ashutosh Chauhan</t>
        </is>
      </c>
      <c r="P436" s="73" t="inlineStr"/>
      <c r="Q436" s="73" t="inlineStr"/>
      <c r="R436" s="73" t="inlineStr"/>
      <c r="S436" s="73" t="inlineStr"/>
      <c r="T436" s="73" t="inlineStr"/>
      <c r="U436" s="73" t="inlineStr"/>
      <c r="V436" s="73" t="inlineStr"/>
      <c r="W436" s="73" t="inlineStr"/>
      <c r="X436" s="73" t="inlineStr"/>
      <c r="Y436" s="73" t="inlineStr">
        <is>
          <t>2025-12-09</t>
        </is>
      </c>
      <c r="Z436" s="73" t="inlineStr">
        <is>
          <t>https://app-na2.hubspot.com/contacts/243046792/record/0-3/235966049983</t>
        </is>
      </c>
      <c r="AA436" s="73" t="inlineStr"/>
    </row>
    <row r="437">
      <c r="A437" s="73" t="n">
        <v>436</v>
      </c>
      <c r="B437" s="73" t="inlineStr">
        <is>
          <t>277951244020</t>
        </is>
      </c>
      <c r="C437" s="73" t="inlineStr">
        <is>
          <t>2026-GA-04</t>
        </is>
      </c>
      <c r="D437" s="73" t="inlineStr">
        <is>
          <t>Drupal Web Development and Maintenance Services</t>
        </is>
      </c>
      <c r="E437" s="73" t="inlineStr">
        <is>
          <t>Massachusetts Technology Collaborative</t>
        </is>
      </c>
      <c r="F437" s="73" t="inlineStr">
        <is>
          <t>Massachusetts</t>
        </is>
      </c>
      <c r="G437" s="73" t="inlineStr">
        <is>
          <t>Submitted</t>
        </is>
      </c>
      <c r="H437" s="73" t="inlineStr"/>
      <c r="I437" s="73" t="inlineStr"/>
      <c r="J437" s="73" t="inlineStr">
        <is>
          <t>2026-02-17</t>
        </is>
      </c>
      <c r="K437" s="73" t="inlineStr">
        <is>
          <t>2026-02-17</t>
        </is>
      </c>
      <c r="L437" s="75" t="n">
        <v>88480</v>
      </c>
      <c r="M437" s="73" t="inlineStr">
        <is>
          <t>Support &amp; Maintenance</t>
        </is>
      </c>
      <c r="N437" s="73" t="inlineStr">
        <is>
          <t>Email</t>
        </is>
      </c>
      <c r="O437" s="73" t="inlineStr">
        <is>
          <t>Abhishek Zalani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2026-01-29</t>
        </is>
      </c>
      <c r="Z437" s="73" t="inlineStr">
        <is>
          <t>https://app-na2.hubspot.com/contacts/243046792/record/0-3/277951244020</t>
        </is>
      </c>
      <c r="AA437" s="73" t="inlineStr"/>
    </row>
    <row r="438">
      <c r="A438" s="73" t="n">
        <v>437</v>
      </c>
      <c r="B438" s="73" t="inlineStr">
        <is>
          <t>269389188808</t>
        </is>
      </c>
      <c r="C438" s="73" t="inlineStr"/>
      <c r="D438" s="73" t="inlineStr">
        <is>
          <t>SAP S/4HANA SUCCESS FACTORS SERVICES</t>
        </is>
      </c>
      <c r="E438" s="73" t="inlineStr">
        <is>
          <t>NAVAJO TRIBAL UTILITY AUTHORITY</t>
        </is>
      </c>
      <c r="F438" s="73" t="inlineStr">
        <is>
          <t>Arizona</t>
        </is>
      </c>
      <c r="G438" s="73" t="inlineStr">
        <is>
          <t>Submitted</t>
        </is>
      </c>
      <c r="H438" s="73" t="inlineStr"/>
      <c r="I438" s="73" t="inlineStr"/>
      <c r="J438" s="73" t="inlineStr">
        <is>
          <t>2026-02-17</t>
        </is>
      </c>
      <c r="K438" s="73" t="inlineStr">
        <is>
          <t>2026-02-17</t>
        </is>
      </c>
      <c r="L438" s="75" t="n">
        <v>747565</v>
      </c>
      <c r="M438" s="73" t="inlineStr">
        <is>
          <t>Modernization / Migration</t>
        </is>
      </c>
      <c r="N438" s="73" t="inlineStr">
        <is>
          <t>Email</t>
        </is>
      </c>
      <c r="O438" s="73" t="inlineStr">
        <is>
          <t>Jyothsna Nanda kishore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2026-01-22</t>
        </is>
      </c>
      <c r="Z438" s="73" t="inlineStr">
        <is>
          <t>https://app-na2.hubspot.com/contacts/243046792/record/0-3/269389188808</t>
        </is>
      </c>
      <c r="AA438" s="73" t="inlineStr"/>
    </row>
    <row r="439">
      <c r="A439" s="73" t="n">
        <v>438</v>
      </c>
      <c r="B439" s="73" t="inlineStr">
        <is>
          <t>269511941853</t>
        </is>
      </c>
      <c r="C439" s="73" t="inlineStr"/>
      <c r="D439" s="73" t="inlineStr">
        <is>
          <t>SAP S/4HANA MIGRATION SERVICES</t>
        </is>
      </c>
      <c r="E439" s="73" t="inlineStr">
        <is>
          <t>NAVAJO TRIBAL UTILITY AUTHORITY</t>
        </is>
      </c>
      <c r="F439" s="73" t="inlineStr">
        <is>
          <t>Arizona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2026-02-17</t>
        </is>
      </c>
      <c r="K439" s="73" t="inlineStr">
        <is>
          <t>2026-02-17</t>
        </is>
      </c>
      <c r="L439" s="75" t="n">
        <v>707105</v>
      </c>
      <c r="M439" s="73" t="inlineStr">
        <is>
          <t>Modernization / Migration</t>
        </is>
      </c>
      <c r="N439" s="73" t="inlineStr">
        <is>
          <t>Email</t>
        </is>
      </c>
      <c r="O439" s="73" t="inlineStr">
        <is>
          <t>Jyothsna Nanda kishore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2026-01-22</t>
        </is>
      </c>
      <c r="Z439" s="73" t="inlineStr">
        <is>
          <t>https://app-na2.hubspot.com/contacts/243046792/record/0-3/269511941853</t>
        </is>
      </c>
      <c r="AA439" s="73" t="inlineStr"/>
    </row>
    <row r="440">
      <c r="A440" s="73" t="n">
        <v>439</v>
      </c>
      <c r="B440" s="73" t="inlineStr">
        <is>
          <t>270519938782</t>
        </is>
      </c>
      <c r="C440" s="73" t="inlineStr">
        <is>
          <t>2624RFP</t>
        </is>
      </c>
      <c r="D440" s="73" t="inlineStr">
        <is>
          <t>City of Daytona Beach Interactive Digital Platform</t>
        </is>
      </c>
      <c r="E440" s="73" t="inlineStr">
        <is>
          <t>City of Daytona Beach</t>
        </is>
      </c>
      <c r="F440" s="73" t="inlineStr">
        <is>
          <t>Florida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2026-02-17</t>
        </is>
      </c>
      <c r="K440" s="73" t="inlineStr">
        <is>
          <t>2026-02-17</t>
        </is>
      </c>
      <c r="L440" s="73" t="n"/>
      <c r="M440" s="73" t="inlineStr">
        <is>
          <t>Platform Implementation (ERP, CRMs)</t>
        </is>
      </c>
      <c r="N440" s="73" t="inlineStr"/>
      <c r="O440" s="73" t="inlineStr">
        <is>
          <t>Ashutosh Chauhan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2026-01-22</t>
        </is>
      </c>
      <c r="Z440" s="73" t="inlineStr">
        <is>
          <t>https://app-na2.hubspot.com/contacts/243046792/record/0-3/270519938782</t>
        </is>
      </c>
      <c r="AA440" s="73" t="inlineStr"/>
    </row>
    <row r="441">
      <c r="A441" s="73" t="n">
        <v>440</v>
      </c>
      <c r="B441" s="73" t="inlineStr">
        <is>
          <t>253057033953</t>
        </is>
      </c>
      <c r="C441" s="73" t="inlineStr">
        <is>
          <t>26-01</t>
        </is>
      </c>
      <c r="D441" s="73" t="inlineStr">
        <is>
          <t>IT Services</t>
        </is>
      </c>
      <c r="E441" s="73" t="inlineStr">
        <is>
          <t>Hampton Township</t>
        </is>
      </c>
      <c r="F441" s="73" t="inlineStr">
        <is>
          <t>New Jersey</t>
        </is>
      </c>
      <c r="G441" s="73" t="inlineStr">
        <is>
          <t>Closed Lost</t>
        </is>
      </c>
      <c r="H441" s="73" t="inlineStr"/>
      <c r="I441" s="73" t="inlineStr"/>
      <c r="J441" s="73" t="inlineStr">
        <is>
          <t>2026-02-17</t>
        </is>
      </c>
      <c r="K441" s="73" t="inlineStr">
        <is>
          <t>2026-01-27</t>
        </is>
      </c>
      <c r="L441" s="75" t="n">
        <v>18400</v>
      </c>
      <c r="M441" s="73" t="inlineStr">
        <is>
          <t>Managed Services (MSP)</t>
        </is>
      </c>
      <c r="N441" s="73" t="inlineStr">
        <is>
          <t>Portal</t>
        </is>
      </c>
      <c r="O441" s="73" t="inlineStr">
        <is>
          <t>Ashutosh Chauhan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2026-01-06</t>
        </is>
      </c>
      <c r="Z441" s="73" t="inlineStr">
        <is>
          <t>https://app-na2.hubspot.com/contacts/243046792/record/0-3/253057033953</t>
        </is>
      </c>
      <c r="AA441" s="73" t="inlineStr"/>
    </row>
    <row r="442">
      <c r="A442" s="73" t="n">
        <v>441</v>
      </c>
      <c r="B442" s="73" t="inlineStr">
        <is>
          <t>260408042179</t>
        </is>
      </c>
      <c r="C442" s="73" t="inlineStr"/>
      <c r="D442" s="73" t="inlineStr">
        <is>
          <t>IT Professional Services</t>
        </is>
      </c>
      <c r="E442" s="73" t="inlineStr">
        <is>
          <t>City of Long Beach</t>
        </is>
      </c>
      <c r="F442" s="73" t="inlineStr">
        <is>
          <t>California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2026-02-17</t>
        </is>
      </c>
      <c r="K442" s="73" t="inlineStr">
        <is>
          <t>2026-02-17</t>
        </is>
      </c>
      <c r="L442" s="73" t="n"/>
      <c r="M442" s="73" t="inlineStr">
        <is>
          <t>Staff Augmentation</t>
        </is>
      </c>
      <c r="N442" s="73" t="inlineStr">
        <is>
          <t>Portal</t>
        </is>
      </c>
      <c r="O442" s="73" t="inlineStr">
        <is>
          <t>Jyothsna Nanda kishore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2026-01-13</t>
        </is>
      </c>
      <c r="Z442" s="73" t="inlineStr">
        <is>
          <t>https://app-na2.hubspot.com/contacts/243046792/record/0-3/260408042179</t>
        </is>
      </c>
      <c r="AA442" s="73" t="inlineStr"/>
    </row>
    <row r="443">
      <c r="A443" s="73" t="n">
        <v>442</v>
      </c>
      <c r="B443" s="73" t="inlineStr">
        <is>
          <t>277951242989</t>
        </is>
      </c>
      <c r="C443" s="73" t="inlineStr">
        <is>
          <t>2026-014</t>
        </is>
      </c>
      <c r="D443" s="73" t="inlineStr">
        <is>
          <t>(OFFLINE) Professional Consulting Services for ERP System Selection</t>
        </is>
      </c>
      <c r="E443" s="73" t="inlineStr">
        <is>
          <t>Texas City</t>
        </is>
      </c>
      <c r="F443" s="73" t="inlineStr">
        <is>
          <t>Texas</t>
        </is>
      </c>
      <c r="G443" s="73" t="inlineStr">
        <is>
          <t>Submitted</t>
        </is>
      </c>
      <c r="H443" s="73" t="inlineStr"/>
      <c r="I443" s="73" t="inlineStr"/>
      <c r="J443" s="73" t="inlineStr">
        <is>
          <t>2026-02-18</t>
        </is>
      </c>
      <c r="K443" s="73" t="inlineStr">
        <is>
          <t>2026-02-17</t>
        </is>
      </c>
      <c r="L443" s="75" t="n">
        <v>50000</v>
      </c>
      <c r="M443" s="73" t="inlineStr">
        <is>
          <t>Consulting</t>
        </is>
      </c>
      <c r="N443" s="73" t="inlineStr">
        <is>
          <t>Offline</t>
        </is>
      </c>
      <c r="O443" s="73" t="inlineStr">
        <is>
          <t>Abhishek Zalani</t>
        </is>
      </c>
      <c r="P443" s="73" t="inlineStr"/>
      <c r="Q443" s="73" t="inlineStr"/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2026-01-29</t>
        </is>
      </c>
      <c r="Z443" s="73" t="inlineStr">
        <is>
          <t>https://app-na2.hubspot.com/contacts/243046792/record/0-3/277951242989</t>
        </is>
      </c>
      <c r="AA443" s="73" t="inlineStr"/>
    </row>
    <row r="444">
      <c r="A444" s="73" t="n">
        <v>443</v>
      </c>
      <c r="B444" s="73" t="inlineStr">
        <is>
          <t>279234879202</t>
        </is>
      </c>
      <c r="C444" s="73" t="inlineStr"/>
      <c r="D444" s="73" t="inlineStr">
        <is>
          <t>Salesforce CRM Development and Consulting Services for Solid Waste &amp; Recycling</t>
        </is>
      </c>
      <c r="E444" s="73" t="inlineStr">
        <is>
          <t>Washington County Solid Waste &amp; Recycling (WCSWR)</t>
        </is>
      </c>
      <c r="F444" s="73" t="inlineStr"/>
      <c r="G444" s="73" t="inlineStr">
        <is>
          <t>Submitted</t>
        </is>
      </c>
      <c r="H444" s="73" t="inlineStr"/>
      <c r="I444" s="73" t="inlineStr"/>
      <c r="J444" s="73" t="inlineStr">
        <is>
          <t>2026-02-18</t>
        </is>
      </c>
      <c r="K444" s="73" t="inlineStr">
        <is>
          <t>2026-02-18</t>
        </is>
      </c>
      <c r="L444" s="73" t="n"/>
      <c r="M444" s="73" t="inlineStr">
        <is>
          <t>Consulting</t>
        </is>
      </c>
      <c r="N444" s="73" t="inlineStr"/>
      <c r="O444" s="73" t="inlineStr">
        <is>
          <t>Ashutosh Chauhan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2026-01-30</t>
        </is>
      </c>
      <c r="Z444" s="73" t="inlineStr">
        <is>
          <t>https://app-na2.hubspot.com/contacts/243046792/record/0-3/279234879202</t>
        </is>
      </c>
      <c r="AA444" s="73" t="inlineStr"/>
    </row>
    <row r="445">
      <c r="A445" s="73" t="n">
        <v>444</v>
      </c>
      <c r="B445" s="73" t="inlineStr">
        <is>
          <t>280744452794</t>
        </is>
      </c>
      <c r="C445" s="73" t="inlineStr"/>
      <c r="D445" s="73" t="inlineStr">
        <is>
          <t>ADA Web Compliance and Remediation Service</t>
        </is>
      </c>
      <c r="E445" s="73" t="inlineStr">
        <is>
          <t>SUPERIOR COURT OF CALIFORNIA, COUNTY OF LOS ANGELES</t>
        </is>
      </c>
      <c r="F445" s="73" t="inlineStr">
        <is>
          <t>California</t>
        </is>
      </c>
      <c r="G445" s="73" t="inlineStr">
        <is>
          <t>Submitted</t>
        </is>
      </c>
      <c r="H445" s="73" t="inlineStr"/>
      <c r="I445" s="73" t="inlineStr"/>
      <c r="J445" s="73" t="inlineStr">
        <is>
          <t>2026-02-18</t>
        </is>
      </c>
      <c r="K445" s="73" t="inlineStr">
        <is>
          <t>2026-02-18</t>
        </is>
      </c>
      <c r="L445" s="75" t="n">
        <v>36400</v>
      </c>
      <c r="M445" s="73" t="inlineStr">
        <is>
          <t>Consulting</t>
        </is>
      </c>
      <c r="N445" s="73" t="inlineStr">
        <is>
          <t>Portal</t>
        </is>
      </c>
      <c r="O445" s="73" t="inlineStr">
        <is>
          <t>Savya Atrey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2026-02-03</t>
        </is>
      </c>
      <c r="Z445" s="73" t="inlineStr">
        <is>
          <t>https://app-na2.hubspot.com/contacts/243046792/record/0-3/280744452794</t>
        </is>
      </c>
      <c r="AA445" s="73" t="inlineStr"/>
    </row>
    <row r="446">
      <c r="A446" s="73" t="n">
        <v>445</v>
      </c>
      <c r="B446" s="73" t="inlineStr">
        <is>
          <t>284825504473</t>
        </is>
      </c>
      <c r="C446" s="73" t="inlineStr"/>
      <c r="D446" s="73" t="inlineStr">
        <is>
          <t>26-7722 Solarwinds Software</t>
        </is>
      </c>
      <c r="E446" s="73" t="inlineStr">
        <is>
          <t>Metropolitan Community College [MO]</t>
        </is>
      </c>
      <c r="F446" s="73" t="inlineStr">
        <is>
          <t>Missouri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2026-02-19</t>
        </is>
      </c>
      <c r="K446" s="73" t="inlineStr">
        <is>
          <t>2026-02-19</t>
        </is>
      </c>
      <c r="L446" s="73" t="n"/>
      <c r="M446" s="73" t="inlineStr">
        <is>
          <t>Reseller</t>
        </is>
      </c>
      <c r="N446" s="73" t="inlineStr">
        <is>
          <t>Portal</t>
        </is>
      </c>
      <c r="O446" s="73" t="inlineStr">
        <is>
          <t>Jyothsna Nanda kishore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2026-02-03</t>
        </is>
      </c>
      <c r="Z446" s="73" t="inlineStr">
        <is>
          <t>https://app-na2.hubspot.com/contacts/243046792/record/0-3/284825504473</t>
        </is>
      </c>
      <c r="AA446" s="73" t="inlineStr"/>
    </row>
    <row r="447">
      <c r="A447" s="73" t="n">
        <v>446</v>
      </c>
      <c r="B447" s="73" t="inlineStr">
        <is>
          <t>293206315769</t>
        </is>
      </c>
      <c r="C447" s="73" t="inlineStr"/>
      <c r="D447" s="73" t="inlineStr">
        <is>
          <t>Project Management Information System (PMIS) Feasibility Study</t>
        </is>
      </c>
      <c r="E447" s="73" t="inlineStr">
        <is>
          <t>Community Transit</t>
        </is>
      </c>
      <c r="F447" s="73" t="inlineStr">
        <is>
          <t>Washington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2026-02-19</t>
        </is>
      </c>
      <c r="K447" s="73" t="inlineStr">
        <is>
          <t>2026-02-19</t>
        </is>
      </c>
      <c r="L447" s="75" t="n">
        <v>33006</v>
      </c>
      <c r="M447" s="73" t="inlineStr">
        <is>
          <t>Consulting</t>
        </is>
      </c>
      <c r="N447" s="73" t="inlineStr">
        <is>
          <t>Portal</t>
        </is>
      </c>
      <c r="O447" s="73" t="inlineStr">
        <is>
          <t>Savya Atrey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2026-02-12</t>
        </is>
      </c>
      <c r="Z447" s="73" t="inlineStr">
        <is>
          <t>https://app-na2.hubspot.com/contacts/243046792/record/0-3/293206315769</t>
        </is>
      </c>
      <c r="AA447" s="73" t="inlineStr"/>
    </row>
    <row r="448">
      <c r="A448" s="73" t="n">
        <v>447</v>
      </c>
      <c r="B448" s="73" t="inlineStr">
        <is>
          <t>277854566098</t>
        </is>
      </c>
      <c r="C448" s="73" t="inlineStr"/>
      <c r="D448" s="73" t="inlineStr">
        <is>
          <t xml:space="preserve">DATA ANALYTICS SERVICES (OFFICE OF INNOVATION, STRATEGY &amp; GOVERNANCE) </t>
        </is>
      </c>
      <c r="E448" s="73" t="inlineStr">
        <is>
          <t>Clarke County School District</t>
        </is>
      </c>
      <c r="F448" s="73" t="inlineStr">
        <is>
          <t>Georgia</t>
        </is>
      </c>
      <c r="G448" s="73" t="inlineStr">
        <is>
          <t>Submitted</t>
        </is>
      </c>
      <c r="H448" s="73" t="inlineStr"/>
      <c r="I448" s="73" t="inlineStr"/>
      <c r="J448" s="73" t="inlineStr">
        <is>
          <t>2026-02-19</t>
        </is>
      </c>
      <c r="K448" s="73" t="inlineStr">
        <is>
          <t>2026-02-19</t>
        </is>
      </c>
      <c r="L448" s="73" t="n"/>
      <c r="M448" s="73" t="inlineStr">
        <is>
          <t>Platform Implementation (ERP, CRMs)</t>
        </is>
      </c>
      <c r="N448" s="73" t="inlineStr">
        <is>
          <t>Email</t>
        </is>
      </c>
      <c r="O448" s="73" t="inlineStr">
        <is>
          <t>Ashutosh Chauhan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2026-01-29</t>
        </is>
      </c>
      <c r="Z448" s="73" t="inlineStr">
        <is>
          <t>https://app-na2.hubspot.com/contacts/243046792/record/0-3/277854566098</t>
        </is>
      </c>
      <c r="AA448" s="73" t="inlineStr"/>
    </row>
    <row r="449">
      <c r="A449" s="73" t="n">
        <v>448</v>
      </c>
      <c r="B449" s="73" t="inlineStr">
        <is>
          <t>267668363979</t>
        </is>
      </c>
      <c r="C449" s="73" t="inlineStr">
        <is>
          <t>RFP2526-02</t>
        </is>
      </c>
      <c r="D449" s="73" t="inlineStr">
        <is>
          <t>Systems Assessment</t>
        </is>
      </c>
      <c r="E449" s="73" t="inlineStr">
        <is>
          <t>Clackamas Community College</t>
        </is>
      </c>
      <c r="F449" s="73" t="inlineStr">
        <is>
          <t>Oregon</t>
        </is>
      </c>
      <c r="G449" s="73" t="inlineStr">
        <is>
          <t>Submitted</t>
        </is>
      </c>
      <c r="H449" s="73" t="inlineStr"/>
      <c r="I449" s="73" t="inlineStr"/>
      <c r="J449" s="73" t="inlineStr">
        <is>
          <t>2026-02-19</t>
        </is>
      </c>
      <c r="K449" s="73" t="inlineStr">
        <is>
          <t>2026-02-19</t>
        </is>
      </c>
      <c r="L449" s="75" t="n">
        <v>186500</v>
      </c>
      <c r="M449" s="73" t="inlineStr">
        <is>
          <t>Audits and Assessment</t>
        </is>
      </c>
      <c r="N449" s="73" t="inlineStr">
        <is>
          <t>Email</t>
        </is>
      </c>
      <c r="O449" s="73" t="inlineStr">
        <is>
          <t>Ashutosh Chauhan</t>
        </is>
      </c>
      <c r="P449" s="73" t="inlineStr"/>
      <c r="Q449" s="73" t="inlineStr"/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2026-01-22</t>
        </is>
      </c>
      <c r="Z449" s="73" t="inlineStr">
        <is>
          <t>https://app-na2.hubspot.com/contacts/243046792/record/0-3/267668363979</t>
        </is>
      </c>
      <c r="AA449" s="73" t="inlineStr"/>
    </row>
    <row r="450">
      <c r="A450" s="73" t="n">
        <v>449</v>
      </c>
      <c r="B450" s="73" t="inlineStr">
        <is>
          <t>279239195374</t>
        </is>
      </c>
      <c r="C450" s="73" t="inlineStr"/>
      <c r="D450" s="73" t="inlineStr">
        <is>
          <t>Veeam License and Support for Microsoft 365-Enterprise Plus</t>
        </is>
      </c>
      <c r="E450" s="73" t="inlineStr">
        <is>
          <t>Clark County Public Transportation Benefit Area (dba C-TRAN)</t>
        </is>
      </c>
      <c r="F450" s="73" t="inlineStr"/>
      <c r="G450" s="73" t="inlineStr">
        <is>
          <t>Submitted</t>
        </is>
      </c>
      <c r="H450" s="73" t="inlineStr"/>
      <c r="I450" s="73" t="inlineStr"/>
      <c r="J450" s="73" t="inlineStr">
        <is>
          <t>2026-02-19</t>
        </is>
      </c>
      <c r="K450" s="73" t="inlineStr">
        <is>
          <t>2026-02-19</t>
        </is>
      </c>
      <c r="L450" s="75" t="n">
        <v>35100</v>
      </c>
      <c r="M450" s="73" t="inlineStr">
        <is>
          <t>Reseller</t>
        </is>
      </c>
      <c r="N450" s="73" t="inlineStr"/>
      <c r="O450" s="73" t="inlineStr">
        <is>
          <t>Ashutosh Chauhan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2026-01-30</t>
        </is>
      </c>
      <c r="Z450" s="73" t="inlineStr">
        <is>
          <t>https://app-na2.hubspot.com/contacts/243046792/record/0-3/279239195374</t>
        </is>
      </c>
      <c r="AA450" s="73" t="inlineStr"/>
    </row>
    <row r="451">
      <c r="A451" s="73" t="n">
        <v>450</v>
      </c>
      <c r="B451" s="73" t="inlineStr">
        <is>
          <t>235886616288</t>
        </is>
      </c>
      <c r="C451" s="73" t="inlineStr"/>
      <c r="D451" s="73" t="inlineStr">
        <is>
          <t>Rebid- Information Technology Services</t>
        </is>
      </c>
      <c r="E451" s="73" t="inlineStr">
        <is>
          <t>LEAD CHARTER SCHOOL</t>
        </is>
      </c>
      <c r="F451" s="73" t="inlineStr">
        <is>
          <t>New Jersey</t>
        </is>
      </c>
      <c r="G451" s="73" t="inlineStr">
        <is>
          <t>Intent to Award</t>
        </is>
      </c>
      <c r="H451" s="73" t="inlineStr"/>
      <c r="I451" s="73" t="inlineStr"/>
      <c r="J451" s="73" t="inlineStr">
        <is>
          <t>2026-02-19</t>
        </is>
      </c>
      <c r="K451" s="73" t="inlineStr">
        <is>
          <t>2026-01-01</t>
        </is>
      </c>
      <c r="L451" s="75" t="n">
        <v>24750</v>
      </c>
      <c r="M451" s="73" t="inlineStr">
        <is>
          <t>Managed Services (MSP)</t>
        </is>
      </c>
      <c r="N451" s="73" t="inlineStr">
        <is>
          <t>Offline</t>
        </is>
      </c>
      <c r="O451" s="73" t="inlineStr">
        <is>
          <t>Jyothsna Nanda kishore</t>
        </is>
      </c>
      <c r="P451" s="73" t="inlineStr"/>
      <c r="Q451" s="73" t="inlineStr"/>
      <c r="R451" s="73" t="inlineStr"/>
      <c r="S451" s="73" t="inlineStr"/>
      <c r="T451" s="73" t="inlineStr"/>
      <c r="U451" s="73" t="inlineStr">
        <is>
          <t>2026-02-09</t>
        </is>
      </c>
      <c r="V451" s="73" t="inlineStr"/>
      <c r="W451" s="73" t="inlineStr"/>
      <c r="X451" s="73" t="inlineStr"/>
      <c r="Y451" s="73" t="inlineStr">
        <is>
          <t>2025-12-09</t>
        </is>
      </c>
      <c r="Z451" s="73" t="inlineStr">
        <is>
          <t>https://app-na2.hubspot.com/contacts/243046792/record/0-3/235886616288</t>
        </is>
      </c>
      <c r="AA451" s="73" t="inlineStr"/>
    </row>
    <row r="452">
      <c r="A452" s="73" t="n">
        <v>451</v>
      </c>
      <c r="B452" s="73" t="inlineStr">
        <is>
          <t>231825907405</t>
        </is>
      </c>
      <c r="C452" s="73" t="inlineStr"/>
      <c r="D452" s="73" t="inlineStr">
        <is>
          <t>Information Technology Services</t>
        </is>
      </c>
      <c r="E452" s="73" t="inlineStr">
        <is>
          <t xml:space="preserve">Plainsboro Township </t>
        </is>
      </c>
      <c r="F452" s="73" t="inlineStr">
        <is>
          <t>New Jersey</t>
        </is>
      </c>
      <c r="G452" s="73" t="inlineStr">
        <is>
          <t>Closed Lost</t>
        </is>
      </c>
      <c r="H452" s="73" t="inlineStr"/>
      <c r="I452" s="73" t="inlineStr"/>
      <c r="J452" s="73" t="inlineStr">
        <is>
          <t>2026-02-19</t>
        </is>
      </c>
      <c r="K452" s="73" t="inlineStr">
        <is>
          <t>2026-01-08</t>
        </is>
      </c>
      <c r="L452" s="73" t="n"/>
      <c r="M452" s="73" t="inlineStr">
        <is>
          <t>Managed Services (MSP)</t>
        </is>
      </c>
      <c r="N452" s="73" t="inlineStr">
        <is>
          <t>Portal</t>
        </is>
      </c>
      <c r="O452" s="73" t="inlineStr">
        <is>
          <t>Ashutosh Chauhan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2025-12-03</t>
        </is>
      </c>
      <c r="Z452" s="73" t="inlineStr">
        <is>
          <t>https://app-na2.hubspot.com/contacts/243046792/record/0-3/231825907405</t>
        </is>
      </c>
      <c r="AA452" s="73" t="inlineStr"/>
    </row>
    <row r="453">
      <c r="A453" s="73" t="n">
        <v>452</v>
      </c>
      <c r="B453" s="73" t="inlineStr">
        <is>
          <t>267448858361</t>
        </is>
      </c>
      <c r="C453" s="73" t="inlineStr"/>
      <c r="D453" s="73" t="inlineStr">
        <is>
          <t>Success Factors Consulting Services</t>
        </is>
      </c>
      <c r="E453" s="73" t="inlineStr">
        <is>
          <t xml:space="preserve">Public Utility District No. 1 of Snohomish County </t>
        </is>
      </c>
      <c r="F453" s="73" t="inlineStr">
        <is>
          <t>Washington</t>
        </is>
      </c>
      <c r="G453" s="73" t="inlineStr">
        <is>
          <t>Closed Lost</t>
        </is>
      </c>
      <c r="H453" s="73" t="inlineStr"/>
      <c r="I453" s="73" t="inlineStr"/>
      <c r="J453" s="73" t="inlineStr">
        <is>
          <t>2026-02-20</t>
        </is>
      </c>
      <c r="K453" s="73" t="inlineStr">
        <is>
          <t>2026-02-05</t>
        </is>
      </c>
      <c r="L453" s="73" t="n"/>
      <c r="M453" s="73" t="inlineStr">
        <is>
          <t>Consulting</t>
        </is>
      </c>
      <c r="N453" s="73" t="inlineStr"/>
      <c r="O453" s="73" t="inlineStr">
        <is>
          <t>Jyothsna Nanda kishore</t>
        </is>
      </c>
      <c r="P453" s="73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2026-01-22</t>
        </is>
      </c>
      <c r="Z453" s="73" t="inlineStr">
        <is>
          <t>https://app-na2.hubspot.com/contacts/243046792/record/0-3/267448858361</t>
        </is>
      </c>
      <c r="AA453" s="73" t="inlineStr"/>
    </row>
    <row r="454">
      <c r="A454" s="73" t="n">
        <v>453</v>
      </c>
      <c r="B454" s="73" t="inlineStr">
        <is>
          <t>282383618799</t>
        </is>
      </c>
      <c r="C454" s="73" t="inlineStr"/>
      <c r="D454" s="73" t="inlineStr">
        <is>
          <t>OFF - MANAGED IT SERVICES</t>
        </is>
      </c>
      <c r="E454" s="73" t="inlineStr">
        <is>
          <t>City of Cortland</t>
        </is>
      </c>
      <c r="F454" s="73" t="inlineStr">
        <is>
          <t>New York</t>
        </is>
      </c>
      <c r="G454" s="73" t="inlineStr">
        <is>
          <t>Submitted</t>
        </is>
      </c>
      <c r="H454" s="73" t="inlineStr"/>
      <c r="I454" s="73" t="inlineStr"/>
      <c r="J454" s="73" t="inlineStr">
        <is>
          <t>2026-02-20</t>
        </is>
      </c>
      <c r="K454" s="73" t="inlineStr">
        <is>
          <t>2026-02-23</t>
        </is>
      </c>
      <c r="L454" s="73" t="n"/>
      <c r="M454" s="73" t="inlineStr">
        <is>
          <t>Managed Services (MSP)</t>
        </is>
      </c>
      <c r="N454" s="73" t="inlineStr"/>
      <c r="O454" s="73" t="inlineStr">
        <is>
          <t>Ashutosh Chauhan</t>
        </is>
      </c>
      <c r="P454" s="73" t="inlineStr"/>
      <c r="Q454" s="73" t="inlineStr"/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2026-02-02</t>
        </is>
      </c>
      <c r="Z454" s="73" t="inlineStr">
        <is>
          <t>https://app-na2.hubspot.com/contacts/243046792/record/0-3/282383618799</t>
        </is>
      </c>
      <c r="AA454" s="73" t="inlineStr"/>
    </row>
    <row r="455">
      <c r="A455" s="73" t="n">
        <v>454</v>
      </c>
      <c r="B455" s="73" t="inlineStr">
        <is>
          <t>280593490667</t>
        </is>
      </c>
      <c r="C455" s="73" t="inlineStr"/>
      <c r="D455" s="73" t="inlineStr">
        <is>
          <t>ERP CONSULTING SERVICES</t>
        </is>
      </c>
      <c r="E455" s="73" t="inlineStr">
        <is>
          <t>City of Westminster</t>
        </is>
      </c>
      <c r="F455" s="73" t="inlineStr">
        <is>
          <t>Colorado</t>
        </is>
      </c>
      <c r="G455" s="73" t="inlineStr">
        <is>
          <t>Submitted</t>
        </is>
      </c>
      <c r="H455" s="73" t="inlineStr"/>
      <c r="I455" s="73" t="inlineStr"/>
      <c r="J455" s="73" t="inlineStr">
        <is>
          <t>2026-02-20</t>
        </is>
      </c>
      <c r="K455" s="73" t="inlineStr">
        <is>
          <t>2026-02-20</t>
        </is>
      </c>
      <c r="L455" s="75" t="n">
        <v>394350</v>
      </c>
      <c r="M455" s="73" t="inlineStr">
        <is>
          <t>Consulting</t>
        </is>
      </c>
      <c r="N455" s="73" t="inlineStr">
        <is>
          <t>Portal</t>
        </is>
      </c>
      <c r="O455" s="73" t="inlineStr">
        <is>
          <t>Jyothsna Nanda kishore</t>
        </is>
      </c>
      <c r="P455" s="73" t="inlineStr"/>
      <c r="Q455" s="73" t="inlineStr"/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2026-02-03</t>
        </is>
      </c>
      <c r="Z455" s="73" t="inlineStr">
        <is>
          <t>https://app-na2.hubspot.com/contacts/243046792/record/0-3/280593490667</t>
        </is>
      </c>
      <c r="AA455" s="73" t="inlineStr"/>
    </row>
    <row r="456">
      <c r="A456" s="73" t="n">
        <v>455</v>
      </c>
      <c r="B456" s="73" t="inlineStr">
        <is>
          <t>264548341452</t>
        </is>
      </c>
      <c r="C456" s="73" t="inlineStr"/>
      <c r="D456" s="73" t="inlineStr">
        <is>
          <t>Cybersecurity Consultant</t>
        </is>
      </c>
      <c r="E456" s="73" t="inlineStr">
        <is>
          <t>Temple Beth Shalom</t>
        </is>
      </c>
      <c r="F456" s="73" t="inlineStr">
        <is>
          <t>New York</t>
        </is>
      </c>
      <c r="G456" s="73" t="inlineStr">
        <is>
          <t>Submitted</t>
        </is>
      </c>
      <c r="H456" s="73" t="inlineStr"/>
      <c r="I456" s="73" t="inlineStr"/>
      <c r="J456" s="73" t="inlineStr">
        <is>
          <t>2026-02-20</t>
        </is>
      </c>
      <c r="K456" s="73" t="inlineStr">
        <is>
          <t>2026-02-20</t>
        </is>
      </c>
      <c r="L456" s="73" t="n"/>
      <c r="M456" s="73" t="inlineStr">
        <is>
          <t>Consulting;Audits and Assessment</t>
        </is>
      </c>
      <c r="N456" s="73" t="inlineStr"/>
      <c r="O456" s="73" t="inlineStr">
        <is>
          <t>Ashutosh Chauhan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2026-01-16</t>
        </is>
      </c>
      <c r="Z456" s="73" t="inlineStr">
        <is>
          <t>https://app-na2.hubspot.com/contacts/243046792/record/0-3/264548341452</t>
        </is>
      </c>
      <c r="AA456" s="73" t="inlineStr"/>
    </row>
    <row r="457">
      <c r="A457" s="73" t="n">
        <v>456</v>
      </c>
      <c r="B457" s="73" t="inlineStr">
        <is>
          <t>279745905353</t>
        </is>
      </c>
      <c r="C457" s="73" t="inlineStr"/>
      <c r="D457" s="73" t="inlineStr">
        <is>
          <t>ENTERPRISE RESOURCE PLANNINGSYSTEM REPLACEMENT CONSULTING SERVICES</t>
        </is>
      </c>
      <c r="E457" s="73" t="inlineStr">
        <is>
          <t>City of Greenville</t>
        </is>
      </c>
      <c r="F457" s="73" t="inlineStr">
        <is>
          <t>South Carolina</t>
        </is>
      </c>
      <c r="G457" s="73" t="inlineStr">
        <is>
          <t>Submitted</t>
        </is>
      </c>
      <c r="H457" s="73" t="inlineStr"/>
      <c r="I457" s="73" t="inlineStr"/>
      <c r="J457" s="73" t="inlineStr">
        <is>
          <t>2026-02-20</t>
        </is>
      </c>
      <c r="K457" s="73" t="inlineStr">
        <is>
          <t>2026-02-20</t>
        </is>
      </c>
      <c r="L457" s="73" t="n"/>
      <c r="M457" s="73" t="inlineStr">
        <is>
          <t>Platform Implementation (ERP, CRMs)</t>
        </is>
      </c>
      <c r="N457" s="73" t="inlineStr">
        <is>
          <t>Portal</t>
        </is>
      </c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2026-02-03</t>
        </is>
      </c>
      <c r="Z457" s="73" t="inlineStr">
        <is>
          <t>https://app-na2.hubspot.com/contacts/243046792/record/0-3/279745905353</t>
        </is>
      </c>
      <c r="AA457" s="73" t="inlineStr"/>
    </row>
    <row r="458">
      <c r="A458" s="73" t="n">
        <v>457</v>
      </c>
      <c r="B458" s="73" t="inlineStr">
        <is>
          <t>202061536982</t>
        </is>
      </c>
      <c r="C458" s="73" t="inlineStr"/>
      <c r="D458" s="73" t="inlineStr">
        <is>
          <t>INFORMATION TECHNOLOGY (IT)MANAGED SERVICE PROVIDER AND NETWORK OPERATIONS CENTER (NOC)</t>
        </is>
      </c>
      <c r="E458" s="73" t="inlineStr">
        <is>
          <t xml:space="preserve">New Mexico Finance Authority (“NMFA”) </t>
        </is>
      </c>
      <c r="F458" s="73" t="inlineStr"/>
      <c r="G458" s="73" t="inlineStr">
        <is>
          <t>Intent to Award</t>
        </is>
      </c>
      <c r="H458" s="73" t="inlineStr">
        <is>
          <t>Yes</t>
        </is>
      </c>
      <c r="I458" s="73" t="inlineStr">
        <is>
          <t>Interview</t>
        </is>
      </c>
      <c r="J458" s="73" t="inlineStr">
        <is>
          <t>2026-02-20</t>
        </is>
      </c>
      <c r="K458" s="73" t="inlineStr">
        <is>
          <t>2025-12-05</t>
        </is>
      </c>
      <c r="L458" s="75" t="n">
        <v>84000</v>
      </c>
      <c r="M458" s="73" t="inlineStr">
        <is>
          <t>Managed Services (MSP)</t>
        </is>
      </c>
      <c r="N458" s="73" t="inlineStr">
        <is>
          <t>Email</t>
        </is>
      </c>
      <c r="O458" s="73" t="inlineStr">
        <is>
          <t>Ashutosh Chauhan</t>
        </is>
      </c>
      <c r="P458" s="73" t="inlineStr">
        <is>
          <t>Interview Scheduled</t>
        </is>
      </c>
      <c r="Q458" s="73" t="inlineStr">
        <is>
          <t>2026-02-13</t>
        </is>
      </c>
      <c r="R458" s="73" t="inlineStr"/>
      <c r="S458" s="73" t="inlineStr">
        <is>
          <t>2026-02-19</t>
        </is>
      </c>
      <c r="T458" s="73" t="inlineStr"/>
      <c r="U458" s="73" t="inlineStr"/>
      <c r="V458" s="73" t="inlineStr"/>
      <c r="W458" s="73" t="inlineStr"/>
      <c r="X458" s="73" t="inlineStr"/>
      <c r="Y458" s="73" t="inlineStr">
        <is>
          <t>2025-10-28</t>
        </is>
      </c>
      <c r="Z458" s="73" t="inlineStr">
        <is>
          <t>https://app-na2.hubspot.com/contacts/243046792/record/0-3/202061536982</t>
        </is>
      </c>
      <c r="AA458" s="73" t="inlineStr">
        <is>
          <t>Yes</t>
        </is>
      </c>
    </row>
    <row r="459">
      <c r="A459" s="73" t="n">
        <v>458</v>
      </c>
      <c r="B459" s="73" t="inlineStr">
        <is>
          <t>235700237016</t>
        </is>
      </c>
      <c r="C459" s="73" t="inlineStr"/>
      <c r="D459" s="73" t="inlineStr">
        <is>
          <t>Copilot M365 Implementation</t>
        </is>
      </c>
      <c r="E459" s="73" t="inlineStr">
        <is>
          <t>City of Grand Rapids</t>
        </is>
      </c>
      <c r="F459" s="73" t="inlineStr">
        <is>
          <t>Michigan</t>
        </is>
      </c>
      <c r="G459" s="73" t="inlineStr">
        <is>
          <t>Closed Lost</t>
        </is>
      </c>
      <c r="H459" s="73" t="inlineStr">
        <is>
          <t>Yes</t>
        </is>
      </c>
      <c r="I459" s="73" t="inlineStr">
        <is>
          <t>Interview</t>
        </is>
      </c>
      <c r="J459" s="73" t="inlineStr">
        <is>
          <t>2026-02-23</t>
        </is>
      </c>
      <c r="K459" s="73" t="inlineStr">
        <is>
          <t>2026-01-13</t>
        </is>
      </c>
      <c r="L459" s="73" t="n"/>
      <c r="M459" s="73" t="inlineStr">
        <is>
          <t>Platform Implementation (ERP, CRMs)</t>
        </is>
      </c>
      <c r="N459" s="73" t="inlineStr"/>
      <c r="O459" s="73" t="inlineStr">
        <is>
          <t>Ashutosh Chauhan</t>
        </is>
      </c>
      <c r="P459" s="73" t="inlineStr">
        <is>
          <t>Interview Scheduled</t>
        </is>
      </c>
      <c r="Q459" s="73" t="inlineStr">
        <is>
          <t>2026-02-13</t>
        </is>
      </c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2025-12-08</t>
        </is>
      </c>
      <c r="Z459" s="73" t="inlineStr">
        <is>
          <t>https://app-na2.hubspot.com/contacts/243046792/record/0-3/235700237016</t>
        </is>
      </c>
      <c r="AA459" s="73" t="inlineStr"/>
    </row>
    <row r="460">
      <c r="A460" s="73" t="n">
        <v>459</v>
      </c>
      <c r="B460" s="73" t="inlineStr">
        <is>
          <t>256863180505</t>
        </is>
      </c>
      <c r="C460" s="73" t="inlineStr"/>
      <c r="D460" s="73" t="inlineStr">
        <is>
          <t>Managed Service Provider</t>
        </is>
      </c>
      <c r="E460" s="73" t="inlineStr">
        <is>
          <t>Dupage County</t>
        </is>
      </c>
      <c r="F460" s="73" t="inlineStr">
        <is>
          <t>Illinois</t>
        </is>
      </c>
      <c r="G460" s="73" t="inlineStr">
        <is>
          <t>Closed Lost</t>
        </is>
      </c>
      <c r="H460" s="73" t="inlineStr"/>
      <c r="I460" s="73" t="inlineStr"/>
      <c r="J460" s="73" t="inlineStr">
        <is>
          <t>2026-02-23</t>
        </is>
      </c>
      <c r="K460" s="73" t="inlineStr">
        <is>
          <t>2026-01-23</t>
        </is>
      </c>
      <c r="L460" s="73" t="n"/>
      <c r="M460" s="73" t="inlineStr">
        <is>
          <t>Managed Services (MSP)</t>
        </is>
      </c>
      <c r="N460" s="73" t="inlineStr">
        <is>
          <t>Email</t>
        </is>
      </c>
      <c r="O460" s="73" t="inlineStr">
        <is>
          <t>Jyothsna Nanda kishore</t>
        </is>
      </c>
      <c r="P460" s="73" t="inlineStr"/>
      <c r="Q460" s="73" t="inlineStr"/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2026-01-07</t>
        </is>
      </c>
      <c r="Z460" s="73" t="inlineStr">
        <is>
          <t>https://app-na2.hubspot.com/contacts/243046792/record/0-3/256863180505</t>
        </is>
      </c>
      <c r="AA460" s="73" t="inlineStr"/>
    </row>
    <row r="461">
      <c r="A461" s="73" t="n">
        <v>460</v>
      </c>
      <c r="B461" s="73" t="inlineStr">
        <is>
          <t>256655442642</t>
        </is>
      </c>
      <c r="C461" s="73" t="inlineStr">
        <is>
          <t>ITS86</t>
        </is>
      </c>
      <c r="D461" s="73" t="inlineStr">
        <is>
          <t>ITS86 Software and Service</t>
        </is>
      </c>
      <c r="E461" s="73" t="inlineStr"/>
      <c r="F461" s="73" t="inlineStr"/>
      <c r="G461" s="73" t="inlineStr">
        <is>
          <t>Submitted</t>
        </is>
      </c>
      <c r="H461" s="73" t="inlineStr"/>
      <c r="I461" s="73" t="inlineStr"/>
      <c r="J461" s="73" t="inlineStr">
        <is>
          <t>2026-02-23</t>
        </is>
      </c>
      <c r="K461" s="73" t="inlineStr">
        <is>
          <t>2026-02-23</t>
        </is>
      </c>
      <c r="L461" s="73" t="n"/>
      <c r="M461" s="73" t="inlineStr">
        <is>
          <t>Staff Augmentation</t>
        </is>
      </c>
      <c r="N461" s="73" t="inlineStr">
        <is>
          <t>Portal</t>
        </is>
      </c>
      <c r="O461" s="73" t="inlineStr">
        <is>
          <t>Savya Atrey</t>
        </is>
      </c>
      <c r="P461" s="73" t="inlineStr"/>
      <c r="Q461" s="73" t="inlineStr"/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2026-01-09</t>
        </is>
      </c>
      <c r="Z461" s="73" t="inlineStr">
        <is>
          <t>https://app-na2.hubspot.com/contacts/243046792/record/0-3/256655442642</t>
        </is>
      </c>
      <c r="AA461" s="73" t="inlineStr"/>
    </row>
    <row r="462">
      <c r="A462" s="73" t="n">
        <v>461</v>
      </c>
      <c r="B462" s="73" t="inlineStr">
        <is>
          <t>293206314710</t>
        </is>
      </c>
      <c r="C462" s="73" t="inlineStr"/>
      <c r="D462" s="73" t="inlineStr">
        <is>
          <t>Microsoft Office 365 Licensing</t>
        </is>
      </c>
      <c r="E462" s="73" t="inlineStr">
        <is>
          <t>District of Columbia Housing Authority</t>
        </is>
      </c>
      <c r="F462" s="73" t="inlineStr">
        <is>
          <t>DC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2026-02-23</t>
        </is>
      </c>
      <c r="K462" s="73" t="inlineStr">
        <is>
          <t>2026-02-23</t>
        </is>
      </c>
      <c r="L462" s="73" t="n"/>
      <c r="M462" s="73" t="inlineStr">
        <is>
          <t>Reseller</t>
        </is>
      </c>
      <c r="N462" s="73" t="inlineStr">
        <is>
          <t>Portal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2026-02-12</t>
        </is>
      </c>
      <c r="Z462" s="73" t="inlineStr">
        <is>
          <t>https://app-na2.hubspot.com/contacts/243046792/record/0-3/293206314710</t>
        </is>
      </c>
      <c r="AA462" s="73" t="inlineStr"/>
    </row>
    <row r="463">
      <c r="A463" s="73" t="n">
        <v>462</v>
      </c>
      <c r="B463" s="73" t="inlineStr">
        <is>
          <t>275294505693</t>
        </is>
      </c>
      <c r="C463" s="73" t="inlineStr">
        <is>
          <t>2026-Solicitation-001</t>
        </is>
      </c>
      <c r="D463" s="73" t="inlineStr">
        <is>
          <t>COTA.com Cloud Migration</t>
        </is>
      </c>
      <c r="E463" s="73" t="inlineStr">
        <is>
          <t>Central Ohio Transit Authority</t>
        </is>
      </c>
      <c r="F463" s="73" t="inlineStr">
        <is>
          <t>Ohio</t>
        </is>
      </c>
      <c r="G463" s="73" t="inlineStr">
        <is>
          <t>Interview</t>
        </is>
      </c>
      <c r="H463" s="73" t="inlineStr">
        <is>
          <t>Yes</t>
        </is>
      </c>
      <c r="I463" s="73" t="inlineStr">
        <is>
          <t>Interview</t>
        </is>
      </c>
      <c r="J463" s="73" t="inlineStr">
        <is>
          <t>2026-02-23</t>
        </is>
      </c>
      <c r="K463" s="73" t="inlineStr">
        <is>
          <t>2026-02-23</t>
        </is>
      </c>
      <c r="L463" s="73" t="n"/>
      <c r="M463" s="73" t="inlineStr">
        <is>
          <t>Support &amp; Maintenance;Platform Implementation (ERP, CRMs)</t>
        </is>
      </c>
      <c r="N463" s="73" t="inlineStr">
        <is>
          <t>Portal</t>
        </is>
      </c>
      <c r="O463" s="73" t="inlineStr">
        <is>
          <t>Ashutosh Chauhan</t>
        </is>
      </c>
      <c r="P463" s="73" t="inlineStr"/>
      <c r="Q463" s="73" t="inlineStr">
        <is>
          <t>2026-04-21</t>
        </is>
      </c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2026-01-27</t>
        </is>
      </c>
      <c r="Z463" s="73" t="inlineStr">
        <is>
          <t>https://app-na2.hubspot.com/contacts/243046792/record/0-3/275294505693</t>
        </is>
      </c>
      <c r="AA463" s="73" t="inlineStr"/>
    </row>
    <row r="464">
      <c r="A464" s="73" t="n">
        <v>463</v>
      </c>
      <c r="B464" s="73" t="inlineStr">
        <is>
          <t>279234879206</t>
        </is>
      </c>
      <c r="C464" s="73" t="inlineStr"/>
      <c r="D464" s="73" t="inlineStr">
        <is>
          <t>CALNET Managed Cybersecurity Services (IFB Pre-Solicitation)</t>
        </is>
      </c>
      <c r="E464" s="73" t="inlineStr">
        <is>
          <t>California Department of Technology</t>
        </is>
      </c>
      <c r="F464" s="73" t="inlineStr">
        <is>
          <t>California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2026-02-23</t>
        </is>
      </c>
      <c r="K464" s="73" t="inlineStr">
        <is>
          <t>2026-02-23</t>
        </is>
      </c>
      <c r="L464" s="73" t="n"/>
      <c r="M464" s="73" t="inlineStr">
        <is>
          <t>Consulting</t>
        </is>
      </c>
      <c r="N464" s="73" t="inlineStr"/>
      <c r="O464" s="73" t="inlineStr">
        <is>
          <t>Ashutosh Chauhan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2026-01-30</t>
        </is>
      </c>
      <c r="Z464" s="73" t="inlineStr">
        <is>
          <t>https://app-na2.hubspot.com/contacts/243046792/record/0-3/279234879206</t>
        </is>
      </c>
      <c r="AA464" s="73" t="inlineStr"/>
    </row>
    <row r="465">
      <c r="A465" s="73" t="n">
        <v>464</v>
      </c>
      <c r="B465" s="73" t="inlineStr">
        <is>
          <t>280593515216</t>
        </is>
      </c>
      <c r="C465" s="73" t="inlineStr">
        <is>
          <t>RFP LITE: 41-2025 06A</t>
        </is>
      </c>
      <c r="D465" s="73" t="inlineStr">
        <is>
          <t>Project Portfolio Management System Implementation and Touchdown Replacement Using Microsoft Solutions</t>
        </is>
      </c>
      <c r="E465" s="73" t="inlineStr">
        <is>
          <t>NC Department of Information Technology</t>
        </is>
      </c>
      <c r="F465" s="73" t="inlineStr">
        <is>
          <t>North Carolina</t>
        </is>
      </c>
      <c r="G465" s="73" t="inlineStr">
        <is>
          <t>Submitted</t>
        </is>
      </c>
      <c r="H465" s="73" t="inlineStr"/>
      <c r="I465" s="73" t="inlineStr"/>
      <c r="J465" s="73" t="inlineStr">
        <is>
          <t>2026-02-23</t>
        </is>
      </c>
      <c r="K465" s="73" t="inlineStr">
        <is>
          <t>2026-02-23</t>
        </is>
      </c>
      <c r="L465" s="75" t="n">
        <v>130500</v>
      </c>
      <c r="M465" s="73" t="inlineStr">
        <is>
          <t>Consulting</t>
        </is>
      </c>
      <c r="N465" s="73" t="inlineStr">
        <is>
          <t>Portal</t>
        </is>
      </c>
      <c r="O465" s="73" t="inlineStr">
        <is>
          <t>Savya Atrey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2026-02-03</t>
        </is>
      </c>
      <c r="Z465" s="73" t="inlineStr">
        <is>
          <t>https://app-na2.hubspot.com/contacts/243046792/record/0-3/280593515216</t>
        </is>
      </c>
      <c r="AA465" s="73" t="inlineStr"/>
    </row>
    <row r="466">
      <c r="A466" s="73" t="n">
        <v>465</v>
      </c>
      <c r="B466" s="73" t="inlineStr">
        <is>
          <t>279472700149</t>
        </is>
      </c>
      <c r="C466" s="73" t="inlineStr"/>
      <c r="D466" s="73" t="inlineStr">
        <is>
          <t>Salesforce Consulting Services</t>
        </is>
      </c>
      <c r="E466" s="73" t="inlineStr">
        <is>
          <t>Rhode Island Commerce Corporation</t>
        </is>
      </c>
      <c r="F466" s="73" t="inlineStr">
        <is>
          <t>Rhode Island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2026-02-23</t>
        </is>
      </c>
      <c r="K466" s="73" t="inlineStr">
        <is>
          <t>2026-02-23</t>
        </is>
      </c>
      <c r="L466" s="73" t="n"/>
      <c r="M466" s="73" t="inlineStr">
        <is>
          <t>Consulting</t>
        </is>
      </c>
      <c r="N466" s="73" t="inlineStr"/>
      <c r="O466" s="73" t="inlineStr">
        <is>
          <t>Savya Atrey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2026-01-30</t>
        </is>
      </c>
      <c r="Z466" s="73" t="inlineStr">
        <is>
          <t>https://app-na2.hubspot.com/contacts/243046792/record/0-3/279472700149</t>
        </is>
      </c>
      <c r="AA466" s="73" t="inlineStr"/>
    </row>
    <row r="467">
      <c r="A467" s="73" t="n">
        <v>466</v>
      </c>
      <c r="B467" s="73" t="inlineStr">
        <is>
          <t>218275269367</t>
        </is>
      </c>
      <c r="C467" s="73" t="inlineStr"/>
      <c r="D467" s="73" t="inlineStr">
        <is>
          <t>HRI IT Contractor Posting – Expert Software Developer</t>
        </is>
      </c>
      <c r="E467" s="73" t="inlineStr">
        <is>
          <t>Health Research, Inc., NY</t>
        </is>
      </c>
      <c r="F467" s="73" t="inlineStr"/>
      <c r="G467" s="73" t="inlineStr">
        <is>
          <t>RFx Cancelled</t>
        </is>
      </c>
      <c r="H467" s="73" t="inlineStr"/>
      <c r="I467" s="73" t="inlineStr"/>
      <c r="J467" s="73" t="inlineStr">
        <is>
          <t>2026-02-23</t>
        </is>
      </c>
      <c r="K467" s="73" t="inlineStr">
        <is>
          <t>2025-11-20</t>
        </is>
      </c>
      <c r="L467" s="73" t="n"/>
      <c r="M467" s="73" t="inlineStr">
        <is>
          <t>Staff Augmentation</t>
        </is>
      </c>
      <c r="N467" s="73" t="inlineStr"/>
      <c r="O467" s="73" t="inlineStr">
        <is>
          <t>Jyothsna Nanda kishore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2025-11-13</t>
        </is>
      </c>
      <c r="Z467" s="73" t="inlineStr">
        <is>
          <t>https://app-na2.hubspot.com/contacts/243046792/record/0-3/218275269367</t>
        </is>
      </c>
      <c r="AA467" s="73" t="inlineStr"/>
    </row>
    <row r="468">
      <c r="A468" s="73" t="n">
        <v>467</v>
      </c>
      <c r="B468" s="73" t="inlineStr">
        <is>
          <t>222284251883</t>
        </is>
      </c>
      <c r="C468" s="73" t="inlineStr"/>
      <c r="D468" s="73" t="inlineStr">
        <is>
          <t>INFORMATION TECHNOLOGY SUPPORT SERVICES</t>
        </is>
      </c>
      <c r="E468" s="73" t="inlineStr">
        <is>
          <t>City of Palm Valley</t>
        </is>
      </c>
      <c r="F468" s="73" t="inlineStr">
        <is>
          <t>Texas</t>
        </is>
      </c>
      <c r="G468" s="73" t="inlineStr">
        <is>
          <t>Closed Lost</t>
        </is>
      </c>
      <c r="H468" s="73" t="inlineStr"/>
      <c r="I468" s="73" t="inlineStr"/>
      <c r="J468" s="73" t="inlineStr">
        <is>
          <t>2026-02-24</t>
        </is>
      </c>
      <c r="K468" s="73" t="inlineStr">
        <is>
          <t>2025-11-24</t>
        </is>
      </c>
      <c r="L468" s="75" t="n">
        <v>120766</v>
      </c>
      <c r="M468" s="73" t="inlineStr">
        <is>
          <t>Managed Services (MSP)</t>
        </is>
      </c>
      <c r="N468" s="73" t="inlineStr">
        <is>
          <t>Offline</t>
        </is>
      </c>
      <c r="O468" s="73" t="inlineStr">
        <is>
          <t>Jyothsna Nanda kishore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2025-11-18</t>
        </is>
      </c>
      <c r="Z468" s="73" t="inlineStr">
        <is>
          <t>https://app-na2.hubspot.com/contacts/243046792/record/0-3/222284251883</t>
        </is>
      </c>
      <c r="AA468" s="73" t="inlineStr"/>
    </row>
    <row r="469">
      <c r="A469" s="73" t="n">
        <v>468</v>
      </c>
      <c r="B469" s="73" t="inlineStr">
        <is>
          <t>288775724775</t>
        </is>
      </c>
      <c r="C469" s="73" t="inlineStr"/>
      <c r="D469" s="73" t="inlineStr">
        <is>
          <t>CNB FINANCE TRANSFORMATION - PeopleSoft to Oracle Cloud Digital Transformation</t>
        </is>
      </c>
      <c r="E469" s="73" t="inlineStr">
        <is>
          <t>Cherokee Nation Business</t>
        </is>
      </c>
      <c r="F469" s="73" t="inlineStr">
        <is>
          <t>Oklahoma</t>
        </is>
      </c>
      <c r="G469" s="73" t="inlineStr">
        <is>
          <t>Interview</t>
        </is>
      </c>
      <c r="H469" s="73" t="inlineStr">
        <is>
          <t>Yes</t>
        </is>
      </c>
      <c r="I469" s="73" t="inlineStr">
        <is>
          <t>Interview</t>
        </is>
      </c>
      <c r="J469" s="73" t="inlineStr">
        <is>
          <t>2026-02-24</t>
        </is>
      </c>
      <c r="K469" s="73" t="inlineStr">
        <is>
          <t>2026-02-24</t>
        </is>
      </c>
      <c r="L469" s="75" t="n">
        <v>973080</v>
      </c>
      <c r="M469" s="73" t="inlineStr">
        <is>
          <t>Modernization / Migration</t>
        </is>
      </c>
      <c r="N469" s="73" t="inlineStr">
        <is>
          <t>Email</t>
        </is>
      </c>
      <c r="O469" s="73" t="inlineStr">
        <is>
          <t>Savya Atrey</t>
        </is>
      </c>
      <c r="P469" s="73" t="inlineStr">
        <is>
          <t>Interview Scheduled</t>
        </is>
      </c>
      <c r="Q469" s="73" t="inlineStr">
        <is>
          <t>2026-03-06</t>
        </is>
      </c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2026-02-06</t>
        </is>
      </c>
      <c r="Z469" s="73" t="inlineStr">
        <is>
          <t>https://app-na2.hubspot.com/contacts/243046792/record/0-3/288775724775</t>
        </is>
      </c>
      <c r="AA469" s="73" t="inlineStr"/>
    </row>
    <row r="470">
      <c r="A470" s="73" t="n">
        <v>469</v>
      </c>
      <c r="B470" s="73" t="inlineStr">
        <is>
          <t>278975446769</t>
        </is>
      </c>
      <c r="C470" s="73" t="inlineStr"/>
      <c r="D470" s="73" t="inlineStr">
        <is>
          <t>OFF - MANAGEMENT INFORMATION SYSTEMS &amp; RELATED TELECOMMUNICATION SYSTEMS ADMINISTRATION</t>
        </is>
      </c>
      <c r="E470" s="73" t="inlineStr">
        <is>
          <t>Hudson Regional Health Commission</t>
        </is>
      </c>
      <c r="F470" s="73" t="inlineStr">
        <is>
          <t>New Jersey</t>
        </is>
      </c>
      <c r="G470" s="73" t="inlineStr">
        <is>
          <t>Submitted</t>
        </is>
      </c>
      <c r="H470" s="73" t="inlineStr"/>
      <c r="I470" s="73" t="inlineStr"/>
      <c r="J470" s="73" t="inlineStr">
        <is>
          <t>2026-02-24</t>
        </is>
      </c>
      <c r="K470" s="73" t="inlineStr">
        <is>
          <t>2026-02-24</t>
        </is>
      </c>
      <c r="L470" s="73" t="n"/>
      <c r="M470" s="73" t="inlineStr">
        <is>
          <t>Platform Implementation (ERP, CRMs)</t>
        </is>
      </c>
      <c r="N470" s="73" t="inlineStr">
        <is>
          <t>Offline</t>
        </is>
      </c>
      <c r="O470" s="73" t="inlineStr">
        <is>
          <t>Ashutosh Chauhan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2026-01-30</t>
        </is>
      </c>
      <c r="Z470" s="73" t="inlineStr">
        <is>
          <t>https://app-na2.hubspot.com/contacts/243046792/record/0-3/278975446769</t>
        </is>
      </c>
      <c r="AA470" s="73" t="inlineStr"/>
    </row>
    <row r="471">
      <c r="A471" s="73" t="n">
        <v>470</v>
      </c>
      <c r="B471" s="73" t="inlineStr">
        <is>
          <t>238644854519</t>
        </is>
      </c>
      <c r="C471" s="73" t="inlineStr"/>
      <c r="D471" s="73" t="inlineStr">
        <is>
          <t>Managed Information Technology and Cybersecurity Services</t>
        </is>
      </c>
      <c r="E471" s="73" t="inlineStr">
        <is>
          <t>Village of Scarsdale</t>
        </is>
      </c>
      <c r="F471" s="73" t="inlineStr">
        <is>
          <t>New York</t>
        </is>
      </c>
      <c r="G471" s="73" t="inlineStr">
        <is>
          <t>Closed Lost</t>
        </is>
      </c>
      <c r="H471" s="73" t="inlineStr">
        <is>
          <t>Yes</t>
        </is>
      </c>
      <c r="I471" s="73" t="inlineStr">
        <is>
          <t>Interview</t>
        </is>
      </c>
      <c r="J471" s="73" t="inlineStr">
        <is>
          <t>2026-02-24</t>
        </is>
      </c>
      <c r="K471" s="73" t="inlineStr">
        <is>
          <t>2026-01-22</t>
        </is>
      </c>
      <c r="L471" s="75" t="n">
        <v>244920</v>
      </c>
      <c r="M471" s="73" t="inlineStr">
        <is>
          <t>Managed Services (MSP)</t>
        </is>
      </c>
      <c r="N471" s="73" t="inlineStr">
        <is>
          <t>Offline</t>
        </is>
      </c>
      <c r="O471" s="73" t="inlineStr">
        <is>
          <t>Jyothsna Nanda kishore</t>
        </is>
      </c>
      <c r="P471" s="73" t="inlineStr">
        <is>
          <t>Interview Scheduled</t>
        </is>
      </c>
      <c r="Q471" s="73" t="inlineStr">
        <is>
          <t>2026-02-04</t>
        </is>
      </c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2025-12-18</t>
        </is>
      </c>
      <c r="Z471" s="73" t="inlineStr">
        <is>
          <t>https://app-na2.hubspot.com/contacts/243046792/record/0-3/238644854519</t>
        </is>
      </c>
      <c r="AA471" s="73" t="inlineStr"/>
    </row>
    <row r="472">
      <c r="A472" s="73" t="n">
        <v>471</v>
      </c>
      <c r="B472" s="73" t="inlineStr">
        <is>
          <t>240440417993</t>
        </is>
      </c>
      <c r="C472" s="73" t="inlineStr"/>
      <c r="D472" s="73" t="inlineStr">
        <is>
          <t>Qualtrics Support Services</t>
        </is>
      </c>
      <c r="E472" s="73" t="inlineStr">
        <is>
          <t xml:space="preserve">Western Municipal Water District </t>
        </is>
      </c>
      <c r="F472" s="73" t="inlineStr">
        <is>
          <t>California</t>
        </is>
      </c>
      <c r="G472" s="73" t="inlineStr">
        <is>
          <t>Closed Lost</t>
        </is>
      </c>
      <c r="H472" s="73" t="inlineStr"/>
      <c r="I472" s="73" t="inlineStr"/>
      <c r="J472" s="73" t="inlineStr">
        <is>
          <t>2026-02-24</t>
        </is>
      </c>
      <c r="K472" s="73" t="inlineStr">
        <is>
          <t>2026-01-09</t>
        </is>
      </c>
      <c r="L472" s="73" t="n"/>
      <c r="M472" s="73" t="inlineStr"/>
      <c r="N472" s="73" t="inlineStr">
        <is>
          <t>Portal</t>
        </is>
      </c>
      <c r="O472" s="73" t="inlineStr">
        <is>
          <t>Jyothsna Nanda kishore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2025-12-18</t>
        </is>
      </c>
      <c r="Z472" s="73" t="inlineStr">
        <is>
          <t>https://app-na2.hubspot.com/contacts/243046792/record/0-3/240440417993</t>
        </is>
      </c>
      <c r="AA472" s="73" t="inlineStr"/>
    </row>
    <row r="473">
      <c r="A473" s="73" t="n">
        <v>472</v>
      </c>
      <c r="B473" s="73" t="inlineStr">
        <is>
          <t>300330952386</t>
        </is>
      </c>
      <c r="C473" s="73" t="inlineStr"/>
      <c r="D473" s="73" t="inlineStr">
        <is>
          <t>IT Service Desk Services</t>
        </is>
      </c>
      <c r="E473" s="73" t="inlineStr">
        <is>
          <t>Miami University</t>
        </is>
      </c>
      <c r="F473" s="73" t="inlineStr">
        <is>
          <t>Ohio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2026-02-25</t>
        </is>
      </c>
      <c r="K473" s="73" t="inlineStr">
        <is>
          <t>2026-02-25</t>
        </is>
      </c>
      <c r="L473" s="73" t="n"/>
      <c r="M473" s="73" t="inlineStr">
        <is>
          <t>Platform Implementation (ERP, CRMs)</t>
        </is>
      </c>
      <c r="N473" s="73" t="inlineStr">
        <is>
          <t>Portal;Email</t>
        </is>
      </c>
      <c r="O473" s="73" t="inlineStr">
        <is>
          <t>Jyothsna Nanda kishore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2026-02-18</t>
        </is>
      </c>
      <c r="Z473" s="73" t="inlineStr">
        <is>
          <t>https://app-na2.hubspot.com/contacts/243046792/record/0-3/300330952386</t>
        </is>
      </c>
      <c r="AA473" s="73" t="inlineStr"/>
    </row>
    <row r="474">
      <c r="A474" s="73" t="n">
        <v>473</v>
      </c>
      <c r="B474" s="73" t="inlineStr">
        <is>
          <t>285661304548</t>
        </is>
      </c>
      <c r="C474" s="73" t="inlineStr"/>
      <c r="D474" s="73" t="inlineStr">
        <is>
          <t>IT Managed Services</t>
        </is>
      </c>
      <c r="E474" s="73" t="inlineStr">
        <is>
          <t>Vancouver Housing Authority</t>
        </is>
      </c>
      <c r="F474" s="73" t="inlineStr">
        <is>
          <t>Washington</t>
        </is>
      </c>
      <c r="G474" s="73" t="inlineStr">
        <is>
          <t>Submitted</t>
        </is>
      </c>
      <c r="H474" s="73" t="inlineStr"/>
      <c r="I474" s="73" t="inlineStr"/>
      <c r="J474" s="73" t="inlineStr">
        <is>
          <t>2026-02-25</t>
        </is>
      </c>
      <c r="K474" s="73" t="inlineStr">
        <is>
          <t>2026-02-25</t>
        </is>
      </c>
      <c r="L474" s="73" t="n"/>
      <c r="M474" s="73" t="inlineStr">
        <is>
          <t>Managed Services (MSP)</t>
        </is>
      </c>
      <c r="N474" s="73" t="inlineStr">
        <is>
          <t>Email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/>
      <c r="T474" s="73" t="inlineStr"/>
      <c r="U474" s="73" t="inlineStr"/>
      <c r="V474" s="73" t="inlineStr"/>
      <c r="W474" s="73" t="inlineStr"/>
      <c r="X474" s="73" t="inlineStr"/>
      <c r="Y474" s="73" t="inlineStr">
        <is>
          <t>2026-02-04</t>
        </is>
      </c>
      <c r="Z474" s="73" t="inlineStr">
        <is>
          <t>https://app-na2.hubspot.com/contacts/243046792/record/0-3/285661304548</t>
        </is>
      </c>
      <c r="AA474" s="73" t="inlineStr"/>
    </row>
    <row r="475">
      <c r="A475" s="73" t="n">
        <v>474</v>
      </c>
      <c r="B475" s="73" t="inlineStr">
        <is>
          <t>259790359234</t>
        </is>
      </c>
      <c r="C475" s="73" t="inlineStr">
        <is>
          <t>601440000049523</t>
        </is>
      </c>
      <c r="D475" s="73" t="inlineStr">
        <is>
          <t>Managed Application Services: Application Development and Maintenance Services</t>
        </is>
      </c>
      <c r="E475" s="73" t="inlineStr">
        <is>
          <t>Texas Department of Transportation</t>
        </is>
      </c>
      <c r="F475" s="73" t="inlineStr">
        <is>
          <t>Texas</t>
        </is>
      </c>
      <c r="G475" s="73" t="inlineStr">
        <is>
          <t>RFx Cancelled</t>
        </is>
      </c>
      <c r="H475" s="73" t="inlineStr"/>
      <c r="I475" s="73" t="inlineStr"/>
      <c r="J475" s="73" t="inlineStr">
        <is>
          <t>2026-02-25</t>
        </is>
      </c>
      <c r="K475" s="73" t="inlineStr"/>
      <c r="L475" s="73" t="n"/>
      <c r="M475" s="73" t="inlineStr">
        <is>
          <t>Support &amp; Maintenance</t>
        </is>
      </c>
      <c r="N475" s="73" t="inlineStr"/>
      <c r="O475" s="73" t="inlineStr">
        <is>
          <t>Ashutosh Chauhan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2026-01-14</t>
        </is>
      </c>
      <c r="Z475" s="73" t="inlineStr">
        <is>
          <t>https://app-na2.hubspot.com/contacts/243046792/record/0-3/259790359234</t>
        </is>
      </c>
      <c r="AA475" s="73" t="inlineStr"/>
    </row>
    <row r="476">
      <c r="A476" s="73" t="n">
        <v>475</v>
      </c>
      <c r="B476" s="73" t="inlineStr">
        <is>
          <t>237752688357</t>
        </is>
      </c>
      <c r="C476" s="73" t="inlineStr">
        <is>
          <t>2025-16</t>
        </is>
      </c>
      <c r="D476" s="73" t="inlineStr">
        <is>
          <t>Logistics Supply ERP and Consulting Services</t>
        </is>
      </c>
      <c r="E476" s="73" t="inlineStr">
        <is>
          <t>Unified Fire Authority</t>
        </is>
      </c>
      <c r="F476" s="73" t="inlineStr">
        <is>
          <t>Utah</t>
        </is>
      </c>
      <c r="G476" s="73" t="inlineStr">
        <is>
          <t>Closed Lost</t>
        </is>
      </c>
      <c r="H476" s="73" t="inlineStr">
        <is>
          <t>Yes</t>
        </is>
      </c>
      <c r="I476" s="73" t="inlineStr">
        <is>
          <t>Interview</t>
        </is>
      </c>
      <c r="J476" s="73" t="inlineStr">
        <is>
          <t>2026-02-25</t>
        </is>
      </c>
      <c r="K476" s="73" t="inlineStr">
        <is>
          <t>2026-01-13</t>
        </is>
      </c>
      <c r="L476" s="75" t="n">
        <v>95250</v>
      </c>
      <c r="M476" s="73" t="inlineStr">
        <is>
          <t>Platform Implementation (ERP, CRMs)</t>
        </is>
      </c>
      <c r="N476" s="73" t="inlineStr">
        <is>
          <t>Portal</t>
        </is>
      </c>
      <c r="O476" s="73" t="inlineStr">
        <is>
          <t>Jyothsna Nanda kishore</t>
        </is>
      </c>
      <c r="P476" s="73" t="inlineStr"/>
      <c r="Q476" s="73" t="inlineStr">
        <is>
          <t>2026-02-10</t>
        </is>
      </c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2025-12-11</t>
        </is>
      </c>
      <c r="Z476" s="73" t="inlineStr">
        <is>
          <t>https://app-na2.hubspot.com/contacts/243046792/record/0-3/237752688357</t>
        </is>
      </c>
      <c r="AA476" s="73" t="inlineStr"/>
    </row>
    <row r="477">
      <c r="A477" s="73" t="n">
        <v>476</v>
      </c>
      <c r="B477" s="73" t="inlineStr">
        <is>
          <t>277652547262</t>
        </is>
      </c>
      <c r="C477" s="73" t="inlineStr"/>
      <c r="D477" s="73" t="inlineStr">
        <is>
          <t>DCHFA-25-0087 - Microsoft 365 Training and Consulting Services</t>
        </is>
      </c>
      <c r="E477" s="73" t="inlineStr">
        <is>
          <t>District of Columbia Housing Finance Agency</t>
        </is>
      </c>
      <c r="F477" s="73" t="inlineStr">
        <is>
          <t>DC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2026-02-26</t>
        </is>
      </c>
      <c r="K477" s="73" t="inlineStr"/>
      <c r="L477" s="73" t="n"/>
      <c r="M477" s="73" t="inlineStr">
        <is>
          <t>Consulting;Training</t>
        </is>
      </c>
      <c r="N477" s="73" t="inlineStr">
        <is>
          <t>Email</t>
        </is>
      </c>
      <c r="O477" s="73" t="inlineStr">
        <is>
          <t>Jyothsna Nanda kishore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2026-01-29</t>
        </is>
      </c>
      <c r="Z477" s="73" t="inlineStr">
        <is>
          <t>https://app-na2.hubspot.com/contacts/243046792/record/0-3/277652547262</t>
        </is>
      </c>
      <c r="AA477" s="73" t="inlineStr"/>
    </row>
    <row r="478">
      <c r="A478" s="73" t="n">
        <v>477</v>
      </c>
      <c r="B478" s="73" t="inlineStr">
        <is>
          <t>304067471039</t>
        </is>
      </c>
      <c r="C478" s="73" t="inlineStr"/>
      <c r="D478" s="73" t="inlineStr">
        <is>
          <t>KnowBe4 Security-awareness Training and Software</t>
        </is>
      </c>
      <c r="E478" s="73" t="inlineStr">
        <is>
          <t>Franklin County Municipal Court</t>
        </is>
      </c>
      <c r="F478" s="73" t="inlineStr">
        <is>
          <t>Ohio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2026-02-26</t>
        </is>
      </c>
      <c r="K478" s="73" t="inlineStr">
        <is>
          <t>2026-02-24</t>
        </is>
      </c>
      <c r="L478" s="75" t="n">
        <v>6999</v>
      </c>
      <c r="M478" s="73" t="inlineStr">
        <is>
          <t>Reseller</t>
        </is>
      </c>
      <c r="N478" s="73" t="inlineStr">
        <is>
          <t>Portal</t>
        </is>
      </c>
      <c r="O478" s="73" t="inlineStr">
        <is>
          <t>Jyothsna Nanda kishore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2026-02-23</t>
        </is>
      </c>
      <c r="Z478" s="73" t="inlineStr">
        <is>
          <t>https://app-na2.hubspot.com/contacts/243046792/record/0-3/304067471039</t>
        </is>
      </c>
      <c r="AA478" s="73" t="inlineStr"/>
    </row>
    <row r="479">
      <c r="A479" s="73" t="n">
        <v>478</v>
      </c>
      <c r="B479" s="73" t="inlineStr">
        <is>
          <t>288906933988</t>
        </is>
      </c>
      <c r="C479" s="73" t="inlineStr">
        <is>
          <t>#2026-017VF</t>
        </is>
      </c>
      <c r="D479" s="73" t="inlineStr">
        <is>
          <t>TO PROVIDE MIGRATION TO SAP S4/HANA</t>
        </is>
      </c>
      <c r="E479" s="73" t="inlineStr">
        <is>
          <t>County of Erie</t>
        </is>
      </c>
      <c r="F479" s="73" t="inlineStr">
        <is>
          <t>Pennsylvania</t>
        </is>
      </c>
      <c r="G479" s="73" t="inlineStr">
        <is>
          <t>Submitted</t>
        </is>
      </c>
      <c r="H479" s="73" t="inlineStr"/>
      <c r="I479" s="73" t="inlineStr"/>
      <c r="J479" s="73" t="inlineStr">
        <is>
          <t>2026-02-27</t>
        </is>
      </c>
      <c r="K479" s="73" t="inlineStr">
        <is>
          <t>2026-02-24</t>
        </is>
      </c>
      <c r="L479" s="75" t="n">
        <v>1177910</v>
      </c>
      <c r="M479" s="73" t="inlineStr">
        <is>
          <t>Modernization / Migration</t>
        </is>
      </c>
      <c r="N479" s="73" t="inlineStr">
        <is>
          <t>Offline</t>
        </is>
      </c>
      <c r="O479" s="73" t="inlineStr">
        <is>
          <t>Jyothsna Nanda kishore</t>
        </is>
      </c>
      <c r="P479" s="73" t="inlineStr"/>
      <c r="Q479" s="73" t="inlineStr"/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2026-02-09</t>
        </is>
      </c>
      <c r="Z479" s="73" t="inlineStr">
        <is>
          <t>https://app-na2.hubspot.com/contacts/243046792/record/0-3/288906933988</t>
        </is>
      </c>
      <c r="AA479" s="73" t="inlineStr"/>
    </row>
    <row r="480">
      <c r="A480" s="73" t="n">
        <v>479</v>
      </c>
      <c r="B480" s="73" t="inlineStr">
        <is>
          <t>269507522240</t>
        </is>
      </c>
      <c r="C480" s="73" t="inlineStr"/>
      <c r="D480" s="73" t="inlineStr">
        <is>
          <t>OFFLINE - INFORMATION TECHNOLOGY MANAGED SERVICES PROVIDER</t>
        </is>
      </c>
      <c r="E480" s="73" t="inlineStr">
        <is>
          <t>Central Midlands Regional Transit Authority</t>
        </is>
      </c>
      <c r="F480" s="73" t="inlineStr">
        <is>
          <t>South Carolina</t>
        </is>
      </c>
      <c r="G480" s="73" t="inlineStr">
        <is>
          <t>Submitted</t>
        </is>
      </c>
      <c r="H480" s="73" t="inlineStr"/>
      <c r="I480" s="73" t="inlineStr"/>
      <c r="J480" s="73" t="inlineStr">
        <is>
          <t>2026-02-27</t>
        </is>
      </c>
      <c r="K480" s="73" t="inlineStr"/>
      <c r="L480" s="73" t="n"/>
      <c r="M480" s="73" t="inlineStr">
        <is>
          <t>Managed Services (MSP)</t>
        </is>
      </c>
      <c r="N480" s="73" t="inlineStr"/>
      <c r="O480" s="73" t="inlineStr">
        <is>
          <t>Savya Atrey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2026-01-21</t>
        </is>
      </c>
      <c r="Z480" s="73" t="inlineStr">
        <is>
          <t>https://app-na2.hubspot.com/contacts/243046792/record/0-3/269507522240</t>
        </is>
      </c>
      <c r="AA480" s="73" t="inlineStr"/>
    </row>
    <row r="481">
      <c r="A481" s="73" t="n">
        <v>480</v>
      </c>
      <c r="B481" s="73" t="inlineStr">
        <is>
          <t>271394232025</t>
        </is>
      </c>
      <c r="C481" s="73" t="inlineStr"/>
      <c r="D481" s="73" t="inlineStr">
        <is>
          <t>Consulting Services, SAP System Integration</t>
        </is>
      </c>
      <c r="E481" s="73" t="inlineStr">
        <is>
          <t>City of Newport News</t>
        </is>
      </c>
      <c r="F481" s="73" t="inlineStr">
        <is>
          <t>Virginia</t>
        </is>
      </c>
      <c r="G481" s="73" t="inlineStr">
        <is>
          <t>Submitted</t>
        </is>
      </c>
      <c r="H481" s="73" t="inlineStr"/>
      <c r="I481" s="73" t="inlineStr"/>
      <c r="J481" s="73" t="inlineStr">
        <is>
          <t>2026-02-27</t>
        </is>
      </c>
      <c r="K481" s="73" t="inlineStr">
        <is>
          <t>2026-02-27</t>
        </is>
      </c>
      <c r="L481" s="73" t="n"/>
      <c r="M481" s="73" t="inlineStr">
        <is>
          <t>Consulting</t>
        </is>
      </c>
      <c r="N481" s="73" t="inlineStr"/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2026-01-23</t>
        </is>
      </c>
      <c r="Z481" s="73" t="inlineStr">
        <is>
          <t>https://app-na2.hubspot.com/contacts/243046792/record/0-3/271394232025</t>
        </is>
      </c>
      <c r="AA481" s="73" t="inlineStr"/>
    </row>
    <row r="482">
      <c r="A482" s="73" t="n">
        <v>481</v>
      </c>
      <c r="B482" s="73" t="inlineStr">
        <is>
          <t>285814480615</t>
        </is>
      </c>
      <c r="C482" s="73" t="inlineStr"/>
      <c r="D482" s="73" t="inlineStr">
        <is>
          <t>INFORMATION TECHNOLOGY SERVICES</t>
        </is>
      </c>
      <c r="E482" s="73" t="inlineStr">
        <is>
          <t>Village of Canastota</t>
        </is>
      </c>
      <c r="F482" s="73" t="inlineStr">
        <is>
          <t>New York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2026-02-27</t>
        </is>
      </c>
      <c r="K482" s="73" t="inlineStr">
        <is>
          <t>2026-02-24</t>
        </is>
      </c>
      <c r="L482" s="73" t="n"/>
      <c r="M482" s="73" t="inlineStr">
        <is>
          <t>Managed Services (MSP)</t>
        </is>
      </c>
      <c r="N482" s="73" t="inlineStr">
        <is>
          <t>Email</t>
        </is>
      </c>
      <c r="O482" s="73" t="inlineStr">
        <is>
          <t>Jyothsna Nanda kishore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2026-02-04</t>
        </is>
      </c>
      <c r="Z482" s="73" t="inlineStr">
        <is>
          <t>https://app-na2.hubspot.com/contacts/243046792/record/0-3/285814480615</t>
        </is>
      </c>
      <c r="AA482" s="73" t="inlineStr"/>
    </row>
    <row r="483">
      <c r="A483" s="73" t="n">
        <v>482</v>
      </c>
      <c r="B483" s="73" t="inlineStr">
        <is>
          <t>285661307585</t>
        </is>
      </c>
      <c r="C483" s="73" t="inlineStr"/>
      <c r="D483" s="73" t="inlineStr">
        <is>
          <t>TEMPORARY EMPLOYMENT AND STAFFING SERVICES</t>
        </is>
      </c>
      <c r="E483" s="73" t="inlineStr">
        <is>
          <t>CITY OF TUCSON</t>
        </is>
      </c>
      <c r="F483" s="73" t="inlineStr">
        <is>
          <t>Arizona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2026-02-27</t>
        </is>
      </c>
      <c r="K483" s="73" t="inlineStr">
        <is>
          <t>2026-02-27</t>
        </is>
      </c>
      <c r="L483" s="73" t="n"/>
      <c r="M483" s="73" t="inlineStr">
        <is>
          <t>Staff Augmentation</t>
        </is>
      </c>
      <c r="N483" s="73" t="inlineStr">
        <is>
          <t>Portal</t>
        </is>
      </c>
      <c r="O483" s="73" t="inlineStr">
        <is>
          <t>Jyothsna Nanda kishore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2026-02-04</t>
        </is>
      </c>
      <c r="Z483" s="73" t="inlineStr">
        <is>
          <t>https://app-na2.hubspot.com/contacts/243046792/record/0-3/285661307585</t>
        </is>
      </c>
      <c r="AA483" s="73" t="inlineStr"/>
    </row>
    <row r="484">
      <c r="A484" s="73" t="n">
        <v>483</v>
      </c>
      <c r="B484" s="73" t="inlineStr">
        <is>
          <t>278326364886</t>
        </is>
      </c>
      <c r="C484" s="73" t="inlineStr"/>
      <c r="D484" s="73" t="inlineStr">
        <is>
          <t>Managed IT and Consulting Services</t>
        </is>
      </c>
      <c r="E484" s="73" t="inlineStr">
        <is>
          <t>Port Authority of Kansas City</t>
        </is>
      </c>
      <c r="F484" s="73" t="inlineStr">
        <is>
          <t>Missouri</t>
        </is>
      </c>
      <c r="G484" s="73" t="inlineStr">
        <is>
          <t>Submitted</t>
        </is>
      </c>
      <c r="H484" s="73" t="inlineStr"/>
      <c r="I484" s="73" t="inlineStr"/>
      <c r="J484" s="73" t="inlineStr">
        <is>
          <t>2026-02-27</t>
        </is>
      </c>
      <c r="K484" s="73" t="inlineStr">
        <is>
          <t>2026-02-27</t>
        </is>
      </c>
      <c r="L484" s="75" t="n">
        <v>231624</v>
      </c>
      <c r="M484" s="73" t="inlineStr">
        <is>
          <t>Managed Services (MSP)</t>
        </is>
      </c>
      <c r="N484" s="73" t="inlineStr">
        <is>
          <t>Email</t>
        </is>
      </c>
      <c r="O484" s="73" t="inlineStr">
        <is>
          <t>Abhishek Zalani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2026-01-30</t>
        </is>
      </c>
      <c r="Z484" s="73" t="inlineStr">
        <is>
          <t>https://app-na2.hubspot.com/contacts/243046792/record/0-3/278326364886</t>
        </is>
      </c>
      <c r="AA484" s="73" t="inlineStr"/>
    </row>
    <row r="485">
      <c r="A485" s="73" t="n">
        <v>484</v>
      </c>
      <c r="B485" s="73" t="inlineStr">
        <is>
          <t>282383711983</t>
        </is>
      </c>
      <c r="C485" s="73" t="inlineStr"/>
      <c r="D485" s="73" t="inlineStr">
        <is>
          <t>Digital Modernization Advisory &amp; Consultation</t>
        </is>
      </c>
      <c r="E485" s="73" t="inlineStr">
        <is>
          <t>Georgia Bureau of Investigation</t>
        </is>
      </c>
      <c r="F485" s="73" t="inlineStr">
        <is>
          <t>Georgia</t>
        </is>
      </c>
      <c r="G485" s="73" t="inlineStr">
        <is>
          <t>Submitted</t>
        </is>
      </c>
      <c r="H485" s="73" t="inlineStr"/>
      <c r="I485" s="73" t="inlineStr"/>
      <c r="J485" s="73" t="inlineStr">
        <is>
          <t>2026-02-27</t>
        </is>
      </c>
      <c r="K485" s="73" t="inlineStr">
        <is>
          <t>2026-02-27</t>
        </is>
      </c>
      <c r="L485" s="73" t="n"/>
      <c r="M485" s="73" t="inlineStr">
        <is>
          <t>Consulting;Modernization / Migration</t>
        </is>
      </c>
      <c r="N485" s="73" t="inlineStr"/>
      <c r="O485" s="73" t="inlineStr">
        <is>
          <t>Savya Atrey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2026-02-03</t>
        </is>
      </c>
      <c r="Z485" s="73" t="inlineStr">
        <is>
          <t>https://app-na2.hubspot.com/contacts/243046792/record/0-3/282383711983</t>
        </is>
      </c>
      <c r="AA485" s="73" t="inlineStr"/>
    </row>
    <row r="486">
      <c r="A486" s="73" t="n">
        <v>485</v>
      </c>
      <c r="B486" s="73" t="inlineStr">
        <is>
          <t>300331058928</t>
        </is>
      </c>
      <c r="C486" s="73" t="inlineStr">
        <is>
          <t>2026-IFB-002</t>
        </is>
      </c>
      <c r="D486" s="73" t="inlineStr">
        <is>
          <t>Cisco DUO subscription 2026</t>
        </is>
      </c>
      <c r="E486" s="73" t="inlineStr">
        <is>
          <t>Village of Schaumburg</t>
        </is>
      </c>
      <c r="F486" s="73" t="inlineStr">
        <is>
          <t>Illinois</t>
        </is>
      </c>
      <c r="G486" s="73" t="inlineStr">
        <is>
          <t>Submitted</t>
        </is>
      </c>
      <c r="H486" s="73" t="inlineStr"/>
      <c r="I486" s="73" t="inlineStr"/>
      <c r="J486" s="73" t="inlineStr">
        <is>
          <t>2026-02-27</t>
        </is>
      </c>
      <c r="K486" s="73" t="inlineStr">
        <is>
          <t>2026-02-24</t>
        </is>
      </c>
      <c r="L486" s="75" t="n">
        <v>46990</v>
      </c>
      <c r="M486" s="73" t="inlineStr">
        <is>
          <t>Reseller</t>
        </is>
      </c>
      <c r="N486" s="73" t="inlineStr">
        <is>
          <t>Portal</t>
        </is>
      </c>
      <c r="O486" s="73" t="inlineStr">
        <is>
          <t>Jyothsna Nanda kishore</t>
        </is>
      </c>
      <c r="P486" s="73" t="inlineStr"/>
      <c r="Q486" s="73" t="inlineStr"/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2026-02-19</t>
        </is>
      </c>
      <c r="Z486" s="73" t="inlineStr">
        <is>
          <t>https://app-na2.hubspot.com/contacts/243046792/record/0-3/300331058928</t>
        </is>
      </c>
      <c r="AA486" s="73" t="inlineStr"/>
    </row>
    <row r="487">
      <c r="A487" s="73" t="n">
        <v>486</v>
      </c>
      <c r="B487" s="73" t="inlineStr">
        <is>
          <t>239542728408</t>
        </is>
      </c>
      <c r="C487" s="73" t="inlineStr"/>
      <c r="D487" s="73" t="inlineStr">
        <is>
          <t>Project Director for Oracle Fusion Implementation</t>
        </is>
      </c>
      <c r="E487" s="73" t="inlineStr">
        <is>
          <t>Marion County</t>
        </is>
      </c>
      <c r="F487" s="73" t="inlineStr">
        <is>
          <t>Oregon</t>
        </is>
      </c>
      <c r="G487" s="73" t="inlineStr">
        <is>
          <t>Closed Lost</t>
        </is>
      </c>
      <c r="H487" s="73" t="inlineStr"/>
      <c r="I487" s="73" t="inlineStr"/>
      <c r="J487" s="73" t="inlineStr">
        <is>
          <t>2026-02-27</t>
        </is>
      </c>
      <c r="K487" s="73" t="inlineStr">
        <is>
          <t>2025-12-29</t>
        </is>
      </c>
      <c r="L487" s="73" t="n"/>
      <c r="M487" s="73" t="inlineStr">
        <is>
          <t>Staff Augmentation</t>
        </is>
      </c>
      <c r="N487" s="73" t="inlineStr">
        <is>
          <t>Portal</t>
        </is>
      </c>
      <c r="O487" s="73" t="inlineStr">
        <is>
          <t>Jyothsna Nanda kishore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2025-12-17</t>
        </is>
      </c>
      <c r="Z487" s="73" t="inlineStr">
        <is>
          <t>https://app-na2.hubspot.com/contacts/243046792/record/0-3/239542728408</t>
        </is>
      </c>
      <c r="AA487" s="73" t="inlineStr"/>
    </row>
    <row r="488">
      <c r="A488" s="73" t="n">
        <v>487</v>
      </c>
      <c r="B488" s="73" t="inlineStr">
        <is>
          <t>294210816711</t>
        </is>
      </c>
      <c r="C488" s="73" t="inlineStr"/>
      <c r="D488" s="73" t="inlineStr">
        <is>
          <t xml:space="preserve">Managed IT Services </t>
        </is>
      </c>
      <c r="E488" s="73" t="inlineStr">
        <is>
          <t>Palmetto Breeze Transit</t>
        </is>
      </c>
      <c r="F488" s="73" t="inlineStr">
        <is>
          <t>South Carolina</t>
        </is>
      </c>
      <c r="G488" s="73" t="inlineStr">
        <is>
          <t>Submitted</t>
        </is>
      </c>
      <c r="H488" s="73" t="inlineStr"/>
      <c r="I488" s="73" t="inlineStr"/>
      <c r="J488" s="73" t="inlineStr">
        <is>
          <t>2026-02-28</t>
        </is>
      </c>
      <c r="K488" s="73" t="inlineStr">
        <is>
          <t>2026-02-25</t>
        </is>
      </c>
      <c r="L488" s="75" t="n">
        <v>100565.17</v>
      </c>
      <c r="M488" s="73" t="inlineStr">
        <is>
          <t>Managed Services (MSP)</t>
        </is>
      </c>
      <c r="N488" s="73" t="inlineStr">
        <is>
          <t>Offline</t>
        </is>
      </c>
      <c r="O488" s="73" t="inlineStr">
        <is>
          <t>Jyothsna Nanda kishore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2026-02-13</t>
        </is>
      </c>
      <c r="Z488" s="73" t="inlineStr">
        <is>
          <t>https://app-na2.hubspot.com/contacts/243046792/record/0-3/294210816711</t>
        </is>
      </c>
      <c r="AA488" s="73" t="inlineStr"/>
    </row>
    <row r="489">
      <c r="A489" s="73" t="n">
        <v>488</v>
      </c>
      <c r="B489" s="73" t="inlineStr">
        <is>
          <t>267448961754</t>
        </is>
      </c>
      <c r="C489" s="73" t="inlineStr"/>
      <c r="D489" s="73" t="inlineStr">
        <is>
          <t>Internal &amp; External Security Audits</t>
        </is>
      </c>
      <c r="E489" s="73" t="inlineStr">
        <is>
          <t>Fresno County</t>
        </is>
      </c>
      <c r="F489" s="73" t="inlineStr">
        <is>
          <t>California</t>
        </is>
      </c>
      <c r="G489" s="73" t="inlineStr">
        <is>
          <t>Submitted</t>
        </is>
      </c>
      <c r="H489" s="73" t="inlineStr"/>
      <c r="I489" s="73" t="inlineStr"/>
      <c r="J489" s="73" t="inlineStr">
        <is>
          <t>2026-03-02</t>
        </is>
      </c>
      <c r="K489" s="73" t="inlineStr">
        <is>
          <t>2026-03-02</t>
        </is>
      </c>
      <c r="L489" s="73" t="n"/>
      <c r="M489" s="73" t="inlineStr">
        <is>
          <t>Consulting</t>
        </is>
      </c>
      <c r="N489" s="73" t="inlineStr"/>
      <c r="O489" s="73" t="inlineStr">
        <is>
          <t>Abhishek Zalani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2026-01-23</t>
        </is>
      </c>
      <c r="Z489" s="73" t="inlineStr">
        <is>
          <t>https://app-na2.hubspot.com/contacts/243046792/record/0-3/267448961754</t>
        </is>
      </c>
      <c r="AA489" s="73" t="inlineStr"/>
    </row>
    <row r="490">
      <c r="A490" s="73" t="n">
        <v>489</v>
      </c>
      <c r="B490" s="73" t="inlineStr">
        <is>
          <t>288588363505</t>
        </is>
      </c>
      <c r="C490" s="73" t="inlineStr"/>
      <c r="D490" s="73" t="inlineStr">
        <is>
          <t>OFFLINE - INFORMATION TECHNOLOGY SERVICES</t>
        </is>
      </c>
      <c r="E490" s="73" t="inlineStr">
        <is>
          <t>Township of Warren</t>
        </is>
      </c>
      <c r="F490" s="73" t="inlineStr">
        <is>
          <t>New Jersey</t>
        </is>
      </c>
      <c r="G490" s="73" t="inlineStr">
        <is>
          <t>Submitted</t>
        </is>
      </c>
      <c r="H490" s="73" t="inlineStr"/>
      <c r="I490" s="73" t="inlineStr"/>
      <c r="J490" s="73" t="inlineStr">
        <is>
          <t>2026-03-02</t>
        </is>
      </c>
      <c r="K490" s="73" t="inlineStr">
        <is>
          <t>2026-03-02</t>
        </is>
      </c>
      <c r="L490" s="73" t="n"/>
      <c r="M490" s="73" t="inlineStr">
        <is>
          <t>Managed Services (MSP)</t>
        </is>
      </c>
      <c r="N490" s="73" t="inlineStr"/>
      <c r="O490" s="73" t="inlineStr">
        <is>
          <t>Savya Atrey</t>
        </is>
      </c>
      <c r="P490" s="73" t="inlineStr"/>
      <c r="Q490" s="73" t="inlineStr"/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2026-02-06</t>
        </is>
      </c>
      <c r="Z490" s="73" t="inlineStr">
        <is>
          <t>https://app-na2.hubspot.com/contacts/243046792/record/0-3/288588363505</t>
        </is>
      </c>
      <c r="AA490" s="73" t="inlineStr"/>
    </row>
    <row r="491">
      <c r="A491" s="73" t="n">
        <v>490</v>
      </c>
      <c r="B491" s="73" t="inlineStr">
        <is>
          <t>231581420260</t>
        </is>
      </c>
      <c r="C491" s="73" t="inlineStr"/>
      <c r="D491" s="73" t="inlineStr">
        <is>
          <t>Information Technology Services</t>
        </is>
      </c>
      <c r="E491" s="73" t="inlineStr">
        <is>
          <t>New Castle County</t>
        </is>
      </c>
      <c r="F491" s="73" t="inlineStr">
        <is>
          <t>Delaware</t>
        </is>
      </c>
      <c r="G491" s="73" t="inlineStr">
        <is>
          <t>Closed Won</t>
        </is>
      </c>
      <c r="H491" s="73" t="inlineStr"/>
      <c r="I491" s="73" t="inlineStr"/>
      <c r="J491" s="73" t="inlineStr">
        <is>
          <t>2026-03-02</t>
        </is>
      </c>
      <c r="K491" s="73" t="inlineStr">
        <is>
          <t>2025-12-08</t>
        </is>
      </c>
      <c r="L491" s="73" t="n"/>
      <c r="M491" s="73" t="inlineStr">
        <is>
          <t>Staff Augmentation</t>
        </is>
      </c>
      <c r="N491" s="73" t="inlineStr">
        <is>
          <t>Offline</t>
        </is>
      </c>
      <c r="O491" s="73" t="inlineStr">
        <is>
          <t>Jyothsna Nanda kishore</t>
        </is>
      </c>
      <c r="P491" s="73" t="inlineStr"/>
      <c r="Q491" s="73" t="inlineStr"/>
      <c r="R491" s="73" t="inlineStr"/>
      <c r="S491" s="73" t="inlineStr">
        <is>
          <t>2026-02-13</t>
        </is>
      </c>
      <c r="T491" s="73" t="inlineStr"/>
      <c r="U491" s="73" t="inlineStr">
        <is>
          <t>2026-02-13</t>
        </is>
      </c>
      <c r="V491" s="73" t="inlineStr"/>
      <c r="W491" s="73" t="inlineStr"/>
      <c r="X491" s="73" t="inlineStr"/>
      <c r="Y491" s="73" t="inlineStr">
        <is>
          <t>2025-12-02</t>
        </is>
      </c>
      <c r="Z491" s="73" t="inlineStr">
        <is>
          <t>https://app-na2.hubspot.com/contacts/243046792/record/0-3/231581420260</t>
        </is>
      </c>
      <c r="AA491" s="73" t="inlineStr">
        <is>
          <t>No</t>
        </is>
      </c>
    </row>
    <row r="492">
      <c r="A492" s="73" t="n">
        <v>491</v>
      </c>
      <c r="B492" s="73" t="inlineStr">
        <is>
          <t>161660339939</t>
        </is>
      </c>
      <c r="C492" s="73" t="inlineStr"/>
      <c r="D492" s="73" t="inlineStr">
        <is>
          <t>Data Master Plan and Governance Framework Development</t>
        </is>
      </c>
      <c r="E492" s="73" t="inlineStr">
        <is>
          <t>Massachusetts School Building Authority</t>
        </is>
      </c>
      <c r="F492" s="73" t="inlineStr">
        <is>
          <t>Massachusetts</t>
        </is>
      </c>
      <c r="G492" s="73" t="inlineStr">
        <is>
          <t>Closed Lost</t>
        </is>
      </c>
      <c r="H492" s="73" t="inlineStr"/>
      <c r="I492" s="73" t="inlineStr"/>
      <c r="J492" s="73" t="inlineStr">
        <is>
          <t>2026-03-02</t>
        </is>
      </c>
      <c r="K492" s="73" t="inlineStr">
        <is>
          <t>2025-11-03</t>
        </is>
      </c>
      <c r="L492" s="75" t="n">
        <v>77717</v>
      </c>
      <c r="M492" s="73" t="inlineStr">
        <is>
          <t>Modernization / Migration</t>
        </is>
      </c>
      <c r="N492" s="73" t="inlineStr"/>
      <c r="O492" s="73" t="inlineStr">
        <is>
          <t>Ashutosh Chauhan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2025-09-17</t>
        </is>
      </c>
      <c r="Z492" s="73" t="inlineStr">
        <is>
          <t>https://app-na2.hubspot.com/contacts/243046792/record/0-3/161660339939</t>
        </is>
      </c>
      <c r="AA492" s="73" t="inlineStr"/>
    </row>
    <row r="493">
      <c r="A493" s="73" t="n">
        <v>492</v>
      </c>
      <c r="B493" s="73" t="inlineStr">
        <is>
          <t>304631692998</t>
        </is>
      </c>
      <c r="C493" s="73" t="inlineStr"/>
      <c r="D493" s="73" t="inlineStr">
        <is>
          <t>Full Stack Developer</t>
        </is>
      </c>
      <c r="E493" s="73" t="inlineStr">
        <is>
          <t>ADMINISTRATION FOR CHILDREN’S SERVICES (ACS)</t>
        </is>
      </c>
      <c r="F493" s="73" t="inlineStr">
        <is>
          <t>New York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2026-03-03</t>
        </is>
      </c>
      <c r="K493" s="73" t="inlineStr">
        <is>
          <t>2026-03-03</t>
        </is>
      </c>
      <c r="L493" s="73" t="n"/>
      <c r="M493" s="73" t="inlineStr">
        <is>
          <t>Staff Augmentation</t>
        </is>
      </c>
      <c r="N493" s="73" t="inlineStr"/>
      <c r="O493" s="73" t="inlineStr">
        <is>
          <t>Jyothsna Nanda kishore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2026-02-24</t>
        </is>
      </c>
      <c r="Z493" s="73" t="inlineStr">
        <is>
          <t>https://app-na2.hubspot.com/contacts/243046792/record/0-3/304631692998</t>
        </is>
      </c>
      <c r="AA493" s="73" t="inlineStr"/>
    </row>
    <row r="494">
      <c r="A494" s="73" t="n">
        <v>493</v>
      </c>
      <c r="B494" s="73" t="inlineStr">
        <is>
          <t>290594446072</t>
        </is>
      </c>
      <c r="C494" s="73" t="inlineStr"/>
      <c r="D494" s="73" t="inlineStr">
        <is>
          <t>Workforce Management Replacement Consultant</t>
        </is>
      </c>
      <c r="E494" s="73" t="inlineStr">
        <is>
          <t>City of Charlotte</t>
        </is>
      </c>
      <c r="F494" s="73" t="inlineStr">
        <is>
          <t>North Carolina</t>
        </is>
      </c>
      <c r="G494" s="73" t="inlineStr">
        <is>
          <t>Submitted</t>
        </is>
      </c>
      <c r="H494" s="73" t="inlineStr"/>
      <c r="I494" s="73" t="inlineStr"/>
      <c r="J494" s="73" t="inlineStr">
        <is>
          <t>2026-03-03</t>
        </is>
      </c>
      <c r="K494" s="73" t="inlineStr">
        <is>
          <t>2026-03-03</t>
        </is>
      </c>
      <c r="L494" s="73" t="n"/>
      <c r="M494" s="73" t="inlineStr">
        <is>
          <t>Consulting</t>
        </is>
      </c>
      <c r="N494" s="73" t="inlineStr"/>
      <c r="O494" s="73" t="inlineStr">
        <is>
          <t>Jyothsna Nanda kishore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2026-02-09</t>
        </is>
      </c>
      <c r="Z494" s="73" t="inlineStr">
        <is>
          <t>https://app-na2.hubspot.com/contacts/243046792/record/0-3/290594446072</t>
        </is>
      </c>
      <c r="AA494" s="73" t="inlineStr"/>
    </row>
    <row r="495">
      <c r="A495" s="73" t="n">
        <v>494</v>
      </c>
      <c r="B495" s="73" t="inlineStr">
        <is>
          <t>293076272882</t>
        </is>
      </c>
      <c r="C495" s="73" t="inlineStr"/>
      <c r="D495" s="73" t="inlineStr">
        <is>
          <t>Information Technology Services</t>
        </is>
      </c>
      <c r="E495" s="73" t="inlineStr">
        <is>
          <t>Niskayuna Central School District</t>
        </is>
      </c>
      <c r="F495" s="73" t="inlineStr">
        <is>
          <t>New York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2026-03-04</t>
        </is>
      </c>
      <c r="K495" s="73" t="inlineStr">
        <is>
          <t>2026-03-04</t>
        </is>
      </c>
      <c r="L495" s="73" t="n"/>
      <c r="M495" s="73" t="inlineStr">
        <is>
          <t>Staff Augmentation</t>
        </is>
      </c>
      <c r="N495" s="73" t="inlineStr"/>
      <c r="O495" s="73" t="inlineStr">
        <is>
          <t>Ashutosh Chauhan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2026-02-10</t>
        </is>
      </c>
      <c r="Z495" s="73" t="inlineStr">
        <is>
          <t>https://app-na2.hubspot.com/contacts/243046792/record/0-3/293076272882</t>
        </is>
      </c>
      <c r="AA495" s="73" t="inlineStr"/>
    </row>
    <row r="496">
      <c r="A496" s="73" t="n">
        <v>495</v>
      </c>
      <c r="B496" s="73" t="inlineStr">
        <is>
          <t>288899019475</t>
        </is>
      </c>
      <c r="C496" s="73" t="inlineStr"/>
      <c r="D496" s="73" t="inlineStr">
        <is>
          <t>OFFLINE - CO-MANAGED INFORMATION TECHNOLOGY SERVICES</t>
        </is>
      </c>
      <c r="E496" s="73" t="inlineStr">
        <is>
          <t xml:space="preserve">Village of Sussex </t>
        </is>
      </c>
      <c r="F496" s="73" t="inlineStr">
        <is>
          <t>Wisconsin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2026-03-04</t>
        </is>
      </c>
      <c r="K496" s="73" t="inlineStr">
        <is>
          <t>2026-03-04</t>
        </is>
      </c>
      <c r="L496" s="73" t="n"/>
      <c r="M496" s="73" t="inlineStr">
        <is>
          <t>Managed Services (MSP)</t>
        </is>
      </c>
      <c r="N496" s="73" t="inlineStr"/>
      <c r="O496" s="73" t="inlineStr">
        <is>
          <t>Savya Atrey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2026-02-09</t>
        </is>
      </c>
      <c r="Z496" s="73" t="inlineStr">
        <is>
          <t>https://app-na2.hubspot.com/contacts/243046792/record/0-3/288899019475</t>
        </is>
      </c>
      <c r="AA496" s="73" t="inlineStr"/>
    </row>
    <row r="497">
      <c r="A497" s="73" t="n">
        <v>496</v>
      </c>
      <c r="B497" s="73" t="inlineStr">
        <is>
          <t>162089211630</t>
        </is>
      </c>
      <c r="C497" s="73" t="inlineStr">
        <is>
          <t>2025-122</t>
        </is>
      </c>
      <c r="D497" s="73" t="inlineStr">
        <is>
          <t>Auto-Update Oracle System Integration Testing Environment</t>
        </is>
      </c>
      <c r="E497" s="73" t="inlineStr">
        <is>
          <t>Greater Cleveland Regional Transit Authority</t>
        </is>
      </c>
      <c r="F497" s="73" t="inlineStr">
        <is>
          <t>Ohio</t>
        </is>
      </c>
      <c r="G497" s="73" t="inlineStr">
        <is>
          <t>Interview</t>
        </is>
      </c>
      <c r="H497" s="73" t="inlineStr">
        <is>
          <t>Yes</t>
        </is>
      </c>
      <c r="I497" s="73" t="inlineStr">
        <is>
          <t>Interview</t>
        </is>
      </c>
      <c r="J497" s="73" t="inlineStr">
        <is>
          <t>2026-03-05</t>
        </is>
      </c>
      <c r="K497" s="73" t="inlineStr">
        <is>
          <t>2025-10-13</t>
        </is>
      </c>
      <c r="L497" s="73" t="n"/>
      <c r="M497" s="73" t="inlineStr">
        <is>
          <t>Support &amp; Maintenance</t>
        </is>
      </c>
      <c r="N497" s="73" t="inlineStr">
        <is>
          <t>Email</t>
        </is>
      </c>
      <c r="O497" s="73" t="inlineStr">
        <is>
          <t>Ashutosh Chauhan</t>
        </is>
      </c>
      <c r="P497" s="73" t="inlineStr">
        <is>
          <t>Interview Scheduled</t>
        </is>
      </c>
      <c r="Q497" s="73" t="inlineStr">
        <is>
          <t>2025-11-14</t>
        </is>
      </c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2025-09-17</t>
        </is>
      </c>
      <c r="Z497" s="73" t="inlineStr">
        <is>
          <t>https://app-na2.hubspot.com/contacts/243046792/record/0-3/162089211630</t>
        </is>
      </c>
      <c r="AA497" s="73" t="inlineStr"/>
    </row>
    <row r="498">
      <c r="A498" s="73" t="n">
        <v>497</v>
      </c>
      <c r="B498" s="73" t="inlineStr">
        <is>
          <t>246447205106</t>
        </is>
      </c>
      <c r="C498" s="73" t="inlineStr"/>
      <c r="D498" s="73" t="inlineStr">
        <is>
          <t>ADA Digital Accessibility – WCAG 2.1 AA / 2.2 AA Compliance Services</t>
        </is>
      </c>
      <c r="E498" s="73" t="inlineStr">
        <is>
          <t>Alliance for Innovation</t>
        </is>
      </c>
      <c r="F498" s="73" t="inlineStr">
        <is>
          <t>Texas</t>
        </is>
      </c>
      <c r="G498" s="73" t="inlineStr">
        <is>
          <t>Closed Lost</t>
        </is>
      </c>
      <c r="H498" s="73" t="inlineStr"/>
      <c r="I498" s="73" t="inlineStr"/>
      <c r="J498" s="73" t="inlineStr">
        <is>
          <t>2026-03-05</t>
        </is>
      </c>
      <c r="K498" s="73" t="inlineStr">
        <is>
          <t>2026-01-30</t>
        </is>
      </c>
      <c r="L498" s="73" t="n"/>
      <c r="M498" s="73" t="inlineStr">
        <is>
          <t>Platform Implementation (ERP, CRMs);Support &amp; Maintenance</t>
        </is>
      </c>
      <c r="N498" s="73" t="inlineStr"/>
      <c r="O498" s="73" t="inlineStr">
        <is>
          <t>Ashutosh Chauhan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2025-12-22</t>
        </is>
      </c>
      <c r="Z498" s="73" t="inlineStr">
        <is>
          <t>https://app-na2.hubspot.com/contacts/243046792/record/0-3/246447205106</t>
        </is>
      </c>
      <c r="AA498" s="73" t="inlineStr"/>
    </row>
    <row r="499">
      <c r="A499" s="73" t="n">
        <v>498</v>
      </c>
      <c r="B499" s="73" t="inlineStr">
        <is>
          <t>183188251323</t>
        </is>
      </c>
      <c r="C499" s="73" t="inlineStr"/>
      <c r="D499" s="73" t="inlineStr">
        <is>
          <t>INFORMATION TECHNOLOGY SERVICES</t>
        </is>
      </c>
      <c r="E499" s="73" t="inlineStr">
        <is>
          <t>LEAD CHARTER SCHOOL</t>
        </is>
      </c>
      <c r="F499" s="73" t="inlineStr">
        <is>
          <t>New Jersey</t>
        </is>
      </c>
      <c r="G499" s="73" t="inlineStr">
        <is>
          <t>RFx Cancelled</t>
        </is>
      </c>
      <c r="H499" s="73" t="inlineStr"/>
      <c r="I499" s="73" t="inlineStr"/>
      <c r="J499" s="73" t="inlineStr">
        <is>
          <t>2026-03-06</t>
        </is>
      </c>
      <c r="K499" s="73" t="inlineStr">
        <is>
          <t>2025-10-30</t>
        </is>
      </c>
      <c r="L499" s="75" t="n">
        <v>36000</v>
      </c>
      <c r="M499" s="73" t="inlineStr">
        <is>
          <t>Managed Services (MSP)</t>
        </is>
      </c>
      <c r="N499" s="73" t="inlineStr">
        <is>
          <t>Offline</t>
        </is>
      </c>
      <c r="O499" s="73" t="inlineStr">
        <is>
          <t>Jyothsna Nanda kishore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2025-10-10</t>
        </is>
      </c>
      <c r="Z499" s="73" t="inlineStr">
        <is>
          <t>https://app-na2.hubspot.com/contacts/243046792/record/0-3/183188251323</t>
        </is>
      </c>
      <c r="AA499" s="73" t="inlineStr"/>
    </row>
    <row r="500">
      <c r="A500" s="73" t="n">
        <v>499</v>
      </c>
      <c r="B500" s="73" t="inlineStr">
        <is>
          <t>282124031692</t>
        </is>
      </c>
      <c r="C500" s="73" t="inlineStr"/>
      <c r="D500" s="73" t="inlineStr">
        <is>
          <t>UC Berkeley  Upgrade to Maximo Application Suite (MAS), Cloud Hosting</t>
        </is>
      </c>
      <c r="E500" s="73" t="inlineStr">
        <is>
          <t>University of California, Berkeley</t>
        </is>
      </c>
      <c r="F500" s="73" t="inlineStr">
        <is>
          <t>California</t>
        </is>
      </c>
      <c r="G500" s="73" t="inlineStr">
        <is>
          <t>Interview</t>
        </is>
      </c>
      <c r="H500" s="73" t="inlineStr">
        <is>
          <t>Yes</t>
        </is>
      </c>
      <c r="I500" s="73" t="inlineStr">
        <is>
          <t>Interview</t>
        </is>
      </c>
      <c r="J500" s="73" t="inlineStr">
        <is>
          <t>2026-03-06</t>
        </is>
      </c>
      <c r="K500" s="73" t="inlineStr">
        <is>
          <t>2026-03-06</t>
        </is>
      </c>
      <c r="L500" s="75" t="n">
        <v>384000</v>
      </c>
      <c r="M500" s="73" t="inlineStr">
        <is>
          <t>Modernization / Migration;Platform Implementation (ERP, CRMs)</t>
        </is>
      </c>
      <c r="N500" s="73" t="inlineStr">
        <is>
          <t>Portal</t>
        </is>
      </c>
      <c r="O500" s="73" t="inlineStr">
        <is>
          <t>Ashutosh Chauhan</t>
        </is>
      </c>
      <c r="P500" s="73" t="inlineStr">
        <is>
          <t>Interview Scheduled</t>
        </is>
      </c>
      <c r="Q500" s="73" t="inlineStr">
        <is>
          <t>2026-03-25</t>
        </is>
      </c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2026-02-02</t>
        </is>
      </c>
      <c r="Z500" s="73" t="inlineStr">
        <is>
          <t>https://app-na2.hubspot.com/contacts/243046792/record/0-3/282124031692</t>
        </is>
      </c>
      <c r="AA500" s="73" t="inlineStr"/>
    </row>
    <row r="501">
      <c r="A501" s="73" t="n">
        <v>500</v>
      </c>
      <c r="B501" s="73" t="inlineStr">
        <is>
          <t>299409924840</t>
        </is>
      </c>
      <c r="C501" s="73" t="inlineStr">
        <is>
          <t>2026 - RFP-001</t>
        </is>
      </c>
      <c r="D501" s="73" t="inlineStr">
        <is>
          <t>Information Technology (IT) Consulting and Management Services - Rebid</t>
        </is>
      </c>
      <c r="E501" s="73" t="inlineStr">
        <is>
          <t>Borough of Bergenfield</t>
        </is>
      </c>
      <c r="F501" s="73" t="inlineStr">
        <is>
          <t>New Jersey</t>
        </is>
      </c>
      <c r="G501" s="73" t="inlineStr">
        <is>
          <t>RFx Cancelled</t>
        </is>
      </c>
      <c r="H501" s="73" t="inlineStr"/>
      <c r="I501" s="73" t="inlineStr"/>
      <c r="J501" s="73" t="inlineStr">
        <is>
          <t>2026-03-06</t>
        </is>
      </c>
      <c r="K501" s="73" t="inlineStr">
        <is>
          <t>2026-03-06</t>
        </is>
      </c>
      <c r="L501" s="73" t="n"/>
      <c r="M501" s="73" t="inlineStr">
        <is>
          <t>Managed Services (MSP)</t>
        </is>
      </c>
      <c r="N501" s="73" t="inlineStr"/>
      <c r="O501" s="73" t="inlineStr">
        <is>
          <t>Ashutosh Chauhan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2026-02-18</t>
        </is>
      </c>
      <c r="Z501" s="73" t="inlineStr">
        <is>
          <t>https://app-na2.hubspot.com/contacts/243046792/record/0-3/299409924840</t>
        </is>
      </c>
      <c r="AA501" s="73" t="inlineStr"/>
    </row>
    <row r="502">
      <c r="A502" s="73" t="n">
        <v>501</v>
      </c>
      <c r="B502" s="73" t="inlineStr">
        <is>
          <t>305880959725</t>
        </is>
      </c>
      <c r="C502" s="73" t="inlineStr"/>
      <c r="D502" s="73" t="inlineStr">
        <is>
          <t>OFF - Microsoft Purview Data Governance Implementation and Training</t>
        </is>
      </c>
      <c r="E502" s="73" t="inlineStr">
        <is>
          <t>City of Laurel</t>
        </is>
      </c>
      <c r="F502" s="73" t="inlineStr">
        <is>
          <t>Maryland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2026-03-06</t>
        </is>
      </c>
      <c r="K502" s="73" t="inlineStr">
        <is>
          <t>2026-03-05</t>
        </is>
      </c>
      <c r="L502" s="73" t="n"/>
      <c r="M502" s="73" t="inlineStr">
        <is>
          <t>Training;Platform Implementation (ERP, CRMs)</t>
        </is>
      </c>
      <c r="N502" s="73" t="inlineStr"/>
      <c r="O502" s="73" t="inlineStr">
        <is>
          <t>Savya Atrey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2026-02-25</t>
        </is>
      </c>
      <c r="Z502" s="73" t="inlineStr">
        <is>
          <t>https://app-na2.hubspot.com/contacts/243046792/record/0-3/305880959725</t>
        </is>
      </c>
      <c r="AA502" s="73" t="inlineStr"/>
    </row>
    <row r="503">
      <c r="A503" s="73" t="n">
        <v>502</v>
      </c>
      <c r="B503" s="73" t="inlineStr">
        <is>
          <t>280744448716</t>
        </is>
      </c>
      <c r="C503" s="73" t="inlineStr"/>
      <c r="D503" s="73" t="inlineStr">
        <is>
          <t>Audits of Enterprise Applications Systems and Information Technology (IT)</t>
        </is>
      </c>
      <c r="E503" s="73" t="inlineStr">
        <is>
          <t>Lousiville/ Jefferson County Metro Government</t>
        </is>
      </c>
      <c r="F503" s="73" t="inlineStr"/>
      <c r="G503" s="73" t="inlineStr">
        <is>
          <t>Submitted</t>
        </is>
      </c>
      <c r="H503" s="73" t="inlineStr"/>
      <c r="I503" s="73" t="inlineStr"/>
      <c r="J503" s="73" t="inlineStr">
        <is>
          <t>2026-03-06</t>
        </is>
      </c>
      <c r="K503" s="73" t="inlineStr">
        <is>
          <t>2026-03-06</t>
        </is>
      </c>
      <c r="L503" s="73" t="n"/>
      <c r="M503" s="73" t="inlineStr">
        <is>
          <t>Audits and Assessment</t>
        </is>
      </c>
      <c r="N503" s="73" t="inlineStr">
        <is>
          <t>Portal</t>
        </is>
      </c>
      <c r="O503" s="73" t="inlineStr">
        <is>
          <t>Jyothsna Nanda kishore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2026-02-03</t>
        </is>
      </c>
      <c r="Z503" s="73" t="inlineStr">
        <is>
          <t>https://app-na2.hubspot.com/contacts/243046792/record/0-3/280744448716</t>
        </is>
      </c>
      <c r="AA503" s="73" t="inlineStr"/>
    </row>
    <row r="504">
      <c r="A504" s="73" t="n">
        <v>503</v>
      </c>
      <c r="B504" s="73" t="inlineStr">
        <is>
          <t>310377853669</t>
        </is>
      </c>
      <c r="C504" s="73" t="inlineStr"/>
      <c r="D504" s="73" t="inlineStr">
        <is>
          <t>Transportation Data Aggregation Dashboard</t>
        </is>
      </c>
      <c r="E504" s="73" t="inlineStr">
        <is>
          <t>City of Dublin</t>
        </is>
      </c>
      <c r="F504" s="73" t="inlineStr">
        <is>
          <t>Ohio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2026-03-06</t>
        </is>
      </c>
      <c r="K504" s="73" t="inlineStr">
        <is>
          <t>2026-03-06</t>
        </is>
      </c>
      <c r="L504" s="73" t="n"/>
      <c r="M504" s="73" t="inlineStr">
        <is>
          <t>Platform Implementation (ERP, CRMs);Support &amp; Maintenance</t>
        </is>
      </c>
      <c r="N504" s="73" t="inlineStr"/>
      <c r="O504" s="73" t="inlineStr">
        <is>
          <t>Savya Atrey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2026-03-03</t>
        </is>
      </c>
      <c r="Z504" s="73" t="inlineStr">
        <is>
          <t>https://app-na2.hubspot.com/contacts/243046792/record/0-3/310377853669</t>
        </is>
      </c>
      <c r="AA504" s="73" t="inlineStr"/>
    </row>
    <row r="505">
      <c r="A505" s="73" t="n">
        <v>504</v>
      </c>
      <c r="B505" s="73" t="inlineStr">
        <is>
          <t>294160194252</t>
        </is>
      </c>
      <c r="C505" s="73" t="inlineStr"/>
      <c r="D505" s="73" t="inlineStr">
        <is>
          <t>Finance ERP Software</t>
        </is>
      </c>
      <c r="E505" s="73" t="inlineStr">
        <is>
          <t>Liberty Township</t>
        </is>
      </c>
      <c r="F505" s="73" t="inlineStr">
        <is>
          <t>Ohio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2026-03-06</t>
        </is>
      </c>
      <c r="K505" s="73" t="inlineStr">
        <is>
          <t>2026-03-06</t>
        </is>
      </c>
      <c r="L505" s="73" t="n"/>
      <c r="M505" s="73" t="inlineStr">
        <is>
          <t>Platform Implementation (ERP, CRMs)</t>
        </is>
      </c>
      <c r="N505" s="73" t="inlineStr"/>
      <c r="O505" s="73" t="inlineStr">
        <is>
          <t>Savya Atrey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2026-02-12</t>
        </is>
      </c>
      <c r="Z505" s="73" t="inlineStr">
        <is>
          <t>https://app-na2.hubspot.com/contacts/243046792/record/0-3/294160194252</t>
        </is>
      </c>
      <c r="AA505" s="73" t="inlineStr"/>
    </row>
    <row r="506">
      <c r="A506" s="73" t="n">
        <v>505</v>
      </c>
      <c r="B506" s="73" t="inlineStr">
        <is>
          <t>221448607441</t>
        </is>
      </c>
      <c r="C506" s="73" t="inlineStr"/>
      <c r="D506" s="73" t="inlineStr">
        <is>
          <t>UML Salesforce IT Consultant</t>
        </is>
      </c>
      <c r="E506" s="73" t="inlineStr">
        <is>
          <t>University of Massachusetts Lowell</t>
        </is>
      </c>
      <c r="F506" s="73" t="inlineStr">
        <is>
          <t>Massachusetts</t>
        </is>
      </c>
      <c r="G506" s="73" t="inlineStr">
        <is>
          <t>Closed Lost</t>
        </is>
      </c>
      <c r="H506" s="73" t="inlineStr"/>
      <c r="I506" s="73" t="inlineStr"/>
      <c r="J506" s="73" t="inlineStr">
        <is>
          <t>2026-03-06</t>
        </is>
      </c>
      <c r="K506" s="73" t="inlineStr">
        <is>
          <t>2025-12-09</t>
        </is>
      </c>
      <c r="L506" s="73" t="n"/>
      <c r="M506" s="73" t="inlineStr">
        <is>
          <t>Consulting</t>
        </is>
      </c>
      <c r="N506" s="73" t="inlineStr"/>
      <c r="O506" s="73" t="inlineStr">
        <is>
          <t>Jyothsna Nanda kishore</t>
        </is>
      </c>
      <c r="P506" s="73" t="inlineStr"/>
      <c r="Q506" s="73" t="inlineStr"/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2025-11-17</t>
        </is>
      </c>
      <c r="Z506" s="73" t="inlineStr">
        <is>
          <t>https://app-na2.hubspot.com/contacts/243046792/record/0-3/221448607441</t>
        </is>
      </c>
      <c r="AA506" s="73" t="inlineStr"/>
    </row>
    <row r="507">
      <c r="A507" s="73" t="n">
        <v>506</v>
      </c>
      <c r="B507" s="73" t="inlineStr">
        <is>
          <t>304627384029</t>
        </is>
      </c>
      <c r="C507" s="73" t="inlineStr">
        <is>
          <t>2026-003</t>
        </is>
      </c>
      <c r="D507" s="73" t="inlineStr">
        <is>
          <t>OFF - Police Department IT Services Contractor</t>
        </is>
      </c>
      <c r="E507" s="73" t="inlineStr">
        <is>
          <t>Town of Howey-in-the-Hills</t>
        </is>
      </c>
      <c r="F507" s="73" t="inlineStr">
        <is>
          <t>Florida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2026-03-09</t>
        </is>
      </c>
      <c r="K507" s="73" t="inlineStr">
        <is>
          <t>2026-03-09</t>
        </is>
      </c>
      <c r="L507" s="73" t="n"/>
      <c r="M507" s="73" t="inlineStr">
        <is>
          <t>Managed Services (MSP)</t>
        </is>
      </c>
      <c r="N507" s="73" t="inlineStr">
        <is>
          <t>Offline</t>
        </is>
      </c>
      <c r="O507" s="73" t="inlineStr">
        <is>
          <t>Ashutosh Chauhan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2026-02-24</t>
        </is>
      </c>
      <c r="Z507" s="73" t="inlineStr">
        <is>
          <t>https://app-na2.hubspot.com/contacts/243046792/record/0-3/304627384029</t>
        </is>
      </c>
      <c r="AA507" s="73" t="inlineStr"/>
    </row>
    <row r="508">
      <c r="A508" s="73" t="n">
        <v>507</v>
      </c>
      <c r="B508" s="73" t="inlineStr">
        <is>
          <t>173508343483</t>
        </is>
      </c>
      <c r="C508" s="73" t="inlineStr"/>
      <c r="D508" s="73" t="inlineStr">
        <is>
          <t>Managed IT Services Information Technology Consultant Support</t>
        </is>
      </c>
      <c r="E508" s="73" t="inlineStr">
        <is>
          <t>City of Adelanto</t>
        </is>
      </c>
      <c r="F508" s="73" t="inlineStr">
        <is>
          <t>California</t>
        </is>
      </c>
      <c r="G508" s="73" t="inlineStr">
        <is>
          <t>Closed Lost</t>
        </is>
      </c>
      <c r="H508" s="73" t="inlineStr">
        <is>
          <t>Yes</t>
        </is>
      </c>
      <c r="I508" s="73" t="inlineStr">
        <is>
          <t>Interview</t>
        </is>
      </c>
      <c r="J508" s="73" t="inlineStr">
        <is>
          <t>2026-03-09</t>
        </is>
      </c>
      <c r="K508" s="73" t="inlineStr">
        <is>
          <t>2025-10-22</t>
        </is>
      </c>
      <c r="L508" s="75" t="n">
        <v>222800</v>
      </c>
      <c r="M508" s="73" t="inlineStr">
        <is>
          <t>Managed Services (MSP);Support &amp; Maintenance</t>
        </is>
      </c>
      <c r="N508" s="73" t="inlineStr"/>
      <c r="O508" s="73" t="inlineStr">
        <is>
          <t>Jyothsna Nanda kishore</t>
        </is>
      </c>
      <c r="P508" s="73" t="inlineStr"/>
      <c r="Q508" s="73" t="inlineStr">
        <is>
          <t>2025-11-21</t>
        </is>
      </c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2025-10-01</t>
        </is>
      </c>
      <c r="Z508" s="73" t="inlineStr">
        <is>
          <t>https://app-na2.hubspot.com/contacts/243046792/record/0-3/173508343483</t>
        </is>
      </c>
      <c r="AA508" s="73" t="inlineStr"/>
    </row>
    <row r="509">
      <c r="A509" s="73" t="n">
        <v>508</v>
      </c>
      <c r="B509" s="73" t="inlineStr">
        <is>
          <t>292764162764</t>
        </is>
      </c>
      <c r="C509" s="73" t="inlineStr"/>
      <c r="D509" s="73" t="inlineStr">
        <is>
          <t>Consultant Services for the Modernization of its Pension Administration System (PAS) Project</t>
        </is>
      </c>
      <c r="E509" s="73" t="inlineStr">
        <is>
          <t xml:space="preserve">State of Oregon </t>
        </is>
      </c>
      <c r="F509" s="73" t="inlineStr">
        <is>
          <t>Oregon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2026-03-10</t>
        </is>
      </c>
      <c r="K509" s="73" t="inlineStr">
        <is>
          <t>2026-03-10</t>
        </is>
      </c>
      <c r="L509" s="73" t="n"/>
      <c r="M509" s="73" t="inlineStr">
        <is>
          <t>Consulting</t>
        </is>
      </c>
      <c r="N509" s="73" t="inlineStr"/>
      <c r="O509" s="73" t="inlineStr">
        <is>
          <t>Ashutosh Chauhan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2026-02-10</t>
        </is>
      </c>
      <c r="Z509" s="73" t="inlineStr">
        <is>
          <t>https://app-na2.hubspot.com/contacts/243046792/record/0-3/292764162764</t>
        </is>
      </c>
      <c r="AA509" s="73" t="inlineStr"/>
    </row>
    <row r="510">
      <c r="A510" s="73" t="n">
        <v>509</v>
      </c>
      <c r="B510" s="73" t="inlineStr">
        <is>
          <t>305955842809</t>
        </is>
      </c>
      <c r="C510" s="73" t="inlineStr"/>
      <c r="D510" s="73" t="inlineStr">
        <is>
          <t>OFFLINE - Information technology Services (re-bid)</t>
        </is>
      </c>
      <c r="E510" s="73" t="inlineStr">
        <is>
          <t>CITY OF RAHWAY</t>
        </is>
      </c>
      <c r="F510" s="73" t="inlineStr">
        <is>
          <t>New Jersey</t>
        </is>
      </c>
      <c r="G510" s="73" t="inlineStr">
        <is>
          <t>Submitted</t>
        </is>
      </c>
      <c r="H510" s="73" t="inlineStr"/>
      <c r="I510" s="73" t="inlineStr"/>
      <c r="J510" s="73" t="inlineStr">
        <is>
          <t>2026-03-10</t>
        </is>
      </c>
      <c r="K510" s="73" t="inlineStr">
        <is>
          <t>2026-03-06</t>
        </is>
      </c>
      <c r="L510" s="73" t="n"/>
      <c r="M510" s="73" t="inlineStr">
        <is>
          <t>Managed Services (MSP)</t>
        </is>
      </c>
      <c r="N510" s="73" t="inlineStr">
        <is>
          <t>Offline</t>
        </is>
      </c>
      <c r="O510" s="73" t="inlineStr">
        <is>
          <t>Savya Atrey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2026-02-25</t>
        </is>
      </c>
      <c r="Z510" s="73" t="inlineStr">
        <is>
          <t>https://app-na2.hubspot.com/contacts/243046792/record/0-3/305955842809</t>
        </is>
      </c>
      <c r="AA510" s="73" t="inlineStr"/>
    </row>
    <row r="511">
      <c r="A511" s="73" t="n">
        <v>510</v>
      </c>
      <c r="B511" s="73" t="inlineStr">
        <is>
          <t>309858242247</t>
        </is>
      </c>
      <c r="C511" s="73" t="inlineStr"/>
      <c r="D511" s="73" t="inlineStr">
        <is>
          <t>Information Technology (IT) Managed Services</t>
        </is>
      </c>
      <c r="E511" s="73" t="inlineStr">
        <is>
          <t>Costa Mesa Sanitary District</t>
        </is>
      </c>
      <c r="F511" s="73" t="inlineStr">
        <is>
          <t>California</t>
        </is>
      </c>
      <c r="G511" s="73" t="inlineStr">
        <is>
          <t>Submitted</t>
        </is>
      </c>
      <c r="H511" s="73" t="inlineStr"/>
      <c r="I511" s="73" t="inlineStr"/>
      <c r="J511" s="73" t="inlineStr">
        <is>
          <t>2026-03-10</t>
        </is>
      </c>
      <c r="K511" s="73" t="inlineStr">
        <is>
          <t>2026-03-10</t>
        </is>
      </c>
      <c r="L511" s="73" t="n"/>
      <c r="M511" s="73" t="inlineStr">
        <is>
          <t>Managed Services (MSP)</t>
        </is>
      </c>
      <c r="N511" s="73" t="inlineStr"/>
      <c r="O511" s="73" t="inlineStr">
        <is>
          <t>Savya Atrey</t>
        </is>
      </c>
      <c r="P511" s="73" t="inlineStr"/>
      <c r="Q511" s="73" t="inlineStr"/>
      <c r="R511" s="73" t="inlineStr"/>
      <c r="S511" s="73" t="inlineStr"/>
      <c r="T511" s="73" t="inlineStr"/>
      <c r="U511" s="73" t="inlineStr"/>
      <c r="V511" s="73" t="inlineStr"/>
      <c r="W511" s="73" t="inlineStr"/>
      <c r="X511" s="73" t="inlineStr"/>
      <c r="Y511" s="73" t="inlineStr">
        <is>
          <t>2026-03-03</t>
        </is>
      </c>
      <c r="Z511" s="73" t="inlineStr">
        <is>
          <t>https://app-na2.hubspot.com/contacts/243046792/record/0-3/309858242247</t>
        </is>
      </c>
      <c r="AA511" s="73" t="inlineStr"/>
    </row>
    <row r="512">
      <c r="A512" s="73" t="n">
        <v>511</v>
      </c>
      <c r="B512" s="73" t="inlineStr">
        <is>
          <t>280744449774</t>
        </is>
      </c>
      <c r="C512" s="73" t="inlineStr">
        <is>
          <t>Event 12244-1</t>
        </is>
      </c>
      <c r="D512" s="73" t="inlineStr">
        <is>
          <t>Salesforce Implementation Code &amp; Zoning Enforcement RE-BID</t>
        </is>
      </c>
      <c r="E512" s="73" t="inlineStr">
        <is>
          <t>City of Greensboro</t>
        </is>
      </c>
      <c r="F512" s="73" t="inlineStr">
        <is>
          <t>North Carolina</t>
        </is>
      </c>
      <c r="G512" s="73" t="inlineStr">
        <is>
          <t>Closed Lost</t>
        </is>
      </c>
      <c r="H512" s="73" t="inlineStr"/>
      <c r="I512" s="73" t="inlineStr"/>
      <c r="J512" s="73" t="inlineStr">
        <is>
          <t>2026-03-10</t>
        </is>
      </c>
      <c r="K512" s="73" t="inlineStr">
        <is>
          <t>2026-02-17</t>
        </is>
      </c>
      <c r="L512" s="75" t="n">
        <v>70430</v>
      </c>
      <c r="M512" s="73" t="inlineStr">
        <is>
          <t>Platform Implementation (ERP, CRMs)</t>
        </is>
      </c>
      <c r="N512" s="73" t="inlineStr">
        <is>
          <t>Portal</t>
        </is>
      </c>
      <c r="O512" s="73" t="inlineStr">
        <is>
          <t>Ashutosh Chauhan</t>
        </is>
      </c>
      <c r="P512" s="73" t="inlineStr"/>
      <c r="Q512" s="73" t="inlineStr"/>
      <c r="R512" s="73" t="inlineStr"/>
      <c r="S512" s="73" t="inlineStr"/>
      <c r="T512" s="73" t="inlineStr"/>
      <c r="U512" s="73" t="inlineStr"/>
      <c r="V512" s="73" t="inlineStr"/>
      <c r="W512" s="73" t="inlineStr"/>
      <c r="X512" s="73" t="inlineStr"/>
      <c r="Y512" s="73" t="inlineStr">
        <is>
          <t>2026-02-03</t>
        </is>
      </c>
      <c r="Z512" s="73" t="inlineStr">
        <is>
          <t>https://app-na2.hubspot.com/contacts/243046792/record/0-3/280744449774</t>
        </is>
      </c>
      <c r="AA512" s="73" t="inlineStr"/>
    </row>
    <row r="513">
      <c r="A513" s="73" t="n">
        <v>512</v>
      </c>
      <c r="B513" s="73" t="inlineStr">
        <is>
          <t>294055526085</t>
        </is>
      </c>
      <c r="C513" s="73" t="inlineStr"/>
      <c r="D513" s="73" t="inlineStr">
        <is>
          <t>Oracle Managed Services and Testing as a Service Support</t>
        </is>
      </c>
      <c r="E513" s="73" t="inlineStr">
        <is>
          <t>CITY OF DURHAM</t>
        </is>
      </c>
      <c r="F513" s="73" t="inlineStr">
        <is>
          <t>North Carolina</t>
        </is>
      </c>
      <c r="G513" s="73" t="inlineStr">
        <is>
          <t>Submitted</t>
        </is>
      </c>
      <c r="H513" s="73" t="inlineStr"/>
      <c r="I513" s="73" t="inlineStr"/>
      <c r="J513" s="73" t="inlineStr">
        <is>
          <t>2026-03-11</t>
        </is>
      </c>
      <c r="K513" s="73" t="inlineStr"/>
      <c r="L513" s="73" t="n"/>
      <c r="M513" s="73" t="inlineStr">
        <is>
          <t>Support &amp; Maintenance</t>
        </is>
      </c>
      <c r="N513" s="73" t="inlineStr"/>
      <c r="O513" s="73" t="inlineStr">
        <is>
          <t>Jyothsna Nanda kishore</t>
        </is>
      </c>
      <c r="P513" s="73" t="inlineStr"/>
      <c r="Q513" s="73" t="inlineStr"/>
      <c r="R513" s="73" t="inlineStr"/>
      <c r="S513" s="73" t="inlineStr"/>
      <c r="T513" s="73" t="inlineStr"/>
      <c r="U513" s="73" t="inlineStr"/>
      <c r="V513" s="73" t="inlineStr"/>
      <c r="W513" s="73" t="inlineStr"/>
      <c r="X513" s="73" t="inlineStr"/>
      <c r="Y513" s="73" t="inlineStr">
        <is>
          <t>2026-02-11</t>
        </is>
      </c>
      <c r="Z513" s="73" t="inlineStr">
        <is>
          <t>https://app-na2.hubspot.com/contacts/243046792/record/0-3/294055526085</t>
        </is>
      </c>
      <c r="AA513" s="73" t="inlineStr"/>
    </row>
    <row r="514">
      <c r="A514" s="73" t="n">
        <v>513</v>
      </c>
      <c r="B514" s="73" t="inlineStr">
        <is>
          <t>300024188613</t>
        </is>
      </c>
      <c r="C514" s="73" t="inlineStr"/>
      <c r="D514" s="73" t="inlineStr">
        <is>
          <t>Offline: Design, Development, Implementation and Maintenance of a Robust, Accessible, and Modern Website Platform</t>
        </is>
      </c>
      <c r="E514" s="73" t="inlineStr">
        <is>
          <t>Will County</t>
        </is>
      </c>
      <c r="F514" s="73" t="inlineStr">
        <is>
          <t>Illinois</t>
        </is>
      </c>
      <c r="G514" s="73" t="inlineStr">
        <is>
          <t>Submitted</t>
        </is>
      </c>
      <c r="H514" s="73" t="inlineStr"/>
      <c r="I514" s="73" t="inlineStr"/>
      <c r="J514" s="73" t="inlineStr">
        <is>
          <t>2026-03-12</t>
        </is>
      </c>
      <c r="K514" s="73" t="inlineStr">
        <is>
          <t>2026-03-12</t>
        </is>
      </c>
      <c r="L514" s="73" t="n"/>
      <c r="M514" s="73" t="inlineStr">
        <is>
          <t>Platform Implementation (ERP, CRMs);Consulting;Modernization / Migration</t>
        </is>
      </c>
      <c r="N514" s="73" t="inlineStr">
        <is>
          <t>Offline</t>
        </is>
      </c>
      <c r="O514" s="73" t="inlineStr">
        <is>
          <t>Ashutosh Chauhan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2026-02-18</t>
        </is>
      </c>
      <c r="Z514" s="73" t="inlineStr">
        <is>
          <t>https://app-na2.hubspot.com/contacts/243046792/record/0-3/300024188613</t>
        </is>
      </c>
      <c r="AA514" s="73" t="inlineStr"/>
    </row>
    <row r="515">
      <c r="A515" s="73" t="n">
        <v>514</v>
      </c>
      <c r="B515" s="73" t="inlineStr">
        <is>
          <t>310664991433</t>
        </is>
      </c>
      <c r="C515" s="73" t="inlineStr">
        <is>
          <t>RFP #260009</t>
        </is>
      </c>
      <c r="D515" s="73" t="inlineStr">
        <is>
          <t>IT Technical Support and Services</t>
        </is>
      </c>
      <c r="E515" s="73" t="inlineStr">
        <is>
          <t>Tahoe Regional Planning Agency</t>
        </is>
      </c>
      <c r="F515" s="73" t="inlineStr">
        <is>
          <t>Nevada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2026-03-12</t>
        </is>
      </c>
      <c r="K515" s="73" t="inlineStr">
        <is>
          <t>2026-03-12</t>
        </is>
      </c>
      <c r="L515" s="75" t="n">
        <v>264960</v>
      </c>
      <c r="M515" s="73" t="inlineStr">
        <is>
          <t>Managed Services (MSP)</t>
        </is>
      </c>
      <c r="N515" s="73" t="inlineStr">
        <is>
          <t>Email;Offline</t>
        </is>
      </c>
      <c r="O515" s="73" t="inlineStr">
        <is>
          <t>Jyothsna Nanda kishore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2026-03-03</t>
        </is>
      </c>
      <c r="Z515" s="73" t="inlineStr">
        <is>
          <t>https://app-na2.hubspot.com/contacts/243046792/record/0-3/310664991433</t>
        </is>
      </c>
      <c r="AA515" s="73" t="inlineStr"/>
    </row>
    <row r="516">
      <c r="A516" s="73" t="n">
        <v>515</v>
      </c>
      <c r="B516" s="73" t="inlineStr">
        <is>
          <t>269389188850</t>
        </is>
      </c>
      <c r="C516" s="73" t="inlineStr">
        <is>
          <t>RFP - 799</t>
        </is>
      </c>
      <c r="D516" s="73" t="inlineStr">
        <is>
          <t>Salesforce Implementation Consultant</t>
        </is>
      </c>
      <c r="E516" s="73" t="inlineStr">
        <is>
          <t>University of Mississippi</t>
        </is>
      </c>
      <c r="F516" s="73" t="inlineStr">
        <is>
          <t>Mississippi</t>
        </is>
      </c>
      <c r="G516" s="73" t="inlineStr">
        <is>
          <t>Submitted</t>
        </is>
      </c>
      <c r="H516" s="73" t="inlineStr"/>
      <c r="I516" s="73" t="inlineStr"/>
      <c r="J516" s="73" t="inlineStr">
        <is>
          <t>2026-03-12</t>
        </is>
      </c>
      <c r="K516" s="73" t="inlineStr">
        <is>
          <t>2026-03-12</t>
        </is>
      </c>
      <c r="L516" s="75" t="n">
        <v>336000</v>
      </c>
      <c r="M516" s="73" t="inlineStr">
        <is>
          <t>Consulting;Platform Implementation (ERP, CRMs)</t>
        </is>
      </c>
      <c r="N516" s="73" t="inlineStr"/>
      <c r="O516" s="73" t="inlineStr">
        <is>
          <t>Ashutosh Chauhan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2026-01-22</t>
        </is>
      </c>
      <c r="Z516" s="73" t="inlineStr">
        <is>
          <t>https://app-na2.hubspot.com/contacts/243046792/record/0-3/269389188850</t>
        </is>
      </c>
      <c r="AA516" s="73" t="inlineStr"/>
    </row>
    <row r="517">
      <c r="A517" s="73" t="n">
        <v>516</v>
      </c>
      <c r="B517" s="73" t="inlineStr">
        <is>
          <t>305108054745</t>
        </is>
      </c>
      <c r="C517" s="73" t="inlineStr"/>
      <c r="D517" s="73" t="inlineStr">
        <is>
          <t>Technology Data Architect Services</t>
        </is>
      </c>
      <c r="E517" s="73" t="inlineStr">
        <is>
          <t>City of Stamford</t>
        </is>
      </c>
      <c r="F517" s="73" t="inlineStr">
        <is>
          <t>Connecticut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2026-03-12</t>
        </is>
      </c>
      <c r="K517" s="73" t="inlineStr">
        <is>
          <t>2026-03-12</t>
        </is>
      </c>
      <c r="L517" s="73" t="n"/>
      <c r="M517" s="73" t="inlineStr">
        <is>
          <t>Consulting;Staff Augmentation</t>
        </is>
      </c>
      <c r="N517" s="73" t="inlineStr"/>
      <c r="O517" s="73" t="inlineStr">
        <is>
          <t>Savya Atrey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2026-02-24</t>
        </is>
      </c>
      <c r="Z517" s="73" t="inlineStr">
        <is>
          <t>https://app-na2.hubspot.com/contacts/243046792/record/0-3/305108054745</t>
        </is>
      </c>
      <c r="AA517" s="73" t="inlineStr"/>
    </row>
    <row r="518">
      <c r="A518" s="73" t="n">
        <v>517</v>
      </c>
      <c r="B518" s="73" t="inlineStr">
        <is>
          <t>305108054748</t>
        </is>
      </c>
      <c r="C518" s="73" t="inlineStr"/>
      <c r="D518" s="73" t="inlineStr">
        <is>
          <t>Information Security Analyst</t>
        </is>
      </c>
      <c r="E518" s="73" t="inlineStr">
        <is>
          <t>City of Stamford</t>
        </is>
      </c>
      <c r="F518" s="73" t="inlineStr">
        <is>
          <t>Connecticut</t>
        </is>
      </c>
      <c r="G518" s="73" t="inlineStr">
        <is>
          <t>Submitted</t>
        </is>
      </c>
      <c r="H518" s="73" t="inlineStr"/>
      <c r="I518" s="73" t="inlineStr"/>
      <c r="J518" s="73" t="inlineStr">
        <is>
          <t>2026-03-12</t>
        </is>
      </c>
      <c r="K518" s="73" t="inlineStr">
        <is>
          <t>2026-03-12</t>
        </is>
      </c>
      <c r="L518" s="73" t="n"/>
      <c r="M518" s="73" t="inlineStr">
        <is>
          <t>Consulting</t>
        </is>
      </c>
      <c r="N518" s="73" t="inlineStr"/>
      <c r="O518" s="73" t="inlineStr">
        <is>
          <t>Savya Atrey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2026-02-24</t>
        </is>
      </c>
      <c r="Z518" s="73" t="inlineStr">
        <is>
          <t>https://app-na2.hubspot.com/contacts/243046792/record/0-3/305108054748</t>
        </is>
      </c>
      <c r="AA518" s="73" t="inlineStr"/>
    </row>
    <row r="519">
      <c r="A519" s="73" t="n">
        <v>518</v>
      </c>
      <c r="B519" s="73" t="inlineStr">
        <is>
          <t>141029722846</t>
        </is>
      </c>
      <c r="C519" s="73" t="inlineStr">
        <is>
          <t xml:space="preserve">RFP_F-Contr-0000000117 </t>
        </is>
      </c>
      <c r="D519" s="73" t="inlineStr">
        <is>
          <t>Workday Managed Services</t>
        </is>
      </c>
      <c r="E519" s="73" t="inlineStr">
        <is>
          <t>Contra Costa County [CA]</t>
        </is>
      </c>
      <c r="F519" s="73" t="inlineStr">
        <is>
          <t>California</t>
        </is>
      </c>
      <c r="G519" s="73" t="inlineStr">
        <is>
          <t>Closed Lost</t>
        </is>
      </c>
      <c r="H519" s="73" t="inlineStr"/>
      <c r="I519" s="73" t="inlineStr"/>
      <c r="J519" s="73" t="inlineStr">
        <is>
          <t>2026-03-12</t>
        </is>
      </c>
      <c r="K519" s="73" t="inlineStr">
        <is>
          <t>2025-09-19</t>
        </is>
      </c>
      <c r="L519" s="75" t="n">
        <v>192500</v>
      </c>
      <c r="M519" s="73" t="inlineStr">
        <is>
          <t>Managed Services (MSP)</t>
        </is>
      </c>
      <c r="N519" s="73" t="inlineStr">
        <is>
          <t>Portal</t>
        </is>
      </c>
      <c r="O519" s="73" t="inlineStr">
        <is>
          <t>Madhav Mitruka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2025-08-12</t>
        </is>
      </c>
      <c r="Z519" s="73" t="inlineStr">
        <is>
          <t>https://app-na2.hubspot.com/contacts/243046792/record/0-3/141029722846</t>
        </is>
      </c>
      <c r="AA519" s="73" t="inlineStr"/>
    </row>
    <row r="520">
      <c r="A520" s="73" t="n">
        <v>519</v>
      </c>
      <c r="B520" s="73" t="inlineStr">
        <is>
          <t>310410262217</t>
        </is>
      </c>
      <c r="C520" s="73" t="inlineStr">
        <is>
          <t>0000414052</t>
        </is>
      </c>
      <c r="D520" s="73" t="inlineStr">
        <is>
          <t>EMAIL CYBERSECURITY SOFTWARE</t>
        </is>
      </c>
      <c r="E520" s="73" t="inlineStr">
        <is>
          <t>Westchester County Purchasing</t>
        </is>
      </c>
      <c r="F520" s="73" t="inlineStr">
        <is>
          <t>New York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2026-03-12</t>
        </is>
      </c>
      <c r="K520" s="73" t="inlineStr">
        <is>
          <t>2026-03-11</t>
        </is>
      </c>
      <c r="L520" s="75" t="n">
        <v>51744</v>
      </c>
      <c r="M520" s="73" t="inlineStr">
        <is>
          <t>Reseller</t>
        </is>
      </c>
      <c r="N520" s="73" t="inlineStr">
        <is>
          <t>Offline</t>
        </is>
      </c>
      <c r="O520" s="73" t="inlineStr">
        <is>
          <t>Jyothsna Nanda kishore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2026-03-03</t>
        </is>
      </c>
      <c r="Z520" s="73" t="inlineStr">
        <is>
          <t>https://app-na2.hubspot.com/contacts/243046792/record/0-3/310410262217</t>
        </is>
      </c>
      <c r="AA520" s="73" t="inlineStr"/>
    </row>
    <row r="521">
      <c r="A521" s="73" t="n">
        <v>520</v>
      </c>
      <c r="B521" s="73" t="inlineStr">
        <is>
          <t>304631700175</t>
        </is>
      </c>
      <c r="C521" s="73" t="inlineStr"/>
      <c r="D521" s="73" t="inlineStr">
        <is>
          <t>Cybersecurity Pentesting Services</t>
        </is>
      </c>
      <c r="E521" s="73" t="inlineStr">
        <is>
          <t xml:space="preserve">City of Roseville </t>
        </is>
      </c>
      <c r="F521" s="73" t="inlineStr">
        <is>
          <t>California</t>
        </is>
      </c>
      <c r="G521" s="73" t="inlineStr">
        <is>
          <t>Submitted</t>
        </is>
      </c>
      <c r="H521" s="73" t="inlineStr"/>
      <c r="I521" s="73" t="inlineStr"/>
      <c r="J521" s="73" t="inlineStr">
        <is>
          <t>2026-03-12</t>
        </is>
      </c>
      <c r="K521" s="73" t="inlineStr">
        <is>
          <t>2026-03-12</t>
        </is>
      </c>
      <c r="L521" s="73" t="n"/>
      <c r="M521" s="73" t="inlineStr">
        <is>
          <t>Consulting</t>
        </is>
      </c>
      <c r="N521" s="73" t="inlineStr"/>
      <c r="O521" s="73" t="inlineStr">
        <is>
          <t>Savya Atrey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2026-02-24</t>
        </is>
      </c>
      <c r="Z521" s="73" t="inlineStr">
        <is>
          <t>https://app-na2.hubspot.com/contacts/243046792/record/0-3/304631700175</t>
        </is>
      </c>
      <c r="AA521" s="73" t="inlineStr"/>
    </row>
    <row r="522">
      <c r="A522" s="73" t="n">
        <v>521</v>
      </c>
      <c r="B522" s="73" t="inlineStr">
        <is>
          <t>311295567559</t>
        </is>
      </c>
      <c r="C522" s="73" t="inlineStr">
        <is>
          <t>38-25-002</t>
        </is>
      </c>
      <c r="D522" s="73" t="inlineStr">
        <is>
          <t>RFP 38-25-002-IT (Projects Consultant)</t>
        </is>
      </c>
      <c r="E522" s="73" t="inlineStr">
        <is>
          <t xml:space="preserve">San Francisco Superior Court Procurement Unit </t>
        </is>
      </c>
      <c r="F522" s="73" t="inlineStr">
        <is>
          <t>California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2026-03-13</t>
        </is>
      </c>
      <c r="K522" s="73" t="inlineStr">
        <is>
          <t>2026-03-13</t>
        </is>
      </c>
      <c r="L522" s="75" t="n">
        <v>2256160</v>
      </c>
      <c r="M522" s="73" t="inlineStr">
        <is>
          <t>Consulting</t>
        </is>
      </c>
      <c r="N522" s="73" t="inlineStr">
        <is>
          <t>Portal</t>
        </is>
      </c>
      <c r="O522" s="73" t="inlineStr">
        <is>
          <t>Savya Atrey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2026-03-04</t>
        </is>
      </c>
      <c r="Z522" s="73" t="inlineStr">
        <is>
          <t>https://app-na2.hubspot.com/contacts/243046792/record/0-3/311295567559</t>
        </is>
      </c>
      <c r="AA522" s="73" t="inlineStr"/>
    </row>
    <row r="523">
      <c r="A523" s="73" t="n">
        <v>522</v>
      </c>
      <c r="B523" s="73" t="inlineStr">
        <is>
          <t>316125313768</t>
        </is>
      </c>
      <c r="C523" s="73" t="inlineStr"/>
      <c r="D523" s="73" t="inlineStr">
        <is>
          <t>TAP Snowflake Data Architect Consultant Solutions</t>
        </is>
      </c>
      <c r="E523" s="73" t="inlineStr">
        <is>
          <t>Los Angeles County Metropolitan Transportation Authority (LACMTA)</t>
        </is>
      </c>
      <c r="F523" s="73" t="inlineStr">
        <is>
          <t>California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2026-03-13</t>
        </is>
      </c>
      <c r="K523" s="73" t="inlineStr">
        <is>
          <t>2026-03-13</t>
        </is>
      </c>
      <c r="L523" s="75" t="n">
        <v>83200</v>
      </c>
      <c r="M523" s="73" t="inlineStr">
        <is>
          <t>Consulting</t>
        </is>
      </c>
      <c r="N523" s="73" t="inlineStr"/>
      <c r="O523" s="73" t="inlineStr">
        <is>
          <t>Jyothsna Nanda kishore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2026-03-12</t>
        </is>
      </c>
      <c r="Z523" s="73" t="inlineStr">
        <is>
          <t>https://app-na2.hubspot.com/contacts/243046792/record/0-3/316125313768</t>
        </is>
      </c>
      <c r="AA523" s="73" t="inlineStr"/>
    </row>
    <row r="524">
      <c r="A524" s="73" t="n">
        <v>523</v>
      </c>
      <c r="B524" s="73" t="inlineStr">
        <is>
          <t>315877283563</t>
        </is>
      </c>
      <c r="C524" s="73" t="inlineStr">
        <is>
          <t xml:space="preserve">#26-018-TL </t>
        </is>
      </c>
      <c r="D524" s="73" t="inlineStr">
        <is>
          <t xml:space="preserve"> IT Consultant &amp; Project Management</t>
        </is>
      </c>
      <c r="E524" s="73" t="inlineStr">
        <is>
          <t>Kane County</t>
        </is>
      </c>
      <c r="F524" s="73" t="inlineStr">
        <is>
          <t>Illinois</t>
        </is>
      </c>
      <c r="G524" s="73" t="inlineStr">
        <is>
          <t>Submitted</t>
        </is>
      </c>
      <c r="H524" s="73" t="inlineStr"/>
      <c r="I524" s="73" t="inlineStr"/>
      <c r="J524" s="73" t="inlineStr">
        <is>
          <t>2026-03-13</t>
        </is>
      </c>
      <c r="K524" s="73" t="inlineStr">
        <is>
          <t>2026-03-13</t>
        </is>
      </c>
      <c r="L524" s="73" t="n"/>
      <c r="M524" s="73" t="inlineStr">
        <is>
          <t>Consulting</t>
        </is>
      </c>
      <c r="N524" s="73" t="inlineStr"/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2026-03-11</t>
        </is>
      </c>
      <c r="Z524" s="73" t="inlineStr">
        <is>
          <t>https://app-na2.hubspot.com/contacts/243046792/record/0-3/315877283563</t>
        </is>
      </c>
      <c r="AA524" s="73" t="inlineStr"/>
    </row>
    <row r="525">
      <c r="A525" s="73" t="n">
        <v>524</v>
      </c>
      <c r="B525" s="73" t="inlineStr">
        <is>
          <t>209420964598</t>
        </is>
      </c>
      <c r="C525" s="73" t="inlineStr"/>
      <c r="D525" s="73" t="inlineStr">
        <is>
          <t>FY26 Software Development Services</t>
        </is>
      </c>
      <c r="E525" s="73" t="inlineStr">
        <is>
          <t>Ohio State University Wexner Medical Center</t>
        </is>
      </c>
      <c r="F525" s="73" t="inlineStr">
        <is>
          <t>Ohio</t>
        </is>
      </c>
      <c r="G525" s="73" t="inlineStr">
        <is>
          <t>Closed Lost</t>
        </is>
      </c>
      <c r="H525" s="73" t="inlineStr">
        <is>
          <t>Yes</t>
        </is>
      </c>
      <c r="I525" s="73" t="inlineStr">
        <is>
          <t>Interview</t>
        </is>
      </c>
      <c r="J525" s="73" t="inlineStr">
        <is>
          <t>2026-03-13</t>
        </is>
      </c>
      <c r="K525" s="73" t="inlineStr">
        <is>
          <t>2025-11-24</t>
        </is>
      </c>
      <c r="L525" s="75" t="n">
        <v>190900</v>
      </c>
      <c r="M525" s="73" t="inlineStr">
        <is>
          <t>Modernization / Migration</t>
        </is>
      </c>
      <c r="N525" s="73" t="inlineStr">
        <is>
          <t>Portal</t>
        </is>
      </c>
      <c r="O525" s="73" t="inlineStr">
        <is>
          <t>Ashutosh Chauhan</t>
        </is>
      </c>
      <c r="P525" s="73" t="inlineStr">
        <is>
          <t>Interview Scheduled</t>
        </is>
      </c>
      <c r="Q525" s="73" t="inlineStr">
        <is>
          <t>2026-01-14</t>
        </is>
      </c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2025-11-03</t>
        </is>
      </c>
      <c r="Z525" s="73" t="inlineStr">
        <is>
          <t>https://app-na2.hubspot.com/contacts/243046792/record/0-3/209420964598</t>
        </is>
      </c>
      <c r="AA525" s="73" t="inlineStr"/>
    </row>
    <row r="526">
      <c r="A526" s="73" t="n">
        <v>525</v>
      </c>
      <c r="B526" s="73" t="inlineStr">
        <is>
          <t>305430641393</t>
        </is>
      </c>
      <c r="C526" s="73" t="inlineStr"/>
      <c r="D526" s="73" t="inlineStr">
        <is>
          <t>OFF - Information Technology Managed Services</t>
        </is>
      </c>
      <c r="E526" s="73" t="inlineStr">
        <is>
          <t>County of Montcalm</t>
        </is>
      </c>
      <c r="F526" s="73" t="inlineStr">
        <is>
          <t>Michigan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2026-03-16</t>
        </is>
      </c>
      <c r="K526" s="73" t="inlineStr"/>
      <c r="L526" s="73" t="n"/>
      <c r="M526" s="73" t="inlineStr">
        <is>
          <t>Managed Services (MSP)</t>
        </is>
      </c>
      <c r="N526" s="73" t="inlineStr"/>
      <c r="O526" s="73" t="inlineStr">
        <is>
          <t>Ashutosh Chauhan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2026-02-24</t>
        </is>
      </c>
      <c r="Z526" s="73" t="inlineStr">
        <is>
          <t>https://app-na2.hubspot.com/contacts/243046792/record/0-3/305430641393</t>
        </is>
      </c>
      <c r="AA526" s="73" t="inlineStr"/>
    </row>
    <row r="527">
      <c r="A527" s="73" t="n">
        <v>526</v>
      </c>
      <c r="B527" s="73" t="inlineStr">
        <is>
          <t>293345046222</t>
        </is>
      </c>
      <c r="C527" s="73" t="inlineStr"/>
      <c r="D527" s="73" t="inlineStr">
        <is>
          <t>Information Technology Services and Website Support</t>
        </is>
      </c>
      <c r="E527" s="73" t="inlineStr">
        <is>
          <t>Rockville Economic Development, Inc. (REDI)</t>
        </is>
      </c>
      <c r="F527" s="73" t="inlineStr">
        <is>
          <t>Maryland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2026-03-16</t>
        </is>
      </c>
      <c r="K527" s="73" t="inlineStr">
        <is>
          <t>2026-03-16</t>
        </is>
      </c>
      <c r="L527" s="73" t="n"/>
      <c r="M527" s="73" t="inlineStr">
        <is>
          <t>Managed Services (MSP)</t>
        </is>
      </c>
      <c r="N527" s="73" t="inlineStr">
        <is>
          <t>Email</t>
        </is>
      </c>
      <c r="O527" s="73" t="inlineStr">
        <is>
          <t>Jyothsna Nanda kishore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2026-02-11</t>
        </is>
      </c>
      <c r="Z527" s="73" t="inlineStr">
        <is>
          <t>https://app-na2.hubspot.com/contacts/243046792/record/0-3/293345046222</t>
        </is>
      </c>
      <c r="AA527" s="73" t="inlineStr"/>
    </row>
    <row r="528">
      <c r="A528" s="73" t="n">
        <v>527</v>
      </c>
      <c r="B528" s="73" t="inlineStr">
        <is>
          <t>316332572396</t>
        </is>
      </c>
      <c r="C528" s="73" t="inlineStr">
        <is>
          <t>#46987</t>
        </is>
      </c>
      <c r="D528" s="73" t="inlineStr">
        <is>
          <t>New Contingency Staffing Request - Health Data Services Strategy and Data Architect Manager</t>
        </is>
      </c>
      <c r="E528" s="73" t="inlineStr">
        <is>
          <t>County of San Mateo</t>
        </is>
      </c>
      <c r="F528" s="73" t="inlineStr">
        <is>
          <t>California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2026-03-16</t>
        </is>
      </c>
      <c r="K528" s="73" t="inlineStr">
        <is>
          <t>2026-03-16</t>
        </is>
      </c>
      <c r="L528" s="73" t="n"/>
      <c r="M528" s="73" t="inlineStr">
        <is>
          <t>Staff Augmentation</t>
        </is>
      </c>
      <c r="N528" s="73" t="inlineStr"/>
      <c r="O528" s="73" t="inlineStr">
        <is>
          <t>Ashutosh Chauhan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2026-03-13</t>
        </is>
      </c>
      <c r="Z528" s="73" t="inlineStr">
        <is>
          <t>https://app-na2.hubspot.com/contacts/243046792/record/0-3/316332572396</t>
        </is>
      </c>
      <c r="AA528" s="73" t="inlineStr"/>
    </row>
    <row r="529">
      <c r="A529" s="73" t="n">
        <v>528</v>
      </c>
      <c r="B529" s="73" t="inlineStr">
        <is>
          <t>259780977371</t>
        </is>
      </c>
      <c r="C529" s="73" t="inlineStr">
        <is>
          <t>P009-26</t>
        </is>
      </c>
      <c r="D529" s="73" t="inlineStr">
        <is>
          <t>Oracle Fusion ERP Implementation Services</t>
        </is>
      </c>
      <c r="E529" s="73" t="inlineStr">
        <is>
          <t>Omaha Public Schools</t>
        </is>
      </c>
      <c r="F529" s="73" t="inlineStr">
        <is>
          <t>Nebraska</t>
        </is>
      </c>
      <c r="G529" s="73" t="inlineStr">
        <is>
          <t>Closed Lost</t>
        </is>
      </c>
      <c r="H529" s="73" t="inlineStr"/>
      <c r="I529" s="73" t="inlineStr"/>
      <c r="J529" s="73" t="inlineStr">
        <is>
          <t>2026-03-16</t>
        </is>
      </c>
      <c r="K529" s="73" t="inlineStr">
        <is>
          <t>2026-02-20</t>
        </is>
      </c>
      <c r="L529" s="75" t="n">
        <v>5000000</v>
      </c>
      <c r="M529" s="73" t="inlineStr">
        <is>
          <t>Platform Implementation (ERP, CRMs)</t>
        </is>
      </c>
      <c r="N529" s="73" t="inlineStr"/>
      <c r="O529" s="73" t="inlineStr">
        <is>
          <t>Ashutosh Chauhan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2026-01-14</t>
        </is>
      </c>
      <c r="Z529" s="73" t="inlineStr">
        <is>
          <t>https://app-na2.hubspot.com/contacts/243046792/record/0-3/259780977371</t>
        </is>
      </c>
      <c r="AA529" s="73" t="inlineStr"/>
    </row>
    <row r="530">
      <c r="A530" s="73" t="n">
        <v>529</v>
      </c>
      <c r="B530" s="73" t="inlineStr">
        <is>
          <t>182109882068</t>
        </is>
      </c>
      <c r="C530" s="73" t="inlineStr"/>
      <c r="D530" s="73" t="inlineStr">
        <is>
          <t>Professional Consultant Services (Rebid)</t>
        </is>
      </c>
      <c r="E530" s="73" t="inlineStr">
        <is>
          <t>Greene County</t>
        </is>
      </c>
      <c r="F530" s="73" t="inlineStr">
        <is>
          <t>New York</t>
        </is>
      </c>
      <c r="G530" s="73" t="inlineStr">
        <is>
          <t>Closed Won</t>
        </is>
      </c>
      <c r="H530" s="73" t="inlineStr"/>
      <c r="I530" s="73" t="inlineStr"/>
      <c r="J530" s="73" t="inlineStr">
        <is>
          <t>2026-03-16</t>
        </is>
      </c>
      <c r="K530" s="73" t="inlineStr">
        <is>
          <t>2025-11-07</t>
        </is>
      </c>
      <c r="L530" s="73" t="n"/>
      <c r="M530" s="73" t="inlineStr">
        <is>
          <t>Staff Augmentation</t>
        </is>
      </c>
      <c r="N530" s="73" t="inlineStr"/>
      <c r="O530" s="73" t="inlineStr">
        <is>
          <t>Abhishek Zalani</t>
        </is>
      </c>
      <c r="P530" s="73" t="inlineStr"/>
      <c r="Q530" s="73" t="inlineStr"/>
      <c r="R530" s="73" t="inlineStr"/>
      <c r="S530" s="73" t="inlineStr">
        <is>
          <t>2025-12-09</t>
        </is>
      </c>
      <c r="T530" s="73" t="inlineStr"/>
      <c r="U530" s="73" t="inlineStr">
        <is>
          <t>2026-02-26</t>
        </is>
      </c>
      <c r="V530" s="73" t="inlineStr"/>
      <c r="W530" s="73" t="inlineStr"/>
      <c r="X530" s="73" t="inlineStr"/>
      <c r="Y530" s="73" t="inlineStr">
        <is>
          <t>2025-10-09</t>
        </is>
      </c>
      <c r="Z530" s="73" t="inlineStr">
        <is>
          <t>https://app-na2.hubspot.com/contacts/243046792/record/0-3/182109882068</t>
        </is>
      </c>
      <c r="AA530" s="73" t="inlineStr">
        <is>
          <t>No</t>
        </is>
      </c>
    </row>
    <row r="531">
      <c r="A531" s="73" t="n">
        <v>530</v>
      </c>
      <c r="B531" s="73" t="inlineStr">
        <is>
          <t>290824554187</t>
        </is>
      </c>
      <c r="C531" s="73" t="inlineStr"/>
      <c r="D531" s="73" t="inlineStr">
        <is>
          <t>Cybersecurity Policy and Protocol Consultant Services</t>
        </is>
      </c>
      <c r="E531" s="73" t="inlineStr">
        <is>
          <t>Navojo Housing Authority</t>
        </is>
      </c>
      <c r="F531" s="73" t="inlineStr">
        <is>
          <t>Arizona</t>
        </is>
      </c>
      <c r="G531" s="73" t="inlineStr">
        <is>
          <t>Closed Won</t>
        </is>
      </c>
      <c r="H531" s="73" t="inlineStr"/>
      <c r="I531" s="73" t="inlineStr"/>
      <c r="J531" s="73" t="inlineStr">
        <is>
          <t>2026-03-16</t>
        </is>
      </c>
      <c r="K531" s="73" t="inlineStr">
        <is>
          <t>2026-02-27</t>
        </is>
      </c>
      <c r="L531" s="73" t="n"/>
      <c r="M531" s="73" t="inlineStr">
        <is>
          <t>Consulting</t>
        </is>
      </c>
      <c r="N531" s="73" t="inlineStr"/>
      <c r="O531" s="73" t="inlineStr">
        <is>
          <t>Savya Atrey</t>
        </is>
      </c>
      <c r="P531" s="73" t="inlineStr"/>
      <c r="Q531" s="73" t="inlineStr"/>
      <c r="R531" s="73" t="inlineStr"/>
      <c r="S531" s="73" t="inlineStr">
        <is>
          <t>2026-03-30</t>
        </is>
      </c>
      <c r="T531" s="73" t="inlineStr"/>
      <c r="U531" s="73" t="inlineStr">
        <is>
          <t>2026-03-16</t>
        </is>
      </c>
      <c r="V531" s="73" t="inlineStr">
        <is>
          <t>Awarded</t>
        </is>
      </c>
      <c r="W531" s="73" t="inlineStr"/>
      <c r="X531" s="73" t="inlineStr"/>
      <c r="Y531" s="73" t="inlineStr">
        <is>
          <t>2026-02-09</t>
        </is>
      </c>
      <c r="Z531" s="73" t="inlineStr">
        <is>
          <t>https://app-na2.hubspot.com/contacts/243046792/record/0-3/290824554187</t>
        </is>
      </c>
      <c r="AA531" s="73" t="inlineStr">
        <is>
          <t>Yes</t>
        </is>
      </c>
    </row>
    <row r="532">
      <c r="A532" s="73" t="n">
        <v>531</v>
      </c>
      <c r="B532" s="73" t="inlineStr">
        <is>
          <t>277951244006</t>
        </is>
      </c>
      <c r="C532" s="73" t="inlineStr"/>
      <c r="D532" s="73" t="inlineStr">
        <is>
          <t>offline + online IT Disaster Response Plan</t>
        </is>
      </c>
      <c r="E532" s="73" t="inlineStr">
        <is>
          <t>City of Kenai</t>
        </is>
      </c>
      <c r="F532" s="73" t="inlineStr">
        <is>
          <t>Alaska</t>
        </is>
      </c>
      <c r="G532" s="73" t="inlineStr">
        <is>
          <t>Closed Won</t>
        </is>
      </c>
      <c r="H532" s="73" t="inlineStr"/>
      <c r="I532" s="73" t="inlineStr"/>
      <c r="J532" s="73" t="inlineStr">
        <is>
          <t>2026-03-16</t>
        </is>
      </c>
      <c r="K532" s="73" t="inlineStr">
        <is>
          <t>2026-02-12</t>
        </is>
      </c>
      <c r="L532" s="73" t="n"/>
      <c r="M532" s="73" t="inlineStr">
        <is>
          <t>Consulting</t>
        </is>
      </c>
      <c r="N532" s="73" t="inlineStr"/>
      <c r="O532" s="73" t="inlineStr">
        <is>
          <t>Abhishek Zalani</t>
        </is>
      </c>
      <c r="P532" s="73" t="inlineStr"/>
      <c r="Q532" s="73" t="inlineStr"/>
      <c r="R532" s="73" t="inlineStr"/>
      <c r="S532" s="73" t="inlineStr">
        <is>
          <t>2026-02-24</t>
        </is>
      </c>
      <c r="T532" s="73" t="inlineStr"/>
      <c r="U532" s="73" t="inlineStr">
        <is>
          <t>2026-03-19</t>
        </is>
      </c>
      <c r="V532" s="73" t="inlineStr">
        <is>
          <t>Awarded</t>
        </is>
      </c>
      <c r="W532" s="73" t="inlineStr"/>
      <c r="X532" s="73" t="inlineStr"/>
      <c r="Y532" s="73" t="inlineStr">
        <is>
          <t>2026-01-29</t>
        </is>
      </c>
      <c r="Z532" s="73" t="inlineStr">
        <is>
          <t>https://app-na2.hubspot.com/contacts/243046792/record/0-3/277951244006</t>
        </is>
      </c>
      <c r="AA532" s="73" t="inlineStr">
        <is>
          <t>Yes</t>
        </is>
      </c>
    </row>
    <row r="533">
      <c r="A533" s="73" t="n">
        <v>532</v>
      </c>
      <c r="B533" s="73" t="inlineStr">
        <is>
          <t>304628103894</t>
        </is>
      </c>
      <c r="C533" s="73" t="inlineStr"/>
      <c r="D533" s="73" t="inlineStr">
        <is>
          <t>GEOGRAPHIC INFORMATION SYSTEM (GIS) Services</t>
        </is>
      </c>
      <c r="E533" s="73" t="inlineStr">
        <is>
          <t>City of La Cañada Flintridge</t>
        </is>
      </c>
      <c r="F533" s="73" t="inlineStr"/>
      <c r="G533" s="73" t="inlineStr">
        <is>
          <t>Submitted</t>
        </is>
      </c>
      <c r="H533" s="73" t="inlineStr"/>
      <c r="I533" s="73" t="inlineStr"/>
      <c r="J533" s="73" t="inlineStr">
        <is>
          <t>2026-03-17</t>
        </is>
      </c>
      <c r="K533" s="73" t="inlineStr">
        <is>
          <t>2026-03-17</t>
        </is>
      </c>
      <c r="L533" s="73" t="n"/>
      <c r="M533" s="73" t="inlineStr">
        <is>
          <t>Consulting</t>
        </is>
      </c>
      <c r="N533" s="73" t="inlineStr">
        <is>
          <t>Portal</t>
        </is>
      </c>
      <c r="O533" s="73" t="inlineStr">
        <is>
          <t>Savya Atrey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2026-02-24</t>
        </is>
      </c>
      <c r="Z533" s="73" t="inlineStr">
        <is>
          <t>https://app-na2.hubspot.com/contacts/243046792/record/0-3/304628103894</t>
        </is>
      </c>
      <c r="AA533" s="73" t="inlineStr"/>
    </row>
    <row r="534">
      <c r="A534" s="73" t="n">
        <v>533</v>
      </c>
      <c r="B534" s="73" t="inlineStr">
        <is>
          <t>277985694416</t>
        </is>
      </c>
      <c r="C534" s="73" t="inlineStr"/>
      <c r="D534" s="73" t="inlineStr">
        <is>
          <t>Master Agreements for Information Technology Consulting Managed Services</t>
        </is>
      </c>
      <c r="E534" s="73" t="inlineStr">
        <is>
          <t>Judicial Branch California</t>
        </is>
      </c>
      <c r="F534" s="73" t="inlineStr">
        <is>
          <t>California</t>
        </is>
      </c>
      <c r="G534" s="73" t="inlineStr">
        <is>
          <t>Submitted</t>
        </is>
      </c>
      <c r="H534" s="73" t="inlineStr"/>
      <c r="I534" s="73" t="inlineStr"/>
      <c r="J534" s="73" t="inlineStr">
        <is>
          <t>2026-03-17</t>
        </is>
      </c>
      <c r="K534" s="73" t="inlineStr">
        <is>
          <t>2026-03-17</t>
        </is>
      </c>
      <c r="L534" s="73" t="n"/>
      <c r="M534" s="73" t="inlineStr">
        <is>
          <t>Staff Augmentation;Consulting</t>
        </is>
      </c>
      <c r="N534" s="73" t="inlineStr"/>
      <c r="O534" s="73" t="inlineStr">
        <is>
          <t>Abhishek Zalani</t>
        </is>
      </c>
      <c r="P534" s="73" t="inlineStr"/>
      <c r="Q534" s="73" t="inlineStr"/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2026-01-29</t>
        </is>
      </c>
      <c r="Z534" s="73" t="inlineStr">
        <is>
          <t>https://app-na2.hubspot.com/contacts/243046792/record/0-3/277985694416</t>
        </is>
      </c>
      <c r="AA534" s="73" t="inlineStr"/>
    </row>
    <row r="535">
      <c r="A535" s="73" t="n">
        <v>534</v>
      </c>
      <c r="B535" s="73" t="inlineStr">
        <is>
          <t>316126067441</t>
        </is>
      </c>
      <c r="C535" s="73" t="inlineStr">
        <is>
          <t>RFQ 26-055</t>
        </is>
      </c>
      <c r="D535" s="73" t="inlineStr">
        <is>
          <t>Micrososoft 365 Renewal</t>
        </is>
      </c>
      <c r="E535" s="73" t="inlineStr">
        <is>
          <t>Foothill Transit</t>
        </is>
      </c>
      <c r="F535" s="73" t="inlineStr">
        <is>
          <t>California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2026-03-17</t>
        </is>
      </c>
      <c r="K535" s="73" t="inlineStr">
        <is>
          <t>2026-03-17</t>
        </is>
      </c>
      <c r="L535" s="75" t="n">
        <v>47991.83</v>
      </c>
      <c r="M535" s="73" t="inlineStr">
        <is>
          <t>Reseller</t>
        </is>
      </c>
      <c r="N535" s="73" t="inlineStr">
        <is>
          <t>Portal</t>
        </is>
      </c>
      <c r="O535" s="73" t="inlineStr">
        <is>
          <t>Savya Atrey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2026-03-13</t>
        </is>
      </c>
      <c r="Z535" s="73" t="inlineStr">
        <is>
          <t>https://app-na2.hubspot.com/contacts/243046792/record/0-3/316126067441</t>
        </is>
      </c>
      <c r="AA535" s="73" t="inlineStr"/>
    </row>
    <row r="536">
      <c r="A536" s="73" t="n">
        <v>535</v>
      </c>
      <c r="B536" s="73" t="inlineStr">
        <is>
          <t>314232359672</t>
        </is>
      </c>
      <c r="C536" s="73" t="inlineStr"/>
      <c r="D536" s="73" t="inlineStr">
        <is>
          <t>Network Penetration Testing &amp; Hybrid Identity Risk Validation Assessment - 2026</t>
        </is>
      </c>
      <c r="E536" s="73" t="inlineStr">
        <is>
          <t>Fountain-Fort Carson School District 8</t>
        </is>
      </c>
      <c r="F536" s="73" t="inlineStr">
        <is>
          <t>Colorado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2026-03-17</t>
        </is>
      </c>
      <c r="K536" s="73" t="inlineStr">
        <is>
          <t>2026-03-17</t>
        </is>
      </c>
      <c r="L536" s="73" t="n"/>
      <c r="M536" s="73" t="inlineStr">
        <is>
          <t>Consulting</t>
        </is>
      </c>
      <c r="N536" s="73" t="inlineStr"/>
      <c r="O536" s="73" t="inlineStr">
        <is>
          <t>Abhishek Zalani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2026-03-09</t>
        </is>
      </c>
      <c r="Z536" s="73" t="inlineStr">
        <is>
          <t>https://app-na2.hubspot.com/contacts/243046792/record/0-3/314232359672</t>
        </is>
      </c>
      <c r="AA536" s="73" t="inlineStr"/>
    </row>
    <row r="537">
      <c r="A537" s="73" t="n">
        <v>536</v>
      </c>
      <c r="B537" s="73" t="inlineStr">
        <is>
          <t>303032996549</t>
        </is>
      </c>
      <c r="C537" s="73" t="inlineStr"/>
      <c r="D537" s="73" t="inlineStr">
        <is>
          <t>Information Technology Services</t>
        </is>
      </c>
      <c r="E537" s="73" t="inlineStr">
        <is>
          <t>Standing Rock Housing Authority (SRHA)</t>
        </is>
      </c>
      <c r="F537" s="73" t="inlineStr">
        <is>
          <t>North Dakota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2026-03-17</t>
        </is>
      </c>
      <c r="K537" s="73" t="inlineStr">
        <is>
          <t>2026-03-11</t>
        </is>
      </c>
      <c r="L537" s="75" t="n">
        <v>66888</v>
      </c>
      <c r="M537" s="73" t="inlineStr">
        <is>
          <t>Managed Services (MSP)</t>
        </is>
      </c>
      <c r="N537" s="73" t="inlineStr">
        <is>
          <t>Offline</t>
        </is>
      </c>
      <c r="O537" s="73" t="inlineStr">
        <is>
          <t>Jyothsna Nanda kishore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2026-02-23</t>
        </is>
      </c>
      <c r="Z537" s="73" t="inlineStr">
        <is>
          <t>https://app-na2.hubspot.com/contacts/243046792/record/0-3/303032996549</t>
        </is>
      </c>
      <c r="AA537" s="73" t="inlineStr"/>
    </row>
    <row r="538">
      <c r="A538" s="73" t="n">
        <v>537</v>
      </c>
      <c r="B538" s="73" t="inlineStr">
        <is>
          <t>306430469849</t>
        </is>
      </c>
      <c r="C538" s="73" t="inlineStr"/>
      <c r="D538" s="73" t="inlineStr">
        <is>
          <t>Cybersecurity Consulting and Staff Augmentation Services</t>
        </is>
      </c>
      <c r="E538" s="73" t="inlineStr">
        <is>
          <t>Metropolitan Washington Council of Governments</t>
        </is>
      </c>
      <c r="F538" s="73" t="inlineStr">
        <is>
          <t>Maryland</t>
        </is>
      </c>
      <c r="G538" s="73" t="inlineStr">
        <is>
          <t>Submitted</t>
        </is>
      </c>
      <c r="H538" s="73" t="inlineStr"/>
      <c r="I538" s="73" t="inlineStr"/>
      <c r="J538" s="73" t="inlineStr">
        <is>
          <t>2026-03-18</t>
        </is>
      </c>
      <c r="K538" s="73" t="inlineStr">
        <is>
          <t>2026-03-18</t>
        </is>
      </c>
      <c r="L538" s="73" t="n"/>
      <c r="M538" s="73" t="inlineStr">
        <is>
          <t>Consulting</t>
        </is>
      </c>
      <c r="N538" s="73" t="inlineStr"/>
      <c r="O538" s="73" t="inlineStr">
        <is>
          <t>Savya Atrey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2026-02-26</t>
        </is>
      </c>
      <c r="Z538" s="73" t="inlineStr">
        <is>
          <t>https://app-na2.hubspot.com/contacts/243046792/record/0-3/306430469849</t>
        </is>
      </c>
      <c r="AA538" s="73" t="inlineStr"/>
    </row>
    <row r="539">
      <c r="A539" s="73" t="n">
        <v>538</v>
      </c>
      <c r="B539" s="73" t="inlineStr">
        <is>
          <t>303031445180</t>
        </is>
      </c>
      <c r="C539" s="73" t="inlineStr"/>
      <c r="D539" s="73" t="inlineStr">
        <is>
          <t>Information Technology Service Desk Managed Services</t>
        </is>
      </c>
      <c r="E539" s="73" t="inlineStr">
        <is>
          <t>Scott County</t>
        </is>
      </c>
      <c r="F539" s="73" t="inlineStr">
        <is>
          <t>Minnesota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2026-03-18</t>
        </is>
      </c>
      <c r="K539" s="73" t="inlineStr">
        <is>
          <t>2026-03-18</t>
        </is>
      </c>
      <c r="L539" s="73" t="n"/>
      <c r="M539" s="73" t="inlineStr">
        <is>
          <t>Managed Services (MSP)</t>
        </is>
      </c>
      <c r="N539" s="73" t="inlineStr">
        <is>
          <t>Offline</t>
        </is>
      </c>
      <c r="O539" s="73" t="inlineStr">
        <is>
          <t>Ashutosh Chauhan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2026-02-23</t>
        </is>
      </c>
      <c r="Z539" s="73" t="inlineStr">
        <is>
          <t>https://app-na2.hubspot.com/contacts/243046792/record/0-3/303031445180</t>
        </is>
      </c>
      <c r="AA539" s="73" t="inlineStr"/>
    </row>
    <row r="540">
      <c r="A540" s="73" t="n">
        <v>539</v>
      </c>
      <c r="B540" s="73" t="inlineStr">
        <is>
          <t>291136346822</t>
        </is>
      </c>
      <c r="C540" s="73" t="inlineStr"/>
      <c r="D540" s="73" t="inlineStr">
        <is>
          <t>STC Microsoft Support Services</t>
        </is>
      </c>
      <c r="E540" s="73" t="inlineStr">
        <is>
          <t>State of South Carolina</t>
        </is>
      </c>
      <c r="F540" s="73" t="inlineStr">
        <is>
          <t>South Carolina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2026-03-18</t>
        </is>
      </c>
      <c r="K540" s="73" t="inlineStr">
        <is>
          <t>2026-03-18</t>
        </is>
      </c>
      <c r="L540" s="73" t="n"/>
      <c r="M540" s="73" t="inlineStr">
        <is>
          <t>Support &amp; Maintenance</t>
        </is>
      </c>
      <c r="N540" s="73" t="inlineStr">
        <is>
          <t>Portal</t>
        </is>
      </c>
      <c r="O540" s="73" t="inlineStr">
        <is>
          <t>Jyothsna Nanda kishore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2026-02-09</t>
        </is>
      </c>
      <c r="Z540" s="73" t="inlineStr">
        <is>
          <t>https://app-na2.hubspot.com/contacts/243046792/record/0-3/291136346822</t>
        </is>
      </c>
      <c r="AA540" s="73" t="inlineStr"/>
    </row>
    <row r="541">
      <c r="A541" s="73" t="n">
        <v>540</v>
      </c>
      <c r="B541" s="73" t="inlineStr">
        <is>
          <t>300012593891</t>
        </is>
      </c>
      <c r="C541" s="73" t="inlineStr">
        <is>
          <t>RFP 2026-01</t>
        </is>
      </c>
      <c r="D541" s="73" t="inlineStr">
        <is>
          <t>OFF - IT Services</t>
        </is>
      </c>
      <c r="E541" s="73" t="inlineStr">
        <is>
          <t>Springfield Housing Authority</t>
        </is>
      </c>
      <c r="F541" s="73" t="inlineStr">
        <is>
          <t>Illinois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2026-03-18</t>
        </is>
      </c>
      <c r="K541" s="73" t="inlineStr">
        <is>
          <t>2026-03-19</t>
        </is>
      </c>
      <c r="L541" s="73" t="n"/>
      <c r="M541" s="73" t="inlineStr">
        <is>
          <t>Managed Services (MSP)</t>
        </is>
      </c>
      <c r="N541" s="73" t="inlineStr"/>
      <c r="O541" s="73" t="inlineStr">
        <is>
          <t>Ashutosh Chauhan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2026-02-18</t>
        </is>
      </c>
      <c r="Z541" s="73" t="inlineStr">
        <is>
          <t>https://app-na2.hubspot.com/contacts/243046792/record/0-3/300012593891</t>
        </is>
      </c>
      <c r="AA541" s="73" t="inlineStr"/>
    </row>
    <row r="542">
      <c r="A542" s="73" t="n">
        <v>541</v>
      </c>
      <c r="B542" s="73" t="inlineStr">
        <is>
          <t>316972713685</t>
        </is>
      </c>
      <c r="C542" s="73" t="inlineStr"/>
      <c r="D542" s="73" t="inlineStr">
        <is>
          <t>PCI Penetration Testing</t>
        </is>
      </c>
      <c r="E542" s="73" t="inlineStr">
        <is>
          <t>Gwinnett County</t>
        </is>
      </c>
      <c r="F542" s="73" t="inlineStr">
        <is>
          <t>Georgia</t>
        </is>
      </c>
      <c r="G542" s="73" t="inlineStr">
        <is>
          <t>Submitted</t>
        </is>
      </c>
      <c r="H542" s="73" t="inlineStr"/>
      <c r="I542" s="73" t="inlineStr"/>
      <c r="J542" s="73" t="inlineStr">
        <is>
          <t>2026-03-19</t>
        </is>
      </c>
      <c r="K542" s="73" t="inlineStr">
        <is>
          <t>2026-03-19</t>
        </is>
      </c>
      <c r="L542" s="75" t="n">
        <v>47860</v>
      </c>
      <c r="M542" s="73" t="inlineStr">
        <is>
          <t>Audits and Assessment</t>
        </is>
      </c>
      <c r="N542" s="73" t="inlineStr">
        <is>
          <t>Email</t>
        </is>
      </c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2026-03-19</t>
        </is>
      </c>
      <c r="Z542" s="73" t="inlineStr">
        <is>
          <t>https://app-na2.hubspot.com/contacts/243046792/record/0-3/316972713685</t>
        </is>
      </c>
      <c r="AA542" s="73" t="inlineStr"/>
    </row>
    <row r="543">
      <c r="A543" s="73" t="n">
        <v>542</v>
      </c>
      <c r="B543" s="73" t="inlineStr">
        <is>
          <t>239542774464</t>
        </is>
      </c>
      <c r="C543" s="73" t="inlineStr"/>
      <c r="D543" s="73" t="inlineStr">
        <is>
          <t>Data Analysis and Visualization System</t>
        </is>
      </c>
      <c r="E543" s="73" t="inlineStr">
        <is>
          <t>American College of Obstetricians and Gynecologists, Washington</t>
        </is>
      </c>
      <c r="F543" s="73" t="inlineStr">
        <is>
          <t>DC</t>
        </is>
      </c>
      <c r="G543" s="73" t="inlineStr">
        <is>
          <t>Closed Lost</t>
        </is>
      </c>
      <c r="H543" s="73" t="inlineStr"/>
      <c r="I543" s="73" t="inlineStr"/>
      <c r="J543" s="73" t="inlineStr">
        <is>
          <t>2026-03-19</t>
        </is>
      </c>
      <c r="K543" s="73" t="inlineStr">
        <is>
          <t>2026-01-12</t>
        </is>
      </c>
      <c r="L543" s="73" t="n"/>
      <c r="M543" s="73" t="inlineStr"/>
      <c r="N543" s="73" t="inlineStr">
        <is>
          <t>Email</t>
        </is>
      </c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2025-12-18</t>
        </is>
      </c>
      <c r="Z543" s="73" t="inlineStr">
        <is>
          <t>https://app-na2.hubspot.com/contacts/243046792/record/0-3/239542774464</t>
        </is>
      </c>
      <c r="AA543" s="73" t="inlineStr"/>
    </row>
    <row r="544">
      <c r="A544" s="73" t="n">
        <v>543</v>
      </c>
      <c r="B544" s="73" t="inlineStr">
        <is>
          <t>292900217566</t>
        </is>
      </c>
      <c r="C544" s="73" t="inlineStr"/>
      <c r="D544" s="73" t="inlineStr">
        <is>
          <t>Customer Relationship Management (CRM) Solution and Implementation Services</t>
        </is>
      </c>
      <c r="E544" s="73" t="inlineStr">
        <is>
          <t>City of Boulder</t>
        </is>
      </c>
      <c r="F544" s="73" t="inlineStr">
        <is>
          <t>Colorado</t>
        </is>
      </c>
      <c r="G544" s="73" t="inlineStr">
        <is>
          <t>Submitted</t>
        </is>
      </c>
      <c r="H544" s="73" t="inlineStr"/>
      <c r="I544" s="73" t="inlineStr"/>
      <c r="J544" s="73" t="inlineStr">
        <is>
          <t>2026-03-20</t>
        </is>
      </c>
      <c r="K544" s="73" t="inlineStr">
        <is>
          <t>2026-03-20</t>
        </is>
      </c>
      <c r="L544" s="73" t="n"/>
      <c r="M544" s="73" t="inlineStr">
        <is>
          <t>Platform Implementation (ERP, CRMs)</t>
        </is>
      </c>
      <c r="N544" s="73" t="inlineStr">
        <is>
          <t>Portal</t>
        </is>
      </c>
      <c r="O544" s="73" t="inlineStr">
        <is>
          <t>Ashutosh Chauhan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2026-02-10</t>
        </is>
      </c>
      <c r="Z544" s="73" t="inlineStr">
        <is>
          <t>https://app-na2.hubspot.com/contacts/243046792/record/0-3/292900217566</t>
        </is>
      </c>
      <c r="AA544" s="73" t="inlineStr"/>
    </row>
    <row r="545">
      <c r="A545" s="73" t="n">
        <v>544</v>
      </c>
      <c r="B545" s="73" t="inlineStr">
        <is>
          <t>304627375806</t>
        </is>
      </c>
      <c r="C545" s="73" t="inlineStr"/>
      <c r="D545" s="73" t="inlineStr">
        <is>
          <t>OFF-Managed Information Technology Services</t>
        </is>
      </c>
      <c r="E545" s="73" t="inlineStr">
        <is>
          <t>Town of Spencer</t>
        </is>
      </c>
      <c r="F545" s="73" t="inlineStr">
        <is>
          <t>Massachusetts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2026-03-20</t>
        </is>
      </c>
      <c r="K545" s="73" t="inlineStr">
        <is>
          <t>2026-03-20</t>
        </is>
      </c>
      <c r="L545" s="73" t="n"/>
      <c r="M545" s="73" t="inlineStr">
        <is>
          <t>Managed Services (MSP)</t>
        </is>
      </c>
      <c r="N545" s="73" t="inlineStr">
        <is>
          <t>Offline</t>
        </is>
      </c>
      <c r="O545" s="73" t="inlineStr">
        <is>
          <t>Ashutosh Chauhan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2026-02-24</t>
        </is>
      </c>
      <c r="Z545" s="73" t="inlineStr">
        <is>
          <t>https://app-na2.hubspot.com/contacts/243046792/record/0-3/304627375806</t>
        </is>
      </c>
      <c r="AA545" s="73" t="inlineStr"/>
    </row>
    <row r="546">
      <c r="A546" s="73" t="n">
        <v>545</v>
      </c>
      <c r="B546" s="73" t="inlineStr">
        <is>
          <t>303029999339</t>
        </is>
      </c>
      <c r="C546" s="73" t="inlineStr"/>
      <c r="D546" s="73" t="inlineStr">
        <is>
          <t>CUSTOMER RELATIONSHIP MANAGEMENT (CRM) PLATFORM</t>
        </is>
      </c>
      <c r="E546" s="73" t="inlineStr">
        <is>
          <t>SUNY  Westchester Community College</t>
        </is>
      </c>
      <c r="F546" s="73" t="inlineStr">
        <is>
          <t>New York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2026-03-20</t>
        </is>
      </c>
      <c r="K546" s="73" t="inlineStr">
        <is>
          <t>2026-03-18</t>
        </is>
      </c>
      <c r="L546" s="75" t="n">
        <v>818356</v>
      </c>
      <c r="M546" s="73" t="inlineStr">
        <is>
          <t>Platform Implementation (ERP, CRMs)</t>
        </is>
      </c>
      <c r="N546" s="73" t="inlineStr">
        <is>
          <t>Offline</t>
        </is>
      </c>
      <c r="O546" s="73" t="inlineStr">
        <is>
          <t>Jyothsna Nanda kishore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2026-02-23</t>
        </is>
      </c>
      <c r="Z546" s="73" t="inlineStr">
        <is>
          <t>https://app-na2.hubspot.com/contacts/243046792/record/0-3/303029999339</t>
        </is>
      </c>
      <c r="AA546" s="73" t="inlineStr"/>
    </row>
    <row r="547">
      <c r="A547" s="73" t="n">
        <v>546</v>
      </c>
      <c r="B547" s="73" t="inlineStr">
        <is>
          <t>295715762925</t>
        </is>
      </c>
      <c r="C547" s="73" t="inlineStr"/>
      <c r="D547" s="73" t="inlineStr">
        <is>
          <t xml:space="preserve">2026 On-Call Professional Services Request for Qualifications </t>
        </is>
      </c>
      <c r="E547" s="73" t="inlineStr">
        <is>
          <t>City of Lincoln</t>
        </is>
      </c>
      <c r="F547" s="73" t="inlineStr">
        <is>
          <t>California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2026-03-20</t>
        </is>
      </c>
      <c r="K547" s="73" t="inlineStr">
        <is>
          <t>2026-03-20</t>
        </is>
      </c>
      <c r="L547" s="73" t="n"/>
      <c r="M547" s="73" t="inlineStr">
        <is>
          <t>Staff Augmentation</t>
        </is>
      </c>
      <c r="N547" s="73" t="inlineStr"/>
      <c r="O547" s="73" t="inlineStr">
        <is>
          <t>Savya Atrey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2026-02-13</t>
        </is>
      </c>
      <c r="Z547" s="73" t="inlineStr">
        <is>
          <t>https://app-na2.hubspot.com/contacts/243046792/record/0-3/295715762925</t>
        </is>
      </c>
      <c r="AA547" s="73" t="inlineStr"/>
    </row>
    <row r="548">
      <c r="A548" s="73" t="n">
        <v>547</v>
      </c>
      <c r="B548" s="73" t="inlineStr">
        <is>
          <t>304631798505</t>
        </is>
      </c>
      <c r="C548" s="73" t="inlineStr"/>
      <c r="D548" s="73" t="inlineStr">
        <is>
          <t>OFF - Information Technology Managed Services</t>
        </is>
      </c>
      <c r="E548" s="73" t="inlineStr">
        <is>
          <t>City of St. Johns</t>
        </is>
      </c>
      <c r="F548" s="73" t="inlineStr">
        <is>
          <t>Michigan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2026-03-21</t>
        </is>
      </c>
      <c r="K548" s="73" t="inlineStr">
        <is>
          <t>2026-03-20</t>
        </is>
      </c>
      <c r="L548" s="73" t="n"/>
      <c r="M548" s="73" t="inlineStr">
        <is>
          <t>Managed Services (MSP)</t>
        </is>
      </c>
      <c r="N548" s="73" t="inlineStr"/>
      <c r="O548" s="73" t="inlineStr">
        <is>
          <t>Ashutosh Chauhan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2026-02-25</t>
        </is>
      </c>
      <c r="Z548" s="73" t="inlineStr">
        <is>
          <t>https://app-na2.hubspot.com/contacts/243046792/record/0-3/304631798505</t>
        </is>
      </c>
      <c r="AA548" s="73" t="inlineStr"/>
    </row>
    <row r="549">
      <c r="A549" s="73" t="n">
        <v>548</v>
      </c>
      <c r="B549" s="73" t="inlineStr">
        <is>
          <t>293080582848</t>
        </is>
      </c>
      <c r="C549" s="73" t="inlineStr"/>
      <c r="D549" s="73" t="inlineStr">
        <is>
          <t xml:space="preserve">PPDA Managed IT </t>
        </is>
      </c>
      <c r="E549" s="73" t="inlineStr">
        <is>
          <t>State Fiscal Accountability Authority</t>
        </is>
      </c>
      <c r="F549" s="73" t="inlineStr">
        <is>
          <t>South Carolina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2026-03-23</t>
        </is>
      </c>
      <c r="K549" s="73" t="inlineStr">
        <is>
          <t>2026-03-23</t>
        </is>
      </c>
      <c r="L549" s="75" t="n">
        <v>175200</v>
      </c>
      <c r="M549" s="73" t="inlineStr">
        <is>
          <t>Managed Services (MSP)</t>
        </is>
      </c>
      <c r="N549" s="73" t="inlineStr"/>
      <c r="O549" s="73" t="inlineStr">
        <is>
          <t>Jyothsna Nanda kishore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2026-02-10</t>
        </is>
      </c>
      <c r="Z549" s="73" t="inlineStr">
        <is>
          <t>https://app-na2.hubspot.com/contacts/243046792/record/0-3/293080582848</t>
        </is>
      </c>
      <c r="AA549" s="73" t="inlineStr"/>
    </row>
    <row r="550">
      <c r="A550" s="73" t="n">
        <v>549</v>
      </c>
      <c r="B550" s="73" t="inlineStr">
        <is>
          <t>316123950830</t>
        </is>
      </c>
      <c r="C550" s="73" t="inlineStr"/>
      <c r="D550" s="73" t="inlineStr">
        <is>
          <t>AI Readiness Training</t>
        </is>
      </c>
      <c r="E550" s="73" t="inlineStr">
        <is>
          <t>Cincinnati Metropolitan Housing Authority</t>
        </is>
      </c>
      <c r="F550" s="73" t="inlineStr">
        <is>
          <t>Ohio</t>
        </is>
      </c>
      <c r="G550" s="73" t="inlineStr">
        <is>
          <t>Submitted</t>
        </is>
      </c>
      <c r="H550" s="73" t="inlineStr"/>
      <c r="I550" s="73" t="inlineStr"/>
      <c r="J550" s="73" t="inlineStr">
        <is>
          <t>2026-03-23</t>
        </is>
      </c>
      <c r="K550" s="73" t="inlineStr">
        <is>
          <t>2026-03-24</t>
        </is>
      </c>
      <c r="L550" s="73" t="n"/>
      <c r="M550" s="73" t="inlineStr">
        <is>
          <t>Training</t>
        </is>
      </c>
      <c r="N550" s="73" t="inlineStr"/>
      <c r="O550" s="73" t="inlineStr">
        <is>
          <t>Savya Atrey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2026-03-13</t>
        </is>
      </c>
      <c r="Z550" s="73" t="inlineStr">
        <is>
          <t>https://app-na2.hubspot.com/contacts/243046792/record/0-3/316123950830</t>
        </is>
      </c>
      <c r="AA550" s="73" t="inlineStr"/>
    </row>
    <row r="551">
      <c r="A551" s="73" t="n">
        <v>550</v>
      </c>
      <c r="B551" s="73" t="inlineStr">
        <is>
          <t>310412415715</t>
        </is>
      </c>
      <c r="C551" s="73" t="inlineStr"/>
      <c r="D551" s="73" t="inlineStr">
        <is>
          <t>Internal and External Penetration Testing</t>
        </is>
      </c>
      <c r="E551" s="73" t="inlineStr">
        <is>
          <t>Village of Palantine</t>
        </is>
      </c>
      <c r="F551" s="73" t="inlineStr">
        <is>
          <t>Illinois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2026-03-23</t>
        </is>
      </c>
      <c r="K551" s="73" t="inlineStr">
        <is>
          <t>2026-03-20</t>
        </is>
      </c>
      <c r="L551" s="73" t="n"/>
      <c r="M551" s="73" t="inlineStr">
        <is>
          <t>Audits and Assessment</t>
        </is>
      </c>
      <c r="N551" s="73" t="inlineStr">
        <is>
          <t>Email</t>
        </is>
      </c>
      <c r="O551" s="73" t="inlineStr">
        <is>
          <t>Jyothsna Nanda kishore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2026-03-03</t>
        </is>
      </c>
      <c r="Z551" s="73" t="inlineStr">
        <is>
          <t>https://app-na2.hubspot.com/contacts/243046792/record/0-3/310412415715</t>
        </is>
      </c>
      <c r="AA551" s="73" t="inlineStr"/>
    </row>
    <row r="552">
      <c r="A552" s="73" t="n">
        <v>551</v>
      </c>
      <c r="B552" s="73" t="inlineStr">
        <is>
          <t>269707174591</t>
        </is>
      </c>
      <c r="C552" s="73" t="inlineStr">
        <is>
          <t>RITM0116199.BT</t>
        </is>
      </c>
      <c r="D552" s="73" t="inlineStr">
        <is>
          <t>MANAGED SERVICES FOR SAP CENTER OF EXCELLENCE (COE)</t>
        </is>
      </c>
      <c r="E552" s="73" t="inlineStr">
        <is>
          <t>Sacramento Municipal Utility District</t>
        </is>
      </c>
      <c r="F552" s="73" t="inlineStr">
        <is>
          <t>California</t>
        </is>
      </c>
      <c r="G552" s="73" t="inlineStr">
        <is>
          <t>Submitted</t>
        </is>
      </c>
      <c r="H552" s="73" t="inlineStr"/>
      <c r="I552" s="73" t="inlineStr"/>
      <c r="J552" s="73" t="inlineStr">
        <is>
          <t>2026-03-24</t>
        </is>
      </c>
      <c r="K552" s="73" t="inlineStr">
        <is>
          <t>2026-03-23</t>
        </is>
      </c>
      <c r="L552" s="75" t="n">
        <v>1664380</v>
      </c>
      <c r="M552" s="73" t="inlineStr">
        <is>
          <t>Managed Services (MSP)</t>
        </is>
      </c>
      <c r="N552" s="73" t="inlineStr">
        <is>
          <t>Portal</t>
        </is>
      </c>
      <c r="O552" s="73" t="inlineStr">
        <is>
          <t>Savya Atrey</t>
        </is>
      </c>
      <c r="P552" s="73" t="inlineStr"/>
      <c r="Q552" s="73" t="inlineStr"/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2026-01-21</t>
        </is>
      </c>
      <c r="Z552" s="73" t="inlineStr">
        <is>
          <t>https://app-na2.hubspot.com/contacts/243046792/record/0-3/269707174591</t>
        </is>
      </c>
      <c r="AA552" s="73" t="inlineStr"/>
    </row>
    <row r="553">
      <c r="A553" s="73" t="n">
        <v>552</v>
      </c>
      <c r="B553" s="73" t="inlineStr">
        <is>
          <t>256655439599</t>
        </is>
      </c>
      <c r="C553" s="73" t="inlineStr">
        <is>
          <t>26-01</t>
        </is>
      </c>
      <c r="D553" s="73" t="inlineStr">
        <is>
          <t>Enterprise Service Management System (ESMS)</t>
        </is>
      </c>
      <c r="E553" s="73" t="inlineStr">
        <is>
          <t>Arapahoe County</t>
        </is>
      </c>
      <c r="F553" s="73" t="inlineStr">
        <is>
          <t>Colorado</t>
        </is>
      </c>
      <c r="G553" s="73" t="inlineStr">
        <is>
          <t>Closed Lost</t>
        </is>
      </c>
      <c r="H553" s="73" t="inlineStr">
        <is>
          <t>Yes</t>
        </is>
      </c>
      <c r="I553" s="73" t="inlineStr">
        <is>
          <t>Interview</t>
        </is>
      </c>
      <c r="J553" s="73" t="inlineStr">
        <is>
          <t>2026-03-24</t>
        </is>
      </c>
      <c r="K553" s="73" t="inlineStr">
        <is>
          <t>2026-02-04</t>
        </is>
      </c>
      <c r="L553" s="75" t="n">
        <v>249896</v>
      </c>
      <c r="M553" s="73" t="inlineStr">
        <is>
          <t>Platform Implementation (ERP, CRMs)</t>
        </is>
      </c>
      <c r="N553" s="73" t="inlineStr">
        <is>
          <t>Portal</t>
        </is>
      </c>
      <c r="O553" s="73" t="inlineStr">
        <is>
          <t>Jyothsna Nanda kishore</t>
        </is>
      </c>
      <c r="P553" s="73" t="inlineStr">
        <is>
          <t>Interview Scheduled</t>
        </is>
      </c>
      <c r="Q553" s="73" t="inlineStr">
        <is>
          <t>2026-03-05</t>
        </is>
      </c>
      <c r="R553" s="73" t="inlineStr"/>
      <c r="S553" s="73" t="inlineStr"/>
      <c r="T553" s="73" t="inlineStr"/>
      <c r="U553" s="73" t="inlineStr"/>
      <c r="V553" s="73" t="inlineStr"/>
      <c r="W553" s="73" t="inlineStr"/>
      <c r="X553" s="73" t="inlineStr"/>
      <c r="Y553" s="73" t="inlineStr">
        <is>
          <t>2026-01-09</t>
        </is>
      </c>
      <c r="Z553" s="73" t="inlineStr">
        <is>
          <t>https://app-na2.hubspot.com/contacts/243046792/record/0-3/256655439599</t>
        </is>
      </c>
      <c r="AA553" s="73" t="inlineStr"/>
    </row>
    <row r="554">
      <c r="A554" s="73" t="n">
        <v>553</v>
      </c>
      <c r="B554" s="73" t="inlineStr">
        <is>
          <t>316971216590</t>
        </is>
      </c>
      <c r="C554" s="73" t="inlineStr"/>
      <c r="D554" s="73" t="inlineStr">
        <is>
          <t>Airport Technology Consulting Services</t>
        </is>
      </c>
      <c r="E554" s="73" t="inlineStr">
        <is>
          <t>Metropolitan Washington Airports Authority</t>
        </is>
      </c>
      <c r="F554" s="73" t="inlineStr">
        <is>
          <t>DC</t>
        </is>
      </c>
      <c r="G554" s="73" t="inlineStr">
        <is>
          <t>Submitted</t>
        </is>
      </c>
      <c r="H554" s="73" t="inlineStr"/>
      <c r="I554" s="73" t="inlineStr"/>
      <c r="J554" s="73" t="inlineStr">
        <is>
          <t>2026-03-24</t>
        </is>
      </c>
      <c r="K554" s="73" t="inlineStr">
        <is>
          <t>2026-03-24</t>
        </is>
      </c>
      <c r="L554" s="73" t="n"/>
      <c r="M554" s="73" t="inlineStr">
        <is>
          <t>Consulting</t>
        </is>
      </c>
      <c r="N554" s="73" t="inlineStr"/>
      <c r="O554" s="73" t="inlineStr">
        <is>
          <t>Jyothsna Nanda kishore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2026-03-18</t>
        </is>
      </c>
      <c r="Z554" s="73" t="inlineStr">
        <is>
          <t>https://app-na2.hubspot.com/contacts/243046792/record/0-3/316971216590</t>
        </is>
      </c>
      <c r="AA554" s="73" t="inlineStr"/>
    </row>
    <row r="555">
      <c r="A555" s="73" t="n">
        <v>554</v>
      </c>
      <c r="B555" s="73" t="inlineStr">
        <is>
          <t>316626904813</t>
        </is>
      </c>
      <c r="C555" s="73" t="inlineStr">
        <is>
          <t>26-004</t>
        </is>
      </c>
      <c r="D555" s="73" t="inlineStr">
        <is>
          <t>ManageEngine Endpoint Central Cloud UEM Subscription</t>
        </is>
      </c>
      <c r="E555" s="73" t="inlineStr">
        <is>
          <t>City of Dania Beach</t>
        </is>
      </c>
      <c r="F555" s="73" t="inlineStr">
        <is>
          <t>Florida</t>
        </is>
      </c>
      <c r="G555" s="73" t="inlineStr">
        <is>
          <t>Submitted</t>
        </is>
      </c>
      <c r="H555" s="73" t="inlineStr"/>
      <c r="I555" s="73" t="inlineStr"/>
      <c r="J555" s="73" t="inlineStr">
        <is>
          <t>2026-03-24</t>
        </is>
      </c>
      <c r="K555" s="73" t="inlineStr">
        <is>
          <t>2026-03-24</t>
        </is>
      </c>
      <c r="L555" s="75" t="n">
        <v>9175</v>
      </c>
      <c r="M555" s="73" t="inlineStr">
        <is>
          <t>Reseller</t>
        </is>
      </c>
      <c r="N555" s="73" t="inlineStr">
        <is>
          <t>Portal</t>
        </is>
      </c>
      <c r="O555" s="73" t="inlineStr">
        <is>
          <t>Jyothsna Nanda kishore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2026-03-17</t>
        </is>
      </c>
      <c r="Z555" s="73" t="inlineStr">
        <is>
          <t>https://app-na2.hubspot.com/contacts/243046792/record/0-3/316626904813</t>
        </is>
      </c>
      <c r="AA555" s="73" t="inlineStr"/>
    </row>
    <row r="556">
      <c r="A556" s="73" t="n">
        <v>555</v>
      </c>
      <c r="B556" s="73" t="inlineStr">
        <is>
          <t>302813559527</t>
        </is>
      </c>
      <c r="C556" s="73" t="inlineStr"/>
      <c r="D556" s="73" t="inlineStr">
        <is>
          <t>IT Policy Assessment and Development</t>
        </is>
      </c>
      <c r="E556" s="73" t="inlineStr">
        <is>
          <t>City of Gaithersburg</t>
        </is>
      </c>
      <c r="F556" s="73" t="inlineStr">
        <is>
          <t>Maryland</t>
        </is>
      </c>
      <c r="G556" s="73" t="inlineStr">
        <is>
          <t>Submitted</t>
        </is>
      </c>
      <c r="H556" s="73" t="inlineStr"/>
      <c r="I556" s="73" t="inlineStr"/>
      <c r="J556" s="73" t="inlineStr">
        <is>
          <t>2026-03-24</t>
        </is>
      </c>
      <c r="K556" s="73" t="inlineStr">
        <is>
          <t>2026-03-31</t>
        </is>
      </c>
      <c r="L556" s="73" t="n"/>
      <c r="M556" s="73" t="inlineStr">
        <is>
          <t>Audits and Assessment;Consulting</t>
        </is>
      </c>
      <c r="N556" s="73" t="inlineStr"/>
      <c r="O556" s="73" t="inlineStr">
        <is>
          <t>Savya Atrey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2026-02-20</t>
        </is>
      </c>
      <c r="Z556" s="73" t="inlineStr">
        <is>
          <t>https://app-na2.hubspot.com/contacts/243046792/record/0-3/302813559527</t>
        </is>
      </c>
      <c r="AA556" s="73" t="inlineStr"/>
    </row>
    <row r="557">
      <c r="A557" s="73" t="n">
        <v>556</v>
      </c>
      <c r="B557" s="73" t="inlineStr">
        <is>
          <t>260430131922</t>
        </is>
      </c>
      <c r="C557" s="73" t="inlineStr"/>
      <c r="D557" s="73" t="inlineStr">
        <is>
          <t>PeopleSoft Support Services</t>
        </is>
      </c>
      <c r="E557" s="73" t="inlineStr">
        <is>
          <t>Virginia Port Authority</t>
        </is>
      </c>
      <c r="F557" s="73" t="inlineStr">
        <is>
          <t>Virginia</t>
        </is>
      </c>
      <c r="G557" s="73" t="inlineStr">
        <is>
          <t>Closed Lost</t>
        </is>
      </c>
      <c r="H557" s="73" t="inlineStr"/>
      <c r="I557" s="73" t="inlineStr"/>
      <c r="J557" s="73" t="inlineStr">
        <is>
          <t>2026-03-25</t>
        </is>
      </c>
      <c r="K557" s="73" t="inlineStr">
        <is>
          <t>2026-02-10</t>
        </is>
      </c>
      <c r="L557" s="73" t="n"/>
      <c r="M557" s="73" t="inlineStr">
        <is>
          <t>Support &amp; Maintenance</t>
        </is>
      </c>
      <c r="N557" s="73" t="inlineStr">
        <is>
          <t>Email</t>
        </is>
      </c>
      <c r="O557" s="73" t="inlineStr">
        <is>
          <t>Ashutosh Chauhan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2026-01-13</t>
        </is>
      </c>
      <c r="Z557" s="73" t="inlineStr">
        <is>
          <t>https://app-na2.hubspot.com/contacts/243046792/record/0-3/260430131922</t>
        </is>
      </c>
      <c r="AA557" s="73" t="inlineStr"/>
    </row>
    <row r="558">
      <c r="A558" s="73" t="n">
        <v>557</v>
      </c>
      <c r="B558" s="73" t="inlineStr">
        <is>
          <t>292902372057</t>
        </is>
      </c>
      <c r="C558" s="73" t="inlineStr"/>
      <c r="D558" s="73" t="inlineStr">
        <is>
          <t>CMS Project Assistant 2026</t>
        </is>
      </c>
      <c r="E558" s="73" t="inlineStr">
        <is>
          <t>NYS Office of Children &amp; Family Services [NY]</t>
        </is>
      </c>
      <c r="F558" s="73" t="inlineStr"/>
      <c r="G558" s="73" t="inlineStr">
        <is>
          <t>Submitted</t>
        </is>
      </c>
      <c r="H558" s="73" t="inlineStr"/>
      <c r="I558" s="73" t="inlineStr"/>
      <c r="J558" s="73" t="inlineStr">
        <is>
          <t>2026-03-25</t>
        </is>
      </c>
      <c r="K558" s="73" t="inlineStr">
        <is>
          <t>2026-03-25</t>
        </is>
      </c>
      <c r="L558" s="73" t="n"/>
      <c r="M558" s="73" t="inlineStr">
        <is>
          <t>Staff Augmentation</t>
        </is>
      </c>
      <c r="N558" s="73" t="inlineStr">
        <is>
          <t>Email</t>
        </is>
      </c>
      <c r="O558" s="73" t="inlineStr">
        <is>
          <t>Ashutosh Chauhan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2026-02-10</t>
        </is>
      </c>
      <c r="Z558" s="73" t="inlineStr">
        <is>
          <t>https://app-na2.hubspot.com/contacts/243046792/record/0-3/292902372057</t>
        </is>
      </c>
      <c r="AA558" s="73" t="inlineStr"/>
    </row>
    <row r="559">
      <c r="A559" s="73" t="n">
        <v>558</v>
      </c>
      <c r="B559" s="73" t="inlineStr">
        <is>
          <t>303032159935</t>
        </is>
      </c>
      <c r="C559" s="73" t="inlineStr"/>
      <c r="D559" s="73" t="inlineStr">
        <is>
          <t>IT Helpdesk Support Services</t>
        </is>
      </c>
      <c r="E559" s="73" t="inlineStr">
        <is>
          <t>Orange County, New York</t>
        </is>
      </c>
      <c r="F559" s="73" t="inlineStr">
        <is>
          <t>New York</t>
        </is>
      </c>
      <c r="G559" s="73" t="inlineStr">
        <is>
          <t>Submitted</t>
        </is>
      </c>
      <c r="H559" s="73" t="inlineStr"/>
      <c r="I559" s="73" t="inlineStr"/>
      <c r="J559" s="73" t="inlineStr">
        <is>
          <t>2026-03-25</t>
        </is>
      </c>
      <c r="K559" s="73" t="inlineStr">
        <is>
          <t>2026-03-18</t>
        </is>
      </c>
      <c r="L559" s="73" t="n"/>
      <c r="M559" s="73" t="inlineStr">
        <is>
          <t>Managed Services (MSP)</t>
        </is>
      </c>
      <c r="N559" s="73" t="inlineStr">
        <is>
          <t>Offline</t>
        </is>
      </c>
      <c r="O559" s="73" t="inlineStr">
        <is>
          <t>Jyothsna Nanda kishore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2026-02-23</t>
        </is>
      </c>
      <c r="Z559" s="73" t="inlineStr">
        <is>
          <t>https://app-na2.hubspot.com/contacts/243046792/record/0-3/303032159935</t>
        </is>
      </c>
      <c r="AA559" s="73" t="inlineStr"/>
    </row>
    <row r="560">
      <c r="A560" s="73" t="n">
        <v>559</v>
      </c>
      <c r="B560" s="73" t="inlineStr">
        <is>
          <t>316973419240</t>
        </is>
      </c>
      <c r="C560" s="73" t="inlineStr"/>
      <c r="D560" s="73" t="inlineStr">
        <is>
          <t>.Net Core Modernization</t>
        </is>
      </c>
      <c r="E560" s="73" t="inlineStr">
        <is>
          <t>California Housing Finance Agency (CalHFA)</t>
        </is>
      </c>
      <c r="F560" s="73" t="inlineStr"/>
      <c r="G560" s="73" t="inlineStr">
        <is>
          <t>Submitted</t>
        </is>
      </c>
      <c r="H560" s="73" t="inlineStr"/>
      <c r="I560" s="73" t="inlineStr"/>
      <c r="J560" s="73" t="inlineStr">
        <is>
          <t>2026-03-25</t>
        </is>
      </c>
      <c r="K560" s="73" t="inlineStr">
        <is>
          <t>2026-03-25</t>
        </is>
      </c>
      <c r="L560" s="75" t="n">
        <v>218800</v>
      </c>
      <c r="M560" s="73" t="inlineStr">
        <is>
          <t>Support &amp; Maintenance</t>
        </is>
      </c>
      <c r="N560" s="73" t="inlineStr">
        <is>
          <t>Email</t>
        </is>
      </c>
      <c r="O560" s="73" t="inlineStr">
        <is>
          <t>Jyothsna Nanda kishore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2026-03-19</t>
        </is>
      </c>
      <c r="Z560" s="73" t="inlineStr">
        <is>
          <t>https://app-na2.hubspot.com/contacts/243046792/record/0-3/316973419240</t>
        </is>
      </c>
      <c r="AA560" s="73" t="inlineStr"/>
    </row>
    <row r="561">
      <c r="A561" s="73" t="n">
        <v>560</v>
      </c>
      <c r="B561" s="73" t="inlineStr">
        <is>
          <t>232557362897</t>
        </is>
      </c>
      <c r="C561" s="73" t="inlineStr"/>
      <c r="D561" s="73" t="inlineStr">
        <is>
          <t>Incident Response Plan, Disaster Recovery Plan, and Business Continuity Plan</t>
        </is>
      </c>
      <c r="E561" s="73" t="inlineStr">
        <is>
          <t>North Texas Municipal Water District (NTMWD)</t>
        </is>
      </c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2026-03-25</t>
        </is>
      </c>
      <c r="K561" s="73" t="inlineStr">
        <is>
          <t>2025-12-18</t>
        </is>
      </c>
      <c r="L561" s="73" t="n"/>
      <c r="M561" s="73" t="inlineStr">
        <is>
          <t>Consulting;Audits and Assessment</t>
        </is>
      </c>
      <c r="N561" s="73" t="inlineStr">
        <is>
          <t>Portal;Offline</t>
        </is>
      </c>
      <c r="O561" s="73" t="inlineStr">
        <is>
          <t>Jyothsna Nanda kishore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2025-12-04</t>
        </is>
      </c>
      <c r="Z561" s="73" t="inlineStr">
        <is>
          <t>https://app-na2.hubspot.com/contacts/243046792/record/0-3/232557362897</t>
        </is>
      </c>
      <c r="AA561" s="73" t="inlineStr"/>
    </row>
    <row r="562">
      <c r="A562" s="73" t="n">
        <v>561</v>
      </c>
      <c r="B562" s="73" t="inlineStr">
        <is>
          <t>135153706705</t>
        </is>
      </c>
      <c r="C562" s="73" t="inlineStr">
        <is>
          <t>RFQ1762822</t>
        </is>
      </c>
      <c r="D562" s="73" t="inlineStr">
        <is>
          <t>Implementation of Electronic Filing (eFiling)</t>
        </is>
      </c>
      <c r="E562" s="73" t="inlineStr">
        <is>
          <t xml:space="preserve">U.S. Consumer Product Safety Commission (CPSC) </t>
        </is>
      </c>
      <c r="F562" s="73" t="inlineStr"/>
      <c r="G562" s="73" t="inlineStr">
        <is>
          <t>Closed Lost</t>
        </is>
      </c>
      <c r="H562" s="73" t="inlineStr"/>
      <c r="I562" s="73" t="inlineStr"/>
      <c r="J562" s="73" t="inlineStr">
        <is>
          <t>2026-03-25</t>
        </is>
      </c>
      <c r="K562" s="73" t="inlineStr">
        <is>
          <t>2025-07-07</t>
        </is>
      </c>
      <c r="L562" s="73" t="n"/>
      <c r="M562" s="73" t="inlineStr">
        <is>
          <t>Platform Implementation (ERP, CRMs)</t>
        </is>
      </c>
      <c r="N562" s="73" t="inlineStr"/>
      <c r="O562" s="73" t="inlineStr">
        <is>
          <t>Jyothsna Nanda kishore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2025-07-31</t>
        </is>
      </c>
      <c r="Z562" s="73" t="inlineStr">
        <is>
          <t>https://app-na2.hubspot.com/contacts/243046792/record/0-3/135153706705</t>
        </is>
      </c>
      <c r="AA562" s="73" t="inlineStr"/>
    </row>
    <row r="563">
      <c r="A563" s="73" t="n">
        <v>562</v>
      </c>
      <c r="B563" s="73" t="inlineStr">
        <is>
          <t>135161266908</t>
        </is>
      </c>
      <c r="C563" s="73" t="inlineStr">
        <is>
          <t>RFQ1757840</t>
        </is>
      </c>
      <c r="D563" s="73" t="inlineStr">
        <is>
          <t>25-51-A-PMO-ES-SSN</t>
        </is>
      </c>
      <c r="E563" s="73" t="inlineStr">
        <is>
          <t>U.S. Department of the Treasury</t>
        </is>
      </c>
      <c r="F563" s="73" t="inlineStr"/>
      <c r="G563" s="73" t="inlineStr">
        <is>
          <t>Closed Lost</t>
        </is>
      </c>
      <c r="H563" s="73" t="inlineStr"/>
      <c r="I563" s="73" t="inlineStr"/>
      <c r="J563" s="73" t="inlineStr">
        <is>
          <t>2026-03-25</t>
        </is>
      </c>
      <c r="K563" s="73" t="inlineStr"/>
      <c r="L563" s="73" t="n"/>
      <c r="M563" s="73" t="inlineStr"/>
      <c r="N563" s="73" t="inlineStr">
        <is>
          <t>Email</t>
        </is>
      </c>
      <c r="O563" s="73" t="inlineStr">
        <is>
          <t>Madhav Mitruka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2025-07-31</t>
        </is>
      </c>
      <c r="Z563" s="73" t="inlineStr">
        <is>
          <t>https://app-na2.hubspot.com/contacts/243046792/record/0-3/135161266908</t>
        </is>
      </c>
      <c r="AA563" s="73" t="inlineStr"/>
    </row>
    <row r="564">
      <c r="A564" s="73" t="n">
        <v>563</v>
      </c>
      <c r="B564" s="73" t="inlineStr">
        <is>
          <t>310413135583</t>
        </is>
      </c>
      <c r="C564" s="73" t="inlineStr">
        <is>
          <t xml:space="preserve">RFP NO. 4-2026 </t>
        </is>
      </c>
      <c r="D564" s="73" t="inlineStr">
        <is>
          <t xml:space="preserve">TO SELECT A CONSULTANT TO DEVELOP A TECHNOLOGY STRATEGIC PLAN </t>
        </is>
      </c>
      <c r="E564" s="73" t="inlineStr">
        <is>
          <t xml:space="preserve">OHIO TURNPIKE AND INFRASTRUCTURE COMMISSION </t>
        </is>
      </c>
      <c r="F564" s="73" t="inlineStr">
        <is>
          <t>Ohio</t>
        </is>
      </c>
      <c r="G564" s="73" t="inlineStr">
        <is>
          <t>Submitted</t>
        </is>
      </c>
      <c r="H564" s="73" t="inlineStr"/>
      <c r="I564" s="73" t="inlineStr"/>
      <c r="J564" s="73" t="inlineStr">
        <is>
          <t>2026-03-25</t>
        </is>
      </c>
      <c r="K564" s="73" t="inlineStr">
        <is>
          <t>2026-03-24</t>
        </is>
      </c>
      <c r="L564" s="73" t="n"/>
      <c r="M564" s="73" t="inlineStr">
        <is>
          <t>Consulting</t>
        </is>
      </c>
      <c r="N564" s="73" t="inlineStr">
        <is>
          <t>Email</t>
        </is>
      </c>
      <c r="O564" s="73" t="inlineStr">
        <is>
          <t>Jyothsna Nanda kishore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2026-03-03</t>
        </is>
      </c>
      <c r="Z564" s="73" t="inlineStr">
        <is>
          <t>https://app-na2.hubspot.com/contacts/243046792/record/0-3/310413135583</t>
        </is>
      </c>
      <c r="AA564" s="73" t="inlineStr"/>
    </row>
    <row r="565">
      <c r="A565" s="73" t="n">
        <v>564</v>
      </c>
      <c r="B565" s="73" t="inlineStr">
        <is>
          <t>301182546620</t>
        </is>
      </c>
      <c r="C565" s="73" t="inlineStr">
        <is>
          <t>SLCI26035</t>
        </is>
      </c>
      <c r="D565" s="73" t="inlineStr">
        <is>
          <t>Website Hosting Services</t>
        </is>
      </c>
      <c r="E565" s="73" t="inlineStr">
        <is>
          <t xml:space="preserve">Salt Lake City </t>
        </is>
      </c>
      <c r="F565" s="73" t="inlineStr">
        <is>
          <t>Utah</t>
        </is>
      </c>
      <c r="G565" s="73" t="inlineStr">
        <is>
          <t>Submitted</t>
        </is>
      </c>
      <c r="H565" s="73" t="inlineStr"/>
      <c r="I565" s="73" t="inlineStr"/>
      <c r="J565" s="73" t="inlineStr">
        <is>
          <t>2026-03-26</t>
        </is>
      </c>
      <c r="K565" s="73" t="inlineStr">
        <is>
          <t>2026-03-26</t>
        </is>
      </c>
      <c r="L565" s="73" t="n"/>
      <c r="M565" s="73" t="inlineStr">
        <is>
          <t>Support &amp; Maintenance</t>
        </is>
      </c>
      <c r="N565" s="73" t="inlineStr">
        <is>
          <t>Portal</t>
        </is>
      </c>
      <c r="O565" s="73" t="inlineStr">
        <is>
          <t>Ashutosh Chauhan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2026-02-18</t>
        </is>
      </c>
      <c r="Z565" s="73" t="inlineStr">
        <is>
          <t>https://app-na2.hubspot.com/contacts/243046792/record/0-3/301182546620</t>
        </is>
      </c>
      <c r="AA565" s="73" t="inlineStr"/>
    </row>
    <row r="566">
      <c r="A566" s="73" t="n">
        <v>565</v>
      </c>
      <c r="B566" s="73" t="inlineStr">
        <is>
          <t>316633506500</t>
        </is>
      </c>
      <c r="C566" s="73" t="inlineStr"/>
      <c r="D566" s="73" t="inlineStr">
        <is>
          <t>ERP Consultant Services</t>
        </is>
      </c>
      <c r="E566" s="73" t="inlineStr">
        <is>
          <t>Eau Claire County</t>
        </is>
      </c>
      <c r="F566" s="73" t="inlineStr">
        <is>
          <t>Wisconsin</t>
        </is>
      </c>
      <c r="G566" s="73" t="inlineStr">
        <is>
          <t>Submitted</t>
        </is>
      </c>
      <c r="H566" s="73" t="inlineStr"/>
      <c r="I566" s="73" t="inlineStr"/>
      <c r="J566" s="73" t="inlineStr">
        <is>
          <t>2026-03-26</t>
        </is>
      </c>
      <c r="K566" s="73" t="inlineStr">
        <is>
          <t>2026-03-26</t>
        </is>
      </c>
      <c r="L566" s="73" t="n"/>
      <c r="M566" s="73" t="inlineStr">
        <is>
          <t>Consulting</t>
        </is>
      </c>
      <c r="N566" s="73" t="inlineStr"/>
      <c r="O566" s="73" t="inlineStr">
        <is>
          <t>Savya Atrey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2026-03-18</t>
        </is>
      </c>
      <c r="Z566" s="73" t="inlineStr">
        <is>
          <t>https://app-na2.hubspot.com/contacts/243046792/record/0-3/316633506500</t>
        </is>
      </c>
      <c r="AA566" s="73" t="inlineStr"/>
    </row>
    <row r="567">
      <c r="A567" s="73" t="n">
        <v>566</v>
      </c>
      <c r="B567" s="73" t="inlineStr">
        <is>
          <t>316626185935</t>
        </is>
      </c>
      <c r="C567" s="73" t="inlineStr">
        <is>
          <t>26-002</t>
        </is>
      </c>
      <c r="D567" s="73" t="inlineStr">
        <is>
          <t>CYBERSECURITY NIST GAP ANALYSIS</t>
        </is>
      </c>
      <c r="E567" s="73" t="inlineStr">
        <is>
          <t>Three Valleys Municipal Water District</t>
        </is>
      </c>
      <c r="F567" s="73" t="inlineStr">
        <is>
          <t>California</t>
        </is>
      </c>
      <c r="G567" s="73" t="inlineStr">
        <is>
          <t>Submitted</t>
        </is>
      </c>
      <c r="H567" s="73" t="inlineStr"/>
      <c r="I567" s="73" t="inlineStr"/>
      <c r="J567" s="73" t="inlineStr">
        <is>
          <t>2026-03-26</t>
        </is>
      </c>
      <c r="K567" s="73" t="inlineStr">
        <is>
          <t>2026-03-26</t>
        </is>
      </c>
      <c r="L567" s="73" t="n"/>
      <c r="M567" s="73" t="inlineStr">
        <is>
          <t>Audits and Assessment</t>
        </is>
      </c>
      <c r="N567" s="73" t="inlineStr">
        <is>
          <t>Portal</t>
        </is>
      </c>
      <c r="O567" s="73" t="inlineStr">
        <is>
          <t>Jyothsna Nanda kishore</t>
        </is>
      </c>
      <c r="P567" s="73" t="inlineStr"/>
      <c r="Q567" s="73" t="inlineStr"/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2026-03-17</t>
        </is>
      </c>
      <c r="Z567" s="73" t="inlineStr">
        <is>
          <t>https://app-na2.hubspot.com/contacts/243046792/record/0-3/316626185935</t>
        </is>
      </c>
      <c r="AA567" s="73" t="inlineStr"/>
    </row>
    <row r="568">
      <c r="A568" s="73" t="n">
        <v>567</v>
      </c>
      <c r="B568" s="73" t="inlineStr">
        <is>
          <t>316931666637</t>
        </is>
      </c>
      <c r="C568" s="73" t="inlineStr"/>
      <c r="D568" s="73" t="inlineStr">
        <is>
          <t>ManageEngine ADAudit/Endpoint/ServiceDesk</t>
        </is>
      </c>
      <c r="E568" s="73" t="inlineStr">
        <is>
          <t>Sacramento Regional Transit District</t>
        </is>
      </c>
      <c r="F568" s="73" t="inlineStr">
        <is>
          <t>California</t>
        </is>
      </c>
      <c r="G568" s="73" t="inlineStr">
        <is>
          <t>Submitted</t>
        </is>
      </c>
      <c r="H568" s="73" t="inlineStr"/>
      <c r="I568" s="73" t="inlineStr"/>
      <c r="J568" s="73" t="inlineStr">
        <is>
          <t>2026-03-26</t>
        </is>
      </c>
      <c r="K568" s="73" t="inlineStr">
        <is>
          <t>2026-03-26</t>
        </is>
      </c>
      <c r="L568" s="75" t="n">
        <v>57665</v>
      </c>
      <c r="M568" s="73" t="inlineStr">
        <is>
          <t>Reseller</t>
        </is>
      </c>
      <c r="N568" s="73" t="inlineStr">
        <is>
          <t>Portal</t>
        </is>
      </c>
      <c r="O568" s="73" t="inlineStr">
        <is>
          <t>Savya Atrey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2026-03-19</t>
        </is>
      </c>
      <c r="Z568" s="73" t="inlineStr">
        <is>
          <t>https://app-na2.hubspot.com/contacts/243046792/record/0-3/316931666637</t>
        </is>
      </c>
      <c r="AA568" s="73" t="inlineStr"/>
    </row>
    <row r="569">
      <c r="A569" s="73" t="n">
        <v>568</v>
      </c>
      <c r="B569" s="73" t="inlineStr">
        <is>
          <t>202091021007</t>
        </is>
      </c>
      <c r="C569" s="73" t="inlineStr"/>
      <c r="D569" s="73" t="inlineStr">
        <is>
          <t>Information Technology Service Management (ITSM) Platform</t>
        </is>
      </c>
      <c r="E569" s="73" t="inlineStr">
        <is>
          <t xml:space="preserve">Orlando Utilities Commission </t>
        </is>
      </c>
      <c r="F569" s="73" t="inlineStr">
        <is>
          <t>Florida</t>
        </is>
      </c>
      <c r="G569" s="73" t="inlineStr">
        <is>
          <t>Closed Lost</t>
        </is>
      </c>
      <c r="H569" s="73" t="inlineStr"/>
      <c r="I569" s="73" t="inlineStr"/>
      <c r="J569" s="73" t="inlineStr">
        <is>
          <t>2026-03-26</t>
        </is>
      </c>
      <c r="K569" s="73" t="inlineStr">
        <is>
          <t>2026-01-15</t>
        </is>
      </c>
      <c r="L569" s="73" t="n"/>
      <c r="M569" s="73" t="inlineStr">
        <is>
          <t>Platform Implementation (ERP, CRMs)</t>
        </is>
      </c>
      <c r="N569" s="73" t="inlineStr"/>
      <c r="O569" s="73" t="inlineStr">
        <is>
          <t>Ashutosh Chauhan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2025-10-28</t>
        </is>
      </c>
      <c r="Z569" s="73" t="inlineStr">
        <is>
          <t>https://app-na2.hubspot.com/contacts/243046792/record/0-3/202091021007</t>
        </is>
      </c>
      <c r="AA569" s="73" t="inlineStr"/>
    </row>
    <row r="570">
      <c r="A570" s="73" t="n">
        <v>569</v>
      </c>
      <c r="B570" s="73" t="inlineStr">
        <is>
          <t>314639183583</t>
        </is>
      </c>
      <c r="C570" s="73" t="inlineStr">
        <is>
          <t>RFP No.: _001</t>
        </is>
      </c>
      <c r="D570" s="73" t="inlineStr">
        <is>
          <t>Information Technology Services</t>
        </is>
      </c>
      <c r="E570" s="73" t="inlineStr">
        <is>
          <t>Clear Creek School District No. RE-1</t>
        </is>
      </c>
      <c r="F570" s="73" t="inlineStr">
        <is>
          <t>Colorado</t>
        </is>
      </c>
      <c r="G570" s="73" t="inlineStr">
        <is>
          <t>Interview</t>
        </is>
      </c>
      <c r="H570" s="73" t="inlineStr">
        <is>
          <t>Yes</t>
        </is>
      </c>
      <c r="I570" s="73" t="inlineStr">
        <is>
          <t>Interview</t>
        </is>
      </c>
      <c r="J570" s="73" t="inlineStr">
        <is>
          <t>2026-03-27</t>
        </is>
      </c>
      <c r="K570" s="73" t="inlineStr">
        <is>
          <t>2026-03-27</t>
        </is>
      </c>
      <c r="L570" s="75" t="n">
        <v>212330</v>
      </c>
      <c r="M570" s="73" t="inlineStr">
        <is>
          <t>Managed Services (MSP)</t>
        </is>
      </c>
      <c r="N570" s="73" t="inlineStr">
        <is>
          <t>Portal</t>
        </is>
      </c>
      <c r="O570" s="73" t="inlineStr">
        <is>
          <t>Ashutosh Chauhan</t>
        </is>
      </c>
      <c r="P570" s="73" t="inlineStr">
        <is>
          <t>Interview Scheduled</t>
        </is>
      </c>
      <c r="Q570" s="73" t="inlineStr">
        <is>
          <t>2026-04-14</t>
        </is>
      </c>
      <c r="R570" s="73" t="inlineStr"/>
      <c r="S570" s="73" t="inlineStr"/>
      <c r="T570" s="73" t="inlineStr"/>
      <c r="U570" s="73" t="inlineStr"/>
      <c r="V570" s="73" t="inlineStr"/>
      <c r="W570" s="73" t="inlineStr"/>
      <c r="X570" s="73" t="inlineStr"/>
      <c r="Y570" s="73" t="inlineStr">
        <is>
          <t>2026-03-09</t>
        </is>
      </c>
      <c r="Z570" s="73" t="inlineStr">
        <is>
          <t>https://app-na2.hubspot.com/contacts/243046792/record/0-3/314639183583</t>
        </is>
      </c>
      <c r="AA570" s="73" t="inlineStr"/>
    </row>
    <row r="571">
      <c r="A571" s="73" t="n">
        <v>570</v>
      </c>
      <c r="B571" s="73" t="inlineStr">
        <is>
          <t>291136345846</t>
        </is>
      </c>
      <c r="C571" s="73" t="inlineStr"/>
      <c r="D571" s="73" t="inlineStr">
        <is>
          <t>2025 Citywide Information Technology (IT) Professionals RFQ</t>
        </is>
      </c>
      <c r="E571" s="73" t="inlineStr">
        <is>
          <t>City of Los Angeles (City) Information Technology Agency (ITA)</t>
        </is>
      </c>
      <c r="F571" s="73" t="inlineStr"/>
      <c r="G571" s="73" t="inlineStr">
        <is>
          <t>Submitted</t>
        </is>
      </c>
      <c r="H571" s="73" t="inlineStr"/>
      <c r="I571" s="73" t="inlineStr"/>
      <c r="J571" s="73" t="inlineStr">
        <is>
          <t>2026-03-27</t>
        </is>
      </c>
      <c r="K571" s="73" t="inlineStr">
        <is>
          <t>2026-03-27</t>
        </is>
      </c>
      <c r="L571" s="73" t="n"/>
      <c r="M571" s="73" t="inlineStr">
        <is>
          <t>Managed Services (MSP)</t>
        </is>
      </c>
      <c r="N571" s="73" t="inlineStr">
        <is>
          <t>Portal</t>
        </is>
      </c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2026-02-09</t>
        </is>
      </c>
      <c r="Z571" s="73" t="inlineStr">
        <is>
          <t>https://app-na2.hubspot.com/contacts/243046792/record/0-3/291136345846</t>
        </is>
      </c>
      <c r="AA571" s="73" t="inlineStr"/>
    </row>
    <row r="572">
      <c r="A572" s="73" t="n">
        <v>571</v>
      </c>
      <c r="B572" s="73" t="inlineStr">
        <is>
          <t>159501546182</t>
        </is>
      </c>
      <c r="C572" s="73" t="inlineStr">
        <is>
          <t>25-082</t>
        </is>
      </c>
      <c r="D572" s="73" t="inlineStr">
        <is>
          <t>Amazon Web Services Website Managed ServicesID: 25-082</t>
        </is>
      </c>
      <c r="E572" s="73" t="inlineStr">
        <is>
          <t>El Paso County</t>
        </is>
      </c>
      <c r="F572" s="73" t="inlineStr">
        <is>
          <t>Colorado</t>
        </is>
      </c>
      <c r="G572" s="73" t="inlineStr">
        <is>
          <t>Closed Won</t>
        </is>
      </c>
      <c r="H572" s="73" t="inlineStr">
        <is>
          <t>Yes</t>
        </is>
      </c>
      <c r="I572" s="73" t="inlineStr">
        <is>
          <t>Interview</t>
        </is>
      </c>
      <c r="J572" s="73" t="inlineStr">
        <is>
          <t>2026-03-30</t>
        </is>
      </c>
      <c r="K572" s="73" t="inlineStr">
        <is>
          <t>2025-10-15</t>
        </is>
      </c>
      <c r="L572" s="75" t="n">
        <v>769752</v>
      </c>
      <c r="M572" s="73" t="inlineStr">
        <is>
          <t>Managed Services (MSP)</t>
        </is>
      </c>
      <c r="N572" s="73" t="inlineStr">
        <is>
          <t>Portal</t>
        </is>
      </c>
      <c r="O572" s="73" t="inlineStr">
        <is>
          <t>Jyothsna Nanda kishore</t>
        </is>
      </c>
      <c r="P572" s="73" t="inlineStr"/>
      <c r="Q572" s="73" t="inlineStr">
        <is>
          <t>2025-12-17</t>
        </is>
      </c>
      <c r="R572" s="73" t="inlineStr"/>
      <c r="S572" s="73" t="inlineStr">
        <is>
          <t>2026-02-03</t>
        </is>
      </c>
      <c r="T572" s="73" t="inlineStr"/>
      <c r="U572" s="73" t="inlineStr">
        <is>
          <t>2026-02-15</t>
        </is>
      </c>
      <c r="V572" s="73" t="inlineStr">
        <is>
          <t>In Process</t>
        </is>
      </c>
      <c r="W572" s="73" t="inlineStr"/>
      <c r="X572" s="73" t="inlineStr"/>
      <c r="Y572" s="73" t="inlineStr">
        <is>
          <t>2025-09-12</t>
        </is>
      </c>
      <c r="Z572" s="73" t="inlineStr">
        <is>
          <t>https://app-na2.hubspot.com/contacts/243046792/record/0-3/159501546182</t>
        </is>
      </c>
      <c r="AA572" s="73" t="inlineStr">
        <is>
          <t>Yes</t>
        </is>
      </c>
    </row>
    <row r="573">
      <c r="A573" s="73" t="n">
        <v>572</v>
      </c>
      <c r="B573" s="73" t="inlineStr">
        <is>
          <t>305111030459</t>
        </is>
      </c>
      <c r="C573" s="73" t="inlineStr"/>
      <c r="D573" s="73" t="inlineStr">
        <is>
          <t xml:space="preserve">INFORMATION TECHNOLOGY SERVICES FOR UNION COUNTY GOVERNMENT </t>
        </is>
      </c>
      <c r="E573" s="73" t="inlineStr">
        <is>
          <t>COUNTY OF UNION</t>
        </is>
      </c>
      <c r="F573" s="73" t="inlineStr">
        <is>
          <t>Illinois</t>
        </is>
      </c>
      <c r="G573" s="73" t="inlineStr">
        <is>
          <t>Closed Lost</t>
        </is>
      </c>
      <c r="H573" s="73" t="inlineStr"/>
      <c r="I573" s="73" t="inlineStr"/>
      <c r="J573" s="73" t="inlineStr">
        <is>
          <t>2026-03-30</t>
        </is>
      </c>
      <c r="K573" s="73" t="inlineStr">
        <is>
          <t>2026-03-13</t>
        </is>
      </c>
      <c r="L573" s="75" t="n">
        <v>138726</v>
      </c>
      <c r="M573" s="73" t="inlineStr">
        <is>
          <t>Managed Services (MSP)</t>
        </is>
      </c>
      <c r="N573" s="73" t="inlineStr">
        <is>
          <t>Offline</t>
        </is>
      </c>
      <c r="O573" s="73" t="inlineStr">
        <is>
          <t>Jyothsna Nanda kishore</t>
        </is>
      </c>
      <c r="P573" s="73" t="inlineStr"/>
      <c r="Q573" s="73" t="inlineStr"/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2026-02-25</t>
        </is>
      </c>
      <c r="Z573" s="73" t="inlineStr">
        <is>
          <t>https://app-na2.hubspot.com/contacts/243046792/record/0-3/305111030459</t>
        </is>
      </c>
      <c r="AA573" s="73" t="inlineStr"/>
    </row>
    <row r="574">
      <c r="A574" s="73" t="n">
        <v>573</v>
      </c>
      <c r="B574" s="73" t="inlineStr">
        <is>
          <t>106496879328</t>
        </is>
      </c>
      <c r="C574" s="73" t="inlineStr">
        <is>
          <t>928</t>
        </is>
      </c>
      <c r="D574" s="73" t="inlineStr">
        <is>
          <t>Cybersecurity &amp; Information Security Services</t>
        </is>
      </c>
      <c r="E574" s="73" t="inlineStr"/>
      <c r="F574" s="73" t="inlineStr"/>
      <c r="G574" s="73" t="inlineStr">
        <is>
          <t>Closed Lost</t>
        </is>
      </c>
      <c r="H574" s="73" t="inlineStr"/>
      <c r="I574" s="73" t="inlineStr"/>
      <c r="J574" s="73" t="inlineStr">
        <is>
          <t>2026-03-31</t>
        </is>
      </c>
      <c r="K574" s="73" t="inlineStr">
        <is>
          <t>2025-06-26</t>
        </is>
      </c>
      <c r="L574" s="73" t="n"/>
      <c r="M574" s="73" t="inlineStr"/>
      <c r="N574" s="73" t="inlineStr"/>
      <c r="O574" s="73" t="inlineStr">
        <is>
          <t>Madhav Mitruka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2025-06-25</t>
        </is>
      </c>
      <c r="Z574" s="73" t="inlineStr">
        <is>
          <t>https://app-na2.hubspot.com/contacts/243046792/record/0-3/106496879328</t>
        </is>
      </c>
      <c r="AA574" s="73" t="inlineStr"/>
    </row>
    <row r="575">
      <c r="A575" s="73" t="n">
        <v>574</v>
      </c>
      <c r="B575" s="73" t="inlineStr">
        <is>
          <t>110691507903</t>
        </is>
      </c>
      <c r="C575" s="73" t="inlineStr"/>
      <c r="D575" s="73" t="inlineStr">
        <is>
          <t>020-25 - GIS Services: Data, Metadata, Application Development, and Training</t>
        </is>
      </c>
      <c r="E575" s="73" t="inlineStr"/>
      <c r="F575" s="73" t="inlineStr"/>
      <c r="G575" s="73" t="inlineStr">
        <is>
          <t>Closed Lost</t>
        </is>
      </c>
      <c r="H575" s="73" t="inlineStr"/>
      <c r="I575" s="73" t="inlineStr"/>
      <c r="J575" s="73" t="inlineStr">
        <is>
          <t>2026-03-31</t>
        </is>
      </c>
      <c r="K575" s="73" t="inlineStr"/>
      <c r="L575" s="75" t="n">
        <v>96200</v>
      </c>
      <c r="M575" s="73" t="inlineStr"/>
      <c r="N575" s="73" t="inlineStr"/>
      <c r="O575" s="73" t="inlineStr">
        <is>
          <t>Madhav Mitruka</t>
        </is>
      </c>
      <c r="P575" s="73" t="inlineStr"/>
      <c r="Q575" s="73" t="inlineStr"/>
      <c r="R575" s="73" t="inlineStr"/>
      <c r="S575" s="73" t="inlineStr"/>
      <c r="T575" s="73" t="inlineStr"/>
      <c r="U575" s="73" t="inlineStr"/>
      <c r="V575" s="73" t="inlineStr"/>
      <c r="W575" s="73" t="inlineStr"/>
      <c r="X575" s="73" t="inlineStr"/>
      <c r="Y575" s="73" t="inlineStr">
        <is>
          <t>2025-07-01</t>
        </is>
      </c>
      <c r="Z575" s="73" t="inlineStr">
        <is>
          <t>https://app-na2.hubspot.com/contacts/243046792/record/0-3/110691507903</t>
        </is>
      </c>
      <c r="AA575" s="73" t="inlineStr"/>
    </row>
    <row r="576">
      <c r="A576" s="73" t="n">
        <v>575</v>
      </c>
      <c r="B576" s="73" t="inlineStr">
        <is>
          <t>110691507909</t>
        </is>
      </c>
      <c r="C576" s="73" t="inlineStr"/>
      <c r="D576" s="73" t="inlineStr">
        <is>
          <t>CONSULTATION AND INFORMATION TECHNOLOGY SUPPORT SERVICES</t>
        </is>
      </c>
      <c r="E576" s="73" t="inlineStr"/>
      <c r="F576" s="73" t="inlineStr"/>
      <c r="G576" s="73" t="inlineStr">
        <is>
          <t>Closed Lost</t>
        </is>
      </c>
      <c r="H576" s="73" t="inlineStr"/>
      <c r="I576" s="73" t="inlineStr"/>
      <c r="J576" s="73" t="inlineStr">
        <is>
          <t>2026-03-31</t>
        </is>
      </c>
      <c r="K576" s="73" t="inlineStr"/>
      <c r="L576" s="73" t="n"/>
      <c r="M576" s="73" t="inlineStr"/>
      <c r="N576" s="73" t="inlineStr"/>
      <c r="O576" s="73" t="inlineStr">
        <is>
          <t>Madhav Mitruka</t>
        </is>
      </c>
      <c r="P576" s="73" t="inlineStr"/>
      <c r="Q576" s="73" t="inlineStr"/>
      <c r="R576" s="73" t="inlineStr"/>
      <c r="S576" s="73" t="inlineStr"/>
      <c r="T576" s="73" t="inlineStr"/>
      <c r="U576" s="73" t="inlineStr"/>
      <c r="V576" s="73" t="inlineStr"/>
      <c r="W576" s="73" t="inlineStr"/>
      <c r="X576" s="73" t="inlineStr"/>
      <c r="Y576" s="73" t="inlineStr">
        <is>
          <t>2025-07-01</t>
        </is>
      </c>
      <c r="Z576" s="73" t="inlineStr">
        <is>
          <t>https://app-na2.hubspot.com/contacts/243046792/record/0-3/110691507909</t>
        </is>
      </c>
      <c r="AA576" s="73" t="inlineStr"/>
    </row>
    <row r="577">
      <c r="A577" s="73" t="n">
        <v>576</v>
      </c>
      <c r="B577" s="73" t="inlineStr">
        <is>
          <t>108771377911</t>
        </is>
      </c>
      <c r="C577" s="73" t="inlineStr"/>
      <c r="D577" s="73" t="inlineStr">
        <is>
          <t>Facilities and Information Technology Infrastructure Assessment</t>
        </is>
      </c>
      <c r="E577" s="73" t="inlineStr"/>
      <c r="F577" s="73" t="inlineStr"/>
      <c r="G577" s="73" t="inlineStr">
        <is>
          <t>Closed Lost</t>
        </is>
      </c>
      <c r="H577" s="73" t="inlineStr"/>
      <c r="I577" s="73" t="inlineStr"/>
      <c r="J577" s="73" t="inlineStr">
        <is>
          <t>2026-03-31</t>
        </is>
      </c>
      <c r="K577" s="73" t="inlineStr"/>
      <c r="L577" s="73" t="n"/>
      <c r="M577" s="73" t="inlineStr"/>
      <c r="N577" s="73" t="inlineStr"/>
      <c r="O577" s="73" t="inlineStr">
        <is>
          <t>Madhav Mitruka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2025-07-01</t>
        </is>
      </c>
      <c r="Z577" s="73" t="inlineStr">
        <is>
          <t>https://app-na2.hubspot.com/contacts/243046792/record/0-3/108771377911</t>
        </is>
      </c>
      <c r="AA577" s="73" t="inlineStr"/>
    </row>
    <row r="578">
      <c r="A578" s="73" t="n">
        <v>577</v>
      </c>
      <c r="B578" s="73" t="inlineStr">
        <is>
          <t>120893940419</t>
        </is>
      </c>
      <c r="C578" s="73" t="inlineStr">
        <is>
          <t>#25-038-RFP)</t>
        </is>
      </c>
      <c r="D578" s="73" t="inlineStr">
        <is>
          <t>HUMAN RESOURCES INFORMATION SYSTEM (“HRIS”) &amp; LEARNING MANAGEMENT SYSTEM (“LMS”) REPLACEMENT</t>
        </is>
      </c>
      <c r="E578" s="73" t="inlineStr"/>
      <c r="F578" s="73" t="inlineStr"/>
      <c r="G578" s="73" t="inlineStr">
        <is>
          <t>Closed Lost</t>
        </is>
      </c>
      <c r="H578" s="73" t="inlineStr"/>
      <c r="I578" s="73" t="inlineStr"/>
      <c r="J578" s="73" t="inlineStr">
        <is>
          <t>2026-03-31</t>
        </is>
      </c>
      <c r="K578" s="73" t="inlineStr"/>
      <c r="L578" s="73" t="n"/>
      <c r="M578" s="73" t="inlineStr">
        <is>
          <t>Platform Implementation (ERP, CRMs)</t>
        </is>
      </c>
      <c r="N578" s="73" t="inlineStr"/>
      <c r="O578" s="73" t="inlineStr">
        <is>
          <t>Yashaswini Gautam</t>
        </is>
      </c>
      <c r="P578" s="73" t="inlineStr"/>
      <c r="Q578" s="73" t="inlineStr"/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2025-07-14</t>
        </is>
      </c>
      <c r="Z578" s="73" t="inlineStr">
        <is>
          <t>https://app-na2.hubspot.com/contacts/243046792/record/0-3/120893940419</t>
        </is>
      </c>
      <c r="AA578" s="73" t="inlineStr"/>
    </row>
    <row r="579">
      <c r="A579" s="73" t="n">
        <v>578</v>
      </c>
      <c r="B579" s="73" t="inlineStr">
        <is>
          <t>114864654049</t>
        </is>
      </c>
      <c r="C579" s="73" t="inlineStr"/>
      <c r="D579" s="73" t="inlineStr">
        <is>
          <t>M365 Tenant backup</t>
        </is>
      </c>
      <c r="E579" s="73" t="inlineStr"/>
      <c r="F579" s="73" t="inlineStr"/>
      <c r="G579" s="73" t="inlineStr">
        <is>
          <t>Closed Lost</t>
        </is>
      </c>
      <c r="H579" s="73" t="inlineStr"/>
      <c r="I579" s="73" t="inlineStr"/>
      <c r="J579" s="73" t="inlineStr">
        <is>
          <t>2026-03-31</t>
        </is>
      </c>
      <c r="K579" s="73" t="inlineStr"/>
      <c r="L579" s="73" t="n"/>
      <c r="M579" s="73" t="inlineStr"/>
      <c r="N579" s="73" t="inlineStr"/>
      <c r="O579" s="73" t="inlineStr">
        <is>
          <t>Yashaswini Gautam</t>
        </is>
      </c>
      <c r="P579" s="73" t="inlineStr"/>
      <c r="Q579" s="73" t="inlineStr"/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2025-07-09</t>
        </is>
      </c>
      <c r="Z579" s="73" t="inlineStr">
        <is>
          <t>https://app-na2.hubspot.com/contacts/243046792/record/0-3/114864654049</t>
        </is>
      </c>
      <c r="AA579" s="73" t="inlineStr"/>
    </row>
    <row r="580">
      <c r="A580" s="73" t="n">
        <v>579</v>
      </c>
      <c r="B580" s="73" t="inlineStr">
        <is>
          <t>316627027678</t>
        </is>
      </c>
      <c r="C580" s="73" t="inlineStr"/>
      <c r="D580" s="73" t="inlineStr">
        <is>
          <t>Utility Network for Water System</t>
        </is>
      </c>
      <c r="E580" s="73" t="inlineStr">
        <is>
          <t>City of Beaverton</t>
        </is>
      </c>
      <c r="F580" s="73" t="inlineStr">
        <is>
          <t>Oregon</t>
        </is>
      </c>
      <c r="G580" s="73" t="inlineStr">
        <is>
          <t>Submitted</t>
        </is>
      </c>
      <c r="H580" s="73" t="inlineStr"/>
      <c r="I580" s="73" t="inlineStr"/>
      <c r="J580" s="73" t="inlineStr">
        <is>
          <t>2026-03-31</t>
        </is>
      </c>
      <c r="K580" s="73" t="inlineStr">
        <is>
          <t>2026-03-31</t>
        </is>
      </c>
      <c r="L580" s="73" t="n"/>
      <c r="M580" s="73" t="inlineStr">
        <is>
          <t>Consulting</t>
        </is>
      </c>
      <c r="N580" s="73" t="inlineStr">
        <is>
          <t>Portal</t>
        </is>
      </c>
      <c r="O580" s="73" t="inlineStr">
        <is>
          <t>Savya Atrey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2026-03-18</t>
        </is>
      </c>
      <c r="Z580" s="73" t="inlineStr">
        <is>
          <t>https://app-na2.hubspot.com/contacts/243046792/record/0-3/316627027678</t>
        </is>
      </c>
      <c r="AA580" s="73" t="inlineStr"/>
    </row>
    <row r="581">
      <c r="A581" s="73" t="n">
        <v>580</v>
      </c>
      <c r="B581" s="73" t="inlineStr">
        <is>
          <t>317911780087</t>
        </is>
      </c>
      <c r="C581" s="73" t="inlineStr"/>
      <c r="D581" s="73" t="inlineStr">
        <is>
          <t>OFF - Managed Technology Services</t>
        </is>
      </c>
      <c r="E581" s="73" t="inlineStr">
        <is>
          <t>Chillicothe R-II School District</t>
        </is>
      </c>
      <c r="F581" s="73" t="inlineStr">
        <is>
          <t>Missouri</t>
        </is>
      </c>
      <c r="G581" s="73" t="inlineStr">
        <is>
          <t>Submitted</t>
        </is>
      </c>
      <c r="H581" s="73" t="inlineStr"/>
      <c r="I581" s="73" t="inlineStr"/>
      <c r="J581" s="73" t="inlineStr">
        <is>
          <t>2026-03-31</t>
        </is>
      </c>
      <c r="K581" s="73" t="inlineStr">
        <is>
          <t>2026-03-30</t>
        </is>
      </c>
      <c r="L581" s="73" t="n"/>
      <c r="M581" s="73" t="inlineStr">
        <is>
          <t>Managed Services (MSP)</t>
        </is>
      </c>
      <c r="N581" s="73" t="inlineStr">
        <is>
          <t>Offline</t>
        </is>
      </c>
      <c r="O581" s="73" t="inlineStr">
        <is>
          <t>Ashutosh Chauhan</t>
        </is>
      </c>
      <c r="P581" s="73" t="inlineStr"/>
      <c r="Q581" s="73" t="inlineStr"/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2026-03-26</t>
        </is>
      </c>
      <c r="Z581" s="73" t="inlineStr">
        <is>
          <t>https://app-na2.hubspot.com/contacts/243046792/record/0-3/317911780087</t>
        </is>
      </c>
      <c r="AA581" s="73" t="inlineStr"/>
    </row>
    <row r="582">
      <c r="A582" s="73" t="n">
        <v>581</v>
      </c>
      <c r="B582" s="73" t="inlineStr">
        <is>
          <t>310408180446</t>
        </is>
      </c>
      <c r="C582" s="73" t="inlineStr"/>
      <c r="D582" s="73" t="inlineStr">
        <is>
          <t>Digital Transformation and Cybersecurity Solutions for Local Government</t>
        </is>
      </c>
      <c r="E582" s="73" t="inlineStr">
        <is>
          <t>Michigan Municipal Services Authority</t>
        </is>
      </c>
      <c r="F582" s="73" t="inlineStr">
        <is>
          <t>Michigan</t>
        </is>
      </c>
      <c r="G582" s="73" t="inlineStr">
        <is>
          <t>Submitted</t>
        </is>
      </c>
      <c r="H582" s="73" t="inlineStr"/>
      <c r="I582" s="73" t="inlineStr"/>
      <c r="J582" s="73" t="inlineStr">
        <is>
          <t>2026-03-31</t>
        </is>
      </c>
      <c r="K582" s="73" t="inlineStr">
        <is>
          <t>2026-03-31</t>
        </is>
      </c>
      <c r="L582" s="73" t="n"/>
      <c r="M582" s="73" t="inlineStr">
        <is>
          <t>Consulting</t>
        </is>
      </c>
      <c r="N582" s="73" t="inlineStr"/>
      <c r="O582" s="73" t="inlineStr">
        <is>
          <t>Savya Atrey</t>
        </is>
      </c>
      <c r="P582" s="73" t="inlineStr"/>
      <c r="Q582" s="73" t="inlineStr"/>
      <c r="R582" s="73" t="inlineStr"/>
      <c r="S582" s="73" t="inlineStr"/>
      <c r="T582" s="73" t="inlineStr"/>
      <c r="U582" s="73" t="inlineStr"/>
      <c r="V582" s="73" t="inlineStr"/>
      <c r="W582" s="73" t="inlineStr"/>
      <c r="X582" s="73" t="inlineStr"/>
      <c r="Y582" s="73" t="inlineStr">
        <is>
          <t>2026-03-04</t>
        </is>
      </c>
      <c r="Z582" s="73" t="inlineStr">
        <is>
          <t>https://app-na2.hubspot.com/contacts/243046792/record/0-3/310408180446</t>
        </is>
      </c>
      <c r="AA582" s="73" t="inlineStr"/>
    </row>
    <row r="583">
      <c r="A583" s="73" t="n">
        <v>582</v>
      </c>
      <c r="B583" s="73" t="inlineStr">
        <is>
          <t>255700624104</t>
        </is>
      </c>
      <c r="C583" s="73" t="inlineStr"/>
      <c r="D583" s="73" t="inlineStr">
        <is>
          <t>IT Managed Service Provider Selection - Consultant Support</t>
        </is>
      </c>
      <c r="E583" s="73" t="inlineStr">
        <is>
          <t>Mesa Water District</t>
        </is>
      </c>
      <c r="F583" s="73" t="inlineStr">
        <is>
          <t>California</t>
        </is>
      </c>
      <c r="G583" s="73" t="inlineStr">
        <is>
          <t>Closed Lost</t>
        </is>
      </c>
      <c r="H583" s="73" t="inlineStr"/>
      <c r="I583" s="73" t="inlineStr"/>
      <c r="J583" s="73" t="inlineStr">
        <is>
          <t>2026-04-01</t>
        </is>
      </c>
      <c r="K583" s="73" t="inlineStr">
        <is>
          <t>2026-01-20</t>
        </is>
      </c>
      <c r="L583" s="73" t="n"/>
      <c r="M583" s="73" t="inlineStr">
        <is>
          <t>Consulting</t>
        </is>
      </c>
      <c r="N583" s="73" t="inlineStr"/>
      <c r="O583" s="73" t="inlineStr">
        <is>
          <t>Savya Atrey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2026-01-06</t>
        </is>
      </c>
      <c r="Z583" s="73" t="inlineStr">
        <is>
          <t>https://app-na2.hubspot.com/contacts/243046792/record/0-3/255700624104</t>
        </is>
      </c>
      <c r="AA583" s="73" t="inlineStr"/>
    </row>
    <row r="584">
      <c r="A584" s="73" t="n">
        <v>583</v>
      </c>
      <c r="B584" s="73" t="inlineStr">
        <is>
          <t>316973467380</t>
        </is>
      </c>
      <c r="C584" s="73" t="inlineStr"/>
      <c r="D584" s="73" t="inlineStr">
        <is>
          <t>Cybersecurity Services</t>
        </is>
      </c>
      <c r="E584" s="73" t="inlineStr">
        <is>
          <t>City of Meriden</t>
        </is>
      </c>
      <c r="F584" s="73" t="inlineStr">
        <is>
          <t>Connecticut</t>
        </is>
      </c>
      <c r="G584" s="73" t="inlineStr">
        <is>
          <t>Submitted</t>
        </is>
      </c>
      <c r="H584" s="73" t="inlineStr"/>
      <c r="I584" s="73" t="inlineStr"/>
      <c r="J584" s="73" t="inlineStr">
        <is>
          <t>2026-04-01</t>
        </is>
      </c>
      <c r="K584" s="73" t="inlineStr">
        <is>
          <t>2026-04-01</t>
        </is>
      </c>
      <c r="L584" s="75" t="n">
        <v>1119000</v>
      </c>
      <c r="M584" s="73" t="inlineStr">
        <is>
          <t>Managed Services (MSP)</t>
        </is>
      </c>
      <c r="N584" s="73" t="inlineStr">
        <is>
          <t>Portal</t>
        </is>
      </c>
      <c r="O584" s="73" t="inlineStr">
        <is>
          <t>Jyothsna Nanda kishore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2026-03-19</t>
        </is>
      </c>
      <c r="Z584" s="73" t="inlineStr">
        <is>
          <t>https://app-na2.hubspot.com/contacts/243046792/record/0-3/316973467380</t>
        </is>
      </c>
      <c r="AA584" s="73" t="inlineStr"/>
    </row>
    <row r="585">
      <c r="A585" s="73" t="n">
        <v>584</v>
      </c>
      <c r="B585" s="73" t="inlineStr">
        <is>
          <t>316334013169</t>
        </is>
      </c>
      <c r="C585" s="73" t="inlineStr"/>
      <c r="D585" s="73" t="inlineStr">
        <is>
          <t>Technology/IT Coordinator (Part Time)</t>
        </is>
      </c>
      <c r="E585" s="73" t="inlineStr">
        <is>
          <t>Spero Academy</t>
        </is>
      </c>
      <c r="F585" s="73" t="inlineStr">
        <is>
          <t>Minnesota</t>
        </is>
      </c>
      <c r="G585" s="73" t="inlineStr">
        <is>
          <t>Submitted</t>
        </is>
      </c>
      <c r="H585" s="73" t="inlineStr"/>
      <c r="I585" s="73" t="inlineStr"/>
      <c r="J585" s="73" t="inlineStr">
        <is>
          <t>2026-04-01</t>
        </is>
      </c>
      <c r="K585" s="73" t="inlineStr">
        <is>
          <t>2026-03-31</t>
        </is>
      </c>
      <c r="L585" s="73" t="n"/>
      <c r="M585" s="73" t="inlineStr">
        <is>
          <t>Managed Services (MSP)</t>
        </is>
      </c>
      <c r="N585" s="73" t="inlineStr">
        <is>
          <t>Email</t>
        </is>
      </c>
      <c r="O585" s="73" t="inlineStr">
        <is>
          <t>Ashutosh Chauhan</t>
        </is>
      </c>
      <c r="P585" s="73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2026-03-13</t>
        </is>
      </c>
      <c r="Z585" s="73" t="inlineStr">
        <is>
          <t>https://app-na2.hubspot.com/contacts/243046792/record/0-3/316334013169</t>
        </is>
      </c>
      <c r="AA585" s="73" t="inlineStr"/>
    </row>
    <row r="586">
      <c r="A586" s="73" t="n">
        <v>585</v>
      </c>
      <c r="B586" s="73" t="inlineStr">
        <is>
          <t>277652548335</t>
        </is>
      </c>
      <c r="C586" s="73" t="inlineStr"/>
      <c r="D586" s="73" t="inlineStr">
        <is>
          <t>Computerized Maintenance Management Systems (CMMS) Consulting Services</t>
        </is>
      </c>
      <c r="E586" s="73" t="inlineStr">
        <is>
          <t>Maryland Stadium Authority</t>
        </is>
      </c>
      <c r="F586" s="73" t="inlineStr">
        <is>
          <t>Maryland</t>
        </is>
      </c>
      <c r="G586" s="73" t="inlineStr">
        <is>
          <t>Closed Lost</t>
        </is>
      </c>
      <c r="H586" s="73" t="inlineStr">
        <is>
          <t>Yes</t>
        </is>
      </c>
      <c r="I586" s="73" t="inlineStr">
        <is>
          <t>Interview</t>
        </is>
      </c>
      <c r="J586" s="73" t="inlineStr">
        <is>
          <t>2026-04-01</t>
        </is>
      </c>
      <c r="K586" s="73" t="inlineStr">
        <is>
          <t>2026-02-18</t>
        </is>
      </c>
      <c r="L586" s="73" t="n"/>
      <c r="M586" s="73" t="inlineStr">
        <is>
          <t>Consulting</t>
        </is>
      </c>
      <c r="N586" s="73" t="inlineStr">
        <is>
          <t>Portal;Email</t>
        </is>
      </c>
      <c r="O586" s="73" t="inlineStr">
        <is>
          <t>Jyothsna Nanda kishore</t>
        </is>
      </c>
      <c r="P586" s="73" t="inlineStr"/>
      <c r="Q586" s="73" t="inlineStr">
        <is>
          <t>2026-03-23</t>
        </is>
      </c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2026-01-29</t>
        </is>
      </c>
      <c r="Z586" s="73" t="inlineStr">
        <is>
          <t>https://app-na2.hubspot.com/contacts/243046792/record/0-3/277652548335</t>
        </is>
      </c>
      <c r="AA586" s="73" t="inlineStr"/>
    </row>
    <row r="587">
      <c r="A587" s="73" t="n">
        <v>586</v>
      </c>
      <c r="B587" s="73" t="inlineStr">
        <is>
          <t>212628219619</t>
        </is>
      </c>
      <c r="C587" s="73" t="inlineStr">
        <is>
          <t>0000010552</t>
        </is>
      </c>
      <c r="D587" s="73" t="inlineStr">
        <is>
          <t>Extended Support for Maximo 7.6.1.3</t>
        </is>
      </c>
      <c r="E587" s="73" t="inlineStr">
        <is>
          <t>Washington Metropolitan Area Transit Authority</t>
        </is>
      </c>
      <c r="F587" s="73" t="inlineStr"/>
      <c r="G587" s="73" t="inlineStr">
        <is>
          <t>Closed Lost</t>
        </is>
      </c>
      <c r="H587" s="73" t="inlineStr"/>
      <c r="I587" s="73" t="inlineStr"/>
      <c r="J587" s="73" t="inlineStr">
        <is>
          <t>2026-04-01</t>
        </is>
      </c>
      <c r="K587" s="73" t="inlineStr">
        <is>
          <t>2025-11-18</t>
        </is>
      </c>
      <c r="L587" s="75" t="n">
        <v>490500</v>
      </c>
      <c r="M587" s="73" t="inlineStr">
        <is>
          <t>Support &amp; Maintenance</t>
        </is>
      </c>
      <c r="N587" s="73" t="inlineStr">
        <is>
          <t>Portal</t>
        </is>
      </c>
      <c r="O587" s="73" t="inlineStr">
        <is>
          <t>Abhishek Zalani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2025-11-07</t>
        </is>
      </c>
      <c r="Z587" s="73" t="inlineStr">
        <is>
          <t>https://app-na2.hubspot.com/contacts/243046792/record/0-3/212628219619</t>
        </is>
      </c>
      <c r="AA587" s="73" t="inlineStr"/>
    </row>
    <row r="588">
      <c r="A588" s="73" t="n">
        <v>587</v>
      </c>
      <c r="B588" s="73" t="inlineStr">
        <is>
          <t>110969525953</t>
        </is>
      </c>
      <c r="C588" s="73" t="inlineStr">
        <is>
          <t>NA</t>
        </is>
      </c>
      <c r="D588" s="73" t="inlineStr">
        <is>
          <t>Managed IT Services - Lucas County</t>
        </is>
      </c>
      <c r="E588" s="73" t="inlineStr">
        <is>
          <t>Lucas County Board of Developmental Disabilities</t>
        </is>
      </c>
      <c r="F588" s="73" t="inlineStr">
        <is>
          <t>Ohio</t>
        </is>
      </c>
      <c r="G588" s="73" t="inlineStr">
        <is>
          <t>Closed Lost</t>
        </is>
      </c>
      <c r="H588" s="73" t="inlineStr"/>
      <c r="I588" s="73" t="inlineStr"/>
      <c r="J588" s="73" t="inlineStr">
        <is>
          <t>2026-04-01</t>
        </is>
      </c>
      <c r="K588" s="73" t="inlineStr">
        <is>
          <t>2025-07-03</t>
        </is>
      </c>
      <c r="L588" s="75" t="n">
        <v>381250</v>
      </c>
      <c r="M588" s="73" t="inlineStr">
        <is>
          <t>Managed Services (MSP)</t>
        </is>
      </c>
      <c r="N588" s="73" t="inlineStr">
        <is>
          <t>Portal</t>
        </is>
      </c>
      <c r="O588" s="73" t="inlineStr">
        <is>
          <t>Jyothsna Nanda kishore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2025-07-02</t>
        </is>
      </c>
      <c r="Z588" s="73" t="inlineStr">
        <is>
          <t>https://app-na2.hubspot.com/contacts/243046792/record/0-3/110969525953</t>
        </is>
      </c>
      <c r="AA588" s="73" t="inlineStr"/>
    </row>
    <row r="589">
      <c r="A589" s="73" t="n">
        <v>588</v>
      </c>
      <c r="B589" s="73" t="inlineStr">
        <is>
          <t>121105638127</t>
        </is>
      </c>
      <c r="C589" s="73" t="inlineStr">
        <is>
          <t>25-0212-IT</t>
        </is>
      </c>
      <c r="D589" s="73" t="inlineStr">
        <is>
          <t>MICROSOFT OFFICE 365, EXCHANGE,DEFENDER, TRAINING AND TECH SUPPORT</t>
        </is>
      </c>
      <c r="E589" s="73" t="inlineStr">
        <is>
          <t>City of Florissant</t>
        </is>
      </c>
      <c r="F589" s="73" t="inlineStr">
        <is>
          <t>Missouri</t>
        </is>
      </c>
      <c r="G589" s="73" t="inlineStr">
        <is>
          <t>Closed Lost</t>
        </is>
      </c>
      <c r="H589" s="73" t="inlineStr"/>
      <c r="I589" s="73" t="inlineStr"/>
      <c r="J589" s="73" t="inlineStr">
        <is>
          <t>2026-04-01</t>
        </is>
      </c>
      <c r="K589" s="73" t="inlineStr">
        <is>
          <t>2025-06-27</t>
        </is>
      </c>
      <c r="L589" s="73" t="n"/>
      <c r="M589" s="73" t="inlineStr">
        <is>
          <t>Consulting</t>
        </is>
      </c>
      <c r="N589" s="73" t="inlineStr"/>
      <c r="O589" s="73" t="inlineStr">
        <is>
          <t>Jyothsna Nanda kishore</t>
        </is>
      </c>
      <c r="P589" s="73" t="inlineStr"/>
      <c r="Q589" s="73" t="inlineStr"/>
      <c r="R589" s="73" t="inlineStr"/>
      <c r="S589" s="73" t="inlineStr"/>
      <c r="T589" s="73" t="inlineStr"/>
      <c r="U589" s="73" t="inlineStr">
        <is>
          <t>2025-08-01</t>
        </is>
      </c>
      <c r="V589" s="73" t="inlineStr">
        <is>
          <t>In Process</t>
        </is>
      </c>
      <c r="W589" s="73" t="inlineStr"/>
      <c r="X589" s="73" t="inlineStr"/>
      <c r="Y589" s="73" t="inlineStr">
        <is>
          <t>2025-07-17</t>
        </is>
      </c>
      <c r="Z589" s="73" t="inlineStr">
        <is>
          <t>https://app-na2.hubspot.com/contacts/243046792/record/0-3/121105638127</t>
        </is>
      </c>
      <c r="AA589" s="73" t="inlineStr">
        <is>
          <t>Yes</t>
        </is>
      </c>
    </row>
    <row r="590">
      <c r="A590" s="73" t="n">
        <v>589</v>
      </c>
      <c r="B590" s="73" t="inlineStr">
        <is>
          <t>110968805088</t>
        </is>
      </c>
      <c r="C590" s="73" t="inlineStr">
        <is>
          <t>C001203</t>
        </is>
      </c>
      <c r="D590" s="73" t="inlineStr">
        <is>
          <t>Senior Java Architect</t>
        </is>
      </c>
      <c r="E590" s="73" t="inlineStr">
        <is>
          <t>New York State Office of the State Comptroller</t>
        </is>
      </c>
      <c r="F590" s="73" t="inlineStr">
        <is>
          <t>New York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2026-04-01</t>
        </is>
      </c>
      <c r="K590" s="73" t="inlineStr">
        <is>
          <t>2025-07-16</t>
        </is>
      </c>
      <c r="L590" s="73" t="n"/>
      <c r="M590" s="73" t="inlineStr">
        <is>
          <t>Staff Augmentation</t>
        </is>
      </c>
      <c r="N590" s="73" t="inlineStr">
        <is>
          <t>Email</t>
        </is>
      </c>
      <c r="O590" s="73" t="inlineStr">
        <is>
          <t>Jyothsna Nanda kishore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2025-07-02</t>
        </is>
      </c>
      <c r="Z590" s="73" t="inlineStr">
        <is>
          <t>https://app-na2.hubspot.com/contacts/243046792/record/0-3/110968805088</t>
        </is>
      </c>
      <c r="AA590" s="73" t="inlineStr"/>
    </row>
    <row r="591">
      <c r="A591" s="73" t="n">
        <v>590</v>
      </c>
      <c r="B591" s="73" t="inlineStr">
        <is>
          <t>190919148235</t>
        </is>
      </c>
      <c r="C591" s="73" t="inlineStr"/>
      <c r="D591" s="73" t="inlineStr">
        <is>
          <t xml:space="preserve">SharePoint Assessment </t>
        </is>
      </c>
      <c r="E591" s="73" t="inlineStr">
        <is>
          <t>Community Legal Services of Mid-Florida, Inc. d/b/a Community Legal Services</t>
        </is>
      </c>
      <c r="F591" s="73" t="inlineStr"/>
      <c r="G591" s="73" t="inlineStr">
        <is>
          <t>Closed Lost</t>
        </is>
      </c>
      <c r="H591" s="73" t="inlineStr"/>
      <c r="I591" s="73" t="inlineStr"/>
      <c r="J591" s="73" t="inlineStr">
        <is>
          <t>2026-04-01</t>
        </is>
      </c>
      <c r="K591" s="73" t="inlineStr">
        <is>
          <t>2025-10-30</t>
        </is>
      </c>
      <c r="L591" s="75" t="n">
        <v>16800</v>
      </c>
      <c r="M591" s="73" t="inlineStr">
        <is>
          <t>Audits and Assessment</t>
        </is>
      </c>
      <c r="N591" s="73" t="inlineStr">
        <is>
          <t>Email</t>
        </is>
      </c>
      <c r="O591" s="73" t="inlineStr">
        <is>
          <t>Abhishek Zalani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2025-10-17</t>
        </is>
      </c>
      <c r="Z591" s="73" t="inlineStr">
        <is>
          <t>https://app-na2.hubspot.com/contacts/243046792/record/0-3/190919148235</t>
        </is>
      </c>
      <c r="AA591" s="73" t="inlineStr"/>
    </row>
    <row r="592">
      <c r="A592" s="73" t="n">
        <v>591</v>
      </c>
      <c r="B592" s="73" t="inlineStr">
        <is>
          <t>256863961831</t>
        </is>
      </c>
      <c r="C592" s="73" t="inlineStr">
        <is>
          <t>RFP 2026-001</t>
        </is>
      </c>
      <c r="D592" s="73" t="inlineStr">
        <is>
          <t>IT Managed Services</t>
        </is>
      </c>
      <c r="E592" s="73" t="inlineStr">
        <is>
          <t>Regional Transit Authority of Southeast Michigan</t>
        </is>
      </c>
      <c r="F592" s="73" t="inlineStr">
        <is>
          <t>Michigan</t>
        </is>
      </c>
      <c r="G592" s="73" t="inlineStr">
        <is>
          <t>Closed Lost</t>
        </is>
      </c>
      <c r="H592" s="73" t="inlineStr">
        <is>
          <t>Yes</t>
        </is>
      </c>
      <c r="I592" s="73" t="inlineStr">
        <is>
          <t>Interview</t>
        </is>
      </c>
      <c r="J592" s="73" t="inlineStr">
        <is>
          <t>2026-04-01</t>
        </is>
      </c>
      <c r="K592" s="73" t="inlineStr">
        <is>
          <t>2026-01-30</t>
        </is>
      </c>
      <c r="L592" s="75" t="n">
        <v>75060</v>
      </c>
      <c r="M592" s="73" t="inlineStr">
        <is>
          <t>Managed Services (MSP)</t>
        </is>
      </c>
      <c r="N592" s="73" t="inlineStr">
        <is>
          <t>Email</t>
        </is>
      </c>
      <c r="O592" s="73" t="inlineStr">
        <is>
          <t>Savya Atrey</t>
        </is>
      </c>
      <c r="P592" s="73" t="inlineStr">
        <is>
          <t>Interview Scheduled</t>
        </is>
      </c>
      <c r="Q592" s="73" t="inlineStr">
        <is>
          <t>2025-11-14</t>
        </is>
      </c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2026-01-08</t>
        </is>
      </c>
      <c r="Z592" s="73" t="inlineStr">
        <is>
          <t>https://app-na2.hubspot.com/contacts/243046792/record/0-3/256863961831</t>
        </is>
      </c>
      <c r="AA592" s="73" t="inlineStr"/>
    </row>
    <row r="593">
      <c r="A593" s="73" t="n">
        <v>592</v>
      </c>
      <c r="B593" s="73" t="inlineStr">
        <is>
          <t>204626559719</t>
        </is>
      </c>
      <c r="C593" s="73" t="inlineStr"/>
      <c r="D593" s="73" t="inlineStr">
        <is>
          <t>Managed Service Provider (MSP) Services</t>
        </is>
      </c>
      <c r="E593" s="73" t="inlineStr">
        <is>
          <t>County of Belknap</t>
        </is>
      </c>
      <c r="F593" s="73" t="inlineStr">
        <is>
          <t>New Hampshire</t>
        </is>
      </c>
      <c r="G593" s="73" t="inlineStr">
        <is>
          <t>Closed Lost</t>
        </is>
      </c>
      <c r="H593" s="73" t="inlineStr"/>
      <c r="I593" s="73" t="inlineStr"/>
      <c r="J593" s="73" t="inlineStr">
        <is>
          <t>2026-04-01</t>
        </is>
      </c>
      <c r="K593" s="73" t="inlineStr">
        <is>
          <t>2025-11-20</t>
        </is>
      </c>
      <c r="L593" s="75" t="n">
        <v>194880</v>
      </c>
      <c r="M593" s="73" t="inlineStr">
        <is>
          <t>Managed Services (MSP)</t>
        </is>
      </c>
      <c r="N593" s="73" t="inlineStr">
        <is>
          <t>Email</t>
        </is>
      </c>
      <c r="O593" s="73" t="inlineStr">
        <is>
          <t>Abhishek Zalani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2025-10-30</t>
        </is>
      </c>
      <c r="Z593" s="73" t="inlineStr">
        <is>
          <t>https://app-na2.hubspot.com/contacts/243046792/record/0-3/204626559719</t>
        </is>
      </c>
      <c r="AA593" s="73" t="inlineStr"/>
    </row>
    <row r="594">
      <c r="A594" s="73" t="n">
        <v>593</v>
      </c>
      <c r="B594" s="73" t="inlineStr">
        <is>
          <t>275926212329</t>
        </is>
      </c>
      <c r="C594" s="73" t="inlineStr"/>
      <c r="D594" s="73" t="inlineStr">
        <is>
          <t>MICROSOFT OFFICE 365 LICENSING</t>
        </is>
      </c>
      <c r="E594" s="73" t="inlineStr">
        <is>
          <t>Village of Tinley Park</t>
        </is>
      </c>
      <c r="F594" s="73" t="inlineStr">
        <is>
          <t>Illinois</t>
        </is>
      </c>
      <c r="G594" s="73" t="inlineStr">
        <is>
          <t>Closed Won</t>
        </is>
      </c>
      <c r="H594" s="73" t="inlineStr"/>
      <c r="I594" s="73" t="inlineStr"/>
      <c r="J594" s="73" t="inlineStr">
        <is>
          <t>2026-04-01</t>
        </is>
      </c>
      <c r="K594" s="73" t="inlineStr">
        <is>
          <t>2026-02-06</t>
        </is>
      </c>
      <c r="L594" s="75" t="n">
        <v>114400</v>
      </c>
      <c r="M594" s="73" t="inlineStr">
        <is>
          <t>Reseller</t>
        </is>
      </c>
      <c r="N594" s="73" t="inlineStr">
        <is>
          <t>Offline</t>
        </is>
      </c>
      <c r="O594" s="73" t="inlineStr">
        <is>
          <t>Jyothsna Nanda kishore</t>
        </is>
      </c>
      <c r="P594" s="73" t="inlineStr"/>
      <c r="Q594" s="73" t="inlineStr"/>
      <c r="R594" s="73" t="inlineStr"/>
      <c r="S594" s="73" t="inlineStr"/>
      <c r="T594" s="73" t="inlineStr"/>
      <c r="U594" s="73" t="inlineStr">
        <is>
          <t>2026-02-09</t>
        </is>
      </c>
      <c r="V594" s="73" t="inlineStr"/>
      <c r="W594" s="73" t="inlineStr"/>
      <c r="X594" s="73" t="inlineStr"/>
      <c r="Y594" s="73" t="inlineStr">
        <is>
          <t>2026-01-28</t>
        </is>
      </c>
      <c r="Z594" s="73" t="inlineStr">
        <is>
          <t>https://app-na2.hubspot.com/contacts/243046792/record/0-3/275926212329</t>
        </is>
      </c>
      <c r="AA594" s="73" t="inlineStr">
        <is>
          <t>No</t>
        </is>
      </c>
    </row>
    <row r="595">
      <c r="A595" s="73" t="n">
        <v>594</v>
      </c>
      <c r="B595" s="73" t="inlineStr">
        <is>
          <t>285814477558</t>
        </is>
      </c>
      <c r="C595" s="73" t="inlineStr"/>
      <c r="D595" s="73" t="inlineStr">
        <is>
          <t>RFQ - 1400 Long Beach Cybersecurity Grant Program</t>
        </is>
      </c>
      <c r="E595" s="73" t="inlineStr">
        <is>
          <t>City of Long Beach</t>
        </is>
      </c>
      <c r="F595" s="73" t="inlineStr">
        <is>
          <t>California</t>
        </is>
      </c>
      <c r="G595" s="73" t="inlineStr">
        <is>
          <t>Closed Won</t>
        </is>
      </c>
      <c r="H595" s="73" t="inlineStr"/>
      <c r="I595" s="73" t="inlineStr"/>
      <c r="J595" s="73" t="inlineStr">
        <is>
          <t>2026-04-01</t>
        </is>
      </c>
      <c r="K595" s="73" t="inlineStr">
        <is>
          <t>2026-02-26</t>
        </is>
      </c>
      <c r="L595" s="73" t="n"/>
      <c r="M595" s="73" t="inlineStr">
        <is>
          <t>Audits and Assessment</t>
        </is>
      </c>
      <c r="N595" s="73" t="inlineStr">
        <is>
          <t>Portal</t>
        </is>
      </c>
      <c r="O595" s="73" t="inlineStr">
        <is>
          <t>Jyothsna Nanda kishore</t>
        </is>
      </c>
      <c r="P595" s="73" t="inlineStr"/>
      <c r="Q595" s="73" t="inlineStr"/>
      <c r="R595" s="73" t="inlineStr"/>
      <c r="S595" s="73" t="inlineStr">
        <is>
          <t>2026-03-12</t>
        </is>
      </c>
      <c r="T595" s="73" t="inlineStr"/>
      <c r="U595" s="73" t="inlineStr">
        <is>
          <t>2026-03-03</t>
        </is>
      </c>
      <c r="V595" s="73" t="inlineStr"/>
      <c r="W595" s="73" t="inlineStr"/>
      <c r="X595" s="73" t="inlineStr"/>
      <c r="Y595" s="73" t="inlineStr">
        <is>
          <t>2026-02-04</t>
        </is>
      </c>
      <c r="Z595" s="73" t="inlineStr">
        <is>
          <t>https://app-na2.hubspot.com/contacts/243046792/record/0-3/285814477558</t>
        </is>
      </c>
      <c r="AA595" s="73" t="inlineStr">
        <is>
          <t>Yes</t>
        </is>
      </c>
    </row>
    <row r="596">
      <c r="A596" s="73" t="n">
        <v>595</v>
      </c>
      <c r="B596" s="73" t="inlineStr">
        <is>
          <t>316077053638</t>
        </is>
      </c>
      <c r="C596" s="73" t="inlineStr">
        <is>
          <t>5400029438</t>
        </is>
      </c>
      <c r="D596" s="73" t="inlineStr">
        <is>
          <t>IT CONSULTING SERVICES</t>
        </is>
      </c>
      <c r="E596" s="73" t="inlineStr">
        <is>
          <t>Midlands Technical College</t>
        </is>
      </c>
      <c r="F596" s="73" t="inlineStr">
        <is>
          <t>South Carolina</t>
        </is>
      </c>
      <c r="G596" s="73" t="inlineStr">
        <is>
          <t>Submitted</t>
        </is>
      </c>
      <c r="H596" s="73" t="inlineStr"/>
      <c r="I596" s="73" t="inlineStr"/>
      <c r="J596" s="73" t="inlineStr">
        <is>
          <t>2026-04-02</t>
        </is>
      </c>
      <c r="K596" s="73" t="inlineStr">
        <is>
          <t>2026-03-30</t>
        </is>
      </c>
      <c r="L596" s="75" t="n">
        <v>78500</v>
      </c>
      <c r="M596" s="73" t="inlineStr">
        <is>
          <t>Consulting</t>
        </is>
      </c>
      <c r="N596" s="73" t="inlineStr">
        <is>
          <t>Portal</t>
        </is>
      </c>
      <c r="O596" s="73" t="inlineStr">
        <is>
          <t>Jyothsna Nanda kishore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2026-03-12</t>
        </is>
      </c>
      <c r="Z596" s="73" t="inlineStr">
        <is>
          <t>https://app-na2.hubspot.com/contacts/243046792/record/0-3/316077053638</t>
        </is>
      </c>
      <c r="AA596" s="73" t="inlineStr"/>
    </row>
    <row r="597">
      <c r="A597" s="73" t="n">
        <v>596</v>
      </c>
      <c r="B597" s="73" t="inlineStr">
        <is>
          <t>182404955873</t>
        </is>
      </c>
      <c r="C597" s="73" t="inlineStr"/>
      <c r="D597" s="73" t="inlineStr">
        <is>
          <t>Microsoft 365/Teams/SharePointBuild Out</t>
        </is>
      </c>
      <c r="E597" s="73" t="inlineStr">
        <is>
          <t>City of Loveland</t>
        </is>
      </c>
      <c r="F597" s="73" t="inlineStr">
        <is>
          <t>Colorado</t>
        </is>
      </c>
      <c r="G597" s="73" t="inlineStr">
        <is>
          <t>Closed Lost</t>
        </is>
      </c>
      <c r="H597" s="73" t="inlineStr">
        <is>
          <t>Yes</t>
        </is>
      </c>
      <c r="I597" s="73" t="inlineStr">
        <is>
          <t>Interview</t>
        </is>
      </c>
      <c r="J597" s="73" t="inlineStr">
        <is>
          <t>2026-04-02</t>
        </is>
      </c>
      <c r="K597" s="73" t="inlineStr">
        <is>
          <t>2025-10-28</t>
        </is>
      </c>
      <c r="L597" s="73" t="n"/>
      <c r="M597" s="73" t="inlineStr">
        <is>
          <t>Modernization / Migration;Training;Consulting</t>
        </is>
      </c>
      <c r="N597" s="73" t="inlineStr"/>
      <c r="O597" s="73" t="inlineStr">
        <is>
          <t>Abhishek Zalani</t>
        </is>
      </c>
      <c r="P597" s="73" t="inlineStr">
        <is>
          <t>Interview Scheduled</t>
        </is>
      </c>
      <c r="Q597" s="73" t="inlineStr">
        <is>
          <t>2026-01-12</t>
        </is>
      </c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2025-10-09</t>
        </is>
      </c>
      <c r="Z597" s="73" t="inlineStr">
        <is>
          <t>https://app-na2.hubspot.com/contacts/243046792/record/0-3/182404955873</t>
        </is>
      </c>
      <c r="AA597" s="73" t="inlineStr"/>
    </row>
    <row r="598">
      <c r="A598" s="73" t="n">
        <v>597</v>
      </c>
      <c r="B598" s="73" t="inlineStr">
        <is>
          <t>269636003573</t>
        </is>
      </c>
      <c r="C598" s="73" t="inlineStr"/>
      <c r="D598" s="73" t="inlineStr">
        <is>
          <t>Offline - Managed IT Services</t>
        </is>
      </c>
      <c r="E598" s="73" t="inlineStr">
        <is>
          <t>Ledyard Public Schools</t>
        </is>
      </c>
      <c r="F598" s="73" t="inlineStr">
        <is>
          <t>Connecticut</t>
        </is>
      </c>
      <c r="G598" s="73" t="inlineStr">
        <is>
          <t>Closed Lost</t>
        </is>
      </c>
      <c r="H598" s="73" t="inlineStr">
        <is>
          <t>Yes</t>
        </is>
      </c>
      <c r="I598" s="73" t="inlineStr">
        <is>
          <t>Interview</t>
        </is>
      </c>
      <c r="J598" s="73" t="inlineStr">
        <is>
          <t>2026-04-02</t>
        </is>
      </c>
      <c r="K598" s="73" t="inlineStr">
        <is>
          <t>2026-02-09</t>
        </is>
      </c>
      <c r="L598" s="73" t="n"/>
      <c r="M598" s="73" t="inlineStr">
        <is>
          <t>Managed Services (MSP)</t>
        </is>
      </c>
      <c r="N598" s="73" t="inlineStr"/>
      <c r="O598" s="73" t="inlineStr">
        <is>
          <t>Savya Atrey</t>
        </is>
      </c>
      <c r="P598" s="73" t="inlineStr">
        <is>
          <t>Interview Scheduled</t>
        </is>
      </c>
      <c r="Q598" s="73" t="inlineStr">
        <is>
          <t>2026-02-25</t>
        </is>
      </c>
      <c r="R598" s="73" t="inlineStr"/>
      <c r="S598" s="73" t="inlineStr"/>
      <c r="T598" s="73" t="inlineStr"/>
      <c r="U598" s="73" t="inlineStr"/>
      <c r="V598" s="73" t="inlineStr"/>
      <c r="W598" s="73" t="inlineStr"/>
      <c r="X598" s="73" t="inlineStr"/>
      <c r="Y598" s="73" t="inlineStr">
        <is>
          <t>2026-01-21</t>
        </is>
      </c>
      <c r="Z598" s="73" t="inlineStr">
        <is>
          <t>https://app-na2.hubspot.com/contacts/243046792/record/0-3/269636003573</t>
        </is>
      </c>
      <c r="AA598" s="73" t="inlineStr"/>
    </row>
    <row r="599">
      <c r="A599" s="73" t="n">
        <v>598</v>
      </c>
      <c r="B599" s="73" t="inlineStr">
        <is>
          <t>316632796907</t>
        </is>
      </c>
      <c r="C599" s="73" t="inlineStr"/>
      <c r="D599" s="73" t="inlineStr">
        <is>
          <t>City Information Technology Support Services</t>
        </is>
      </c>
      <c r="E599" s="73" t="inlineStr">
        <is>
          <t>City of Pacific</t>
        </is>
      </c>
      <c r="F599" s="73" t="inlineStr">
        <is>
          <t>Missouri</t>
        </is>
      </c>
      <c r="G599" s="73" t="inlineStr">
        <is>
          <t>Submitted</t>
        </is>
      </c>
      <c r="H599" s="73" t="inlineStr"/>
      <c r="I599" s="73" t="inlineStr"/>
      <c r="J599" s="73" t="inlineStr">
        <is>
          <t>2026-04-02</t>
        </is>
      </c>
      <c r="K599" s="73" t="inlineStr">
        <is>
          <t>2026-03-31</t>
        </is>
      </c>
      <c r="L599" s="73" t="n"/>
      <c r="M599" s="73" t="inlineStr">
        <is>
          <t>Managed Services (MSP)</t>
        </is>
      </c>
      <c r="N599" s="73" t="inlineStr"/>
      <c r="O599" s="73" t="inlineStr">
        <is>
          <t>Savya Atrey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2026-03-18</t>
        </is>
      </c>
      <c r="Z599" s="73" t="inlineStr">
        <is>
          <t>https://app-na2.hubspot.com/contacts/243046792/record/0-3/316632796907</t>
        </is>
      </c>
      <c r="AA599" s="73" t="inlineStr"/>
    </row>
    <row r="600">
      <c r="A600" s="73" t="n">
        <v>599</v>
      </c>
      <c r="B600" s="73" t="inlineStr">
        <is>
          <t>159541459657</t>
        </is>
      </c>
      <c r="C600" s="73" t="inlineStr">
        <is>
          <t>WSD001</t>
        </is>
      </c>
      <c r="D600" s="73" t="inlineStr">
        <is>
          <t>Microsoft Power Platform Training</t>
        </is>
      </c>
      <c r="E600" s="73" t="inlineStr">
        <is>
          <t>County of Los Angeles Department of Public Works</t>
        </is>
      </c>
      <c r="F600" s="73" t="inlineStr">
        <is>
          <t>California</t>
        </is>
      </c>
      <c r="G600" s="73" t="inlineStr">
        <is>
          <t>Closed Won</t>
        </is>
      </c>
      <c r="H600" s="73" t="inlineStr"/>
      <c r="I600" s="73" t="inlineStr"/>
      <c r="J600" s="73" t="inlineStr">
        <is>
          <t>2026-04-02</t>
        </is>
      </c>
      <c r="K600" s="73" t="inlineStr">
        <is>
          <t>2025-09-25</t>
        </is>
      </c>
      <c r="L600" s="75" t="n">
        <v>12000</v>
      </c>
      <c r="M600" s="73" t="inlineStr">
        <is>
          <t>Training</t>
        </is>
      </c>
      <c r="N600" s="73" t="inlineStr">
        <is>
          <t>Email</t>
        </is>
      </c>
      <c r="O600" s="73" t="inlineStr">
        <is>
          <t>Jyothsna Nanda kishore</t>
        </is>
      </c>
      <c r="P600" s="73" t="inlineStr"/>
      <c r="Q600" s="73" t="inlineStr"/>
      <c r="R600" s="73" t="inlineStr"/>
      <c r="S600" s="73" t="inlineStr"/>
      <c r="T600" s="73" t="inlineStr"/>
      <c r="U600" s="73" t="inlineStr">
        <is>
          <t>2026-04-01</t>
        </is>
      </c>
      <c r="V600" s="73" t="inlineStr"/>
      <c r="W600" s="73" t="inlineStr"/>
      <c r="X600" s="73" t="inlineStr"/>
      <c r="Y600" s="73" t="inlineStr">
        <is>
          <t>2025-09-12</t>
        </is>
      </c>
      <c r="Z600" s="73" t="inlineStr">
        <is>
          <t>https://app-na2.hubspot.com/contacts/243046792/record/0-3/159541459657</t>
        </is>
      </c>
      <c r="AA600" s="73" t="inlineStr">
        <is>
          <t>Yes</t>
        </is>
      </c>
    </row>
    <row r="601">
      <c r="A601" s="73" t="n">
        <v>600</v>
      </c>
      <c r="B601" s="73" t="inlineStr">
        <is>
          <t>180873376458</t>
        </is>
      </c>
      <c r="C601" s="73" t="inlineStr">
        <is>
          <t>EVT0010497</t>
        </is>
      </c>
      <c r="D601" s="73" t="inlineStr">
        <is>
          <t>FileNet Upgrade</t>
        </is>
      </c>
      <c r="E601" s="73" t="inlineStr">
        <is>
          <t>Kansas Department of Revenue</t>
        </is>
      </c>
      <c r="F601" s="73" t="inlineStr">
        <is>
          <t>Kansas</t>
        </is>
      </c>
      <c r="G601" s="73" t="inlineStr">
        <is>
          <t>Closed Lost</t>
        </is>
      </c>
      <c r="H601" s="73" t="inlineStr"/>
      <c r="I601" s="73" t="inlineStr"/>
      <c r="J601" s="73" t="inlineStr">
        <is>
          <t>2026-04-02</t>
        </is>
      </c>
      <c r="K601" s="73" t="inlineStr">
        <is>
          <t>2025-10-30</t>
        </is>
      </c>
      <c r="L601" s="75" t="n">
        <v>60350</v>
      </c>
      <c r="M601" s="73" t="inlineStr">
        <is>
          <t>Modernization / Migration</t>
        </is>
      </c>
      <c r="N601" s="73" t="inlineStr">
        <is>
          <t>Email</t>
        </is>
      </c>
      <c r="O601" s="73" t="inlineStr">
        <is>
          <t>Abhishek Zalani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2025-10-09</t>
        </is>
      </c>
      <c r="Z601" s="73" t="inlineStr">
        <is>
          <t>https://app-na2.hubspot.com/contacts/243046792/record/0-3/180873376458</t>
        </is>
      </c>
      <c r="AA601" s="73" t="inlineStr"/>
    </row>
    <row r="602">
      <c r="A602" s="73" t="n">
        <v>601</v>
      </c>
      <c r="B602" s="73" t="inlineStr">
        <is>
          <t>154541043431</t>
        </is>
      </c>
      <c r="C602" s="73" t="inlineStr"/>
      <c r="D602" s="73" t="inlineStr">
        <is>
          <t>CRM System</t>
        </is>
      </c>
      <c r="E602" s="73" t="inlineStr">
        <is>
          <t>City of Rosenberg</t>
        </is>
      </c>
      <c r="F602" s="73" t="inlineStr">
        <is>
          <t>Texas</t>
        </is>
      </c>
      <c r="G602" s="73" t="inlineStr">
        <is>
          <t>Closed Lost</t>
        </is>
      </c>
      <c r="H602" s="73" t="inlineStr"/>
      <c r="I602" s="73" t="inlineStr"/>
      <c r="J602" s="73" t="inlineStr">
        <is>
          <t>2026-04-02</t>
        </is>
      </c>
      <c r="K602" s="73" t="inlineStr">
        <is>
          <t>2025-09-30</t>
        </is>
      </c>
      <c r="L602" s="75" t="n">
        <v>64900</v>
      </c>
      <c r="M602" s="73" t="inlineStr">
        <is>
          <t>Platform Implementation (ERP, CRMs)</t>
        </is>
      </c>
      <c r="N602" s="73" t="inlineStr">
        <is>
          <t>Portal</t>
        </is>
      </c>
      <c r="O602" s="73" t="inlineStr">
        <is>
          <t>Jyothsna Nanda kishore</t>
        </is>
      </c>
      <c r="P602" s="73" t="inlineStr"/>
      <c r="Q602" s="73" t="inlineStr"/>
      <c r="R602" s="73" t="inlineStr"/>
      <c r="S602" s="73" t="inlineStr"/>
      <c r="T602" s="73" t="inlineStr"/>
      <c r="U602" s="73" t="inlineStr"/>
      <c r="V602" s="73" t="inlineStr"/>
      <c r="W602" s="73" t="inlineStr"/>
      <c r="X602" s="73" t="inlineStr"/>
      <c r="Y602" s="73" t="inlineStr">
        <is>
          <t>2025-09-03</t>
        </is>
      </c>
      <c r="Z602" s="73" t="inlineStr">
        <is>
          <t>https://app-na2.hubspot.com/contacts/243046792/record/0-3/154541043431</t>
        </is>
      </c>
      <c r="AA602" s="73" t="inlineStr"/>
    </row>
    <row r="603">
      <c r="A603" s="73" t="n">
        <v>602</v>
      </c>
      <c r="B603" s="73" t="inlineStr">
        <is>
          <t>316634152684</t>
        </is>
      </c>
      <c r="C603" s="73" t="inlineStr">
        <is>
          <t>RFP-2026-01-0-2026/JL</t>
        </is>
      </c>
      <c r="D603" s="73" t="inlineStr">
        <is>
          <t>Information Technology Services and Management</t>
        </is>
      </c>
      <c r="E603" s="73" t="inlineStr">
        <is>
          <t>Palm Beach Metropolitan Planning Organization</t>
        </is>
      </c>
      <c r="F603" s="73" t="inlineStr">
        <is>
          <t>Florida</t>
        </is>
      </c>
      <c r="G603" s="73" t="inlineStr">
        <is>
          <t>Submitted</t>
        </is>
      </c>
      <c r="H603" s="73" t="inlineStr"/>
      <c r="I603" s="73" t="inlineStr"/>
      <c r="J603" s="73" t="inlineStr">
        <is>
          <t>2026-04-03</t>
        </is>
      </c>
      <c r="K603" s="73" t="inlineStr">
        <is>
          <t>2026-04-03</t>
        </is>
      </c>
      <c r="L603" s="73" t="n"/>
      <c r="M603" s="73" t="inlineStr">
        <is>
          <t>Managed Services (MSP)</t>
        </is>
      </c>
      <c r="N603" s="73" t="inlineStr"/>
      <c r="O603" s="73" t="inlineStr">
        <is>
          <t>Ashutosh Chauhan</t>
        </is>
      </c>
      <c r="P603" s="73" t="inlineStr"/>
      <c r="Q603" s="73" t="inlineStr"/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>
        <is>
          <t>2026-03-18</t>
        </is>
      </c>
      <c r="Z603" s="73" t="inlineStr">
        <is>
          <t>https://app-na2.hubspot.com/contacts/243046792/record/0-3/316634152684</t>
        </is>
      </c>
      <c r="AA603" s="73" t="inlineStr"/>
    </row>
    <row r="604">
      <c r="A604" s="73" t="n">
        <v>603</v>
      </c>
      <c r="B604" s="73" t="inlineStr">
        <is>
          <t>157264848599</t>
        </is>
      </c>
      <c r="C604" s="73" t="inlineStr"/>
      <c r="D604" s="73" t="inlineStr">
        <is>
          <t>Managed IT Professional Services</t>
        </is>
      </c>
      <c r="E604" s="73" t="inlineStr">
        <is>
          <t>Star Transit</t>
        </is>
      </c>
      <c r="F604" s="73" t="inlineStr">
        <is>
          <t>Texas</t>
        </is>
      </c>
      <c r="G604" s="73" t="inlineStr">
        <is>
          <t>Closed Lost</t>
        </is>
      </c>
      <c r="H604" s="73" t="inlineStr"/>
      <c r="I604" s="73" t="inlineStr"/>
      <c r="J604" s="73" t="inlineStr">
        <is>
          <t>2026-04-03</t>
        </is>
      </c>
      <c r="K604" s="73" t="inlineStr">
        <is>
          <t>2025-10-14</t>
        </is>
      </c>
      <c r="L604" s="73" t="n"/>
      <c r="M604" s="73" t="inlineStr">
        <is>
          <t>Managed Services (MSP);Consulting</t>
        </is>
      </c>
      <c r="N604" s="73" t="inlineStr"/>
      <c r="O604" s="73" t="inlineStr">
        <is>
          <t>Abhishek Zalani</t>
        </is>
      </c>
      <c r="P604" s="73" t="inlineStr"/>
      <c r="Q604" s="73" t="inlineStr"/>
      <c r="R604" s="73" t="inlineStr"/>
      <c r="S604" s="73" t="inlineStr"/>
      <c r="T604" s="73" t="inlineStr"/>
      <c r="U604" s="73" t="inlineStr"/>
      <c r="V604" s="73" t="inlineStr"/>
      <c r="W604" s="73" t="inlineStr"/>
      <c r="X604" s="73" t="inlineStr"/>
      <c r="Y604" s="73" t="inlineStr">
        <is>
          <t>2025-09-08</t>
        </is>
      </c>
      <c r="Z604" s="73" t="inlineStr">
        <is>
          <t>https://app-na2.hubspot.com/contacts/243046792/record/0-3/157264848599</t>
        </is>
      </c>
      <c r="AA604" s="73" t="inlineStr"/>
    </row>
    <row r="605">
      <c r="A605" s="73" t="n">
        <v>604</v>
      </c>
      <c r="B605" s="73" t="inlineStr">
        <is>
          <t>222284249838</t>
        </is>
      </c>
      <c r="C605" s="73" t="inlineStr"/>
      <c r="D605" s="73" t="inlineStr">
        <is>
          <t xml:space="preserve">Information Technology Managed Services </t>
        </is>
      </c>
      <c r="E605" s="73" t="inlineStr">
        <is>
          <t>Cheyenne Housing Authority</t>
        </is>
      </c>
      <c r="F605" s="73" t="inlineStr">
        <is>
          <t>Wyoming</t>
        </is>
      </c>
      <c r="G605" s="73" t="inlineStr">
        <is>
          <t>Closed Lost</t>
        </is>
      </c>
      <c r="H605" s="73" t="inlineStr"/>
      <c r="I605" s="73" t="inlineStr"/>
      <c r="J605" s="73" t="inlineStr">
        <is>
          <t>2026-04-03</t>
        </is>
      </c>
      <c r="K605" s="73" t="inlineStr">
        <is>
          <t>2025-12-10</t>
        </is>
      </c>
      <c r="L605" s="73" t="n"/>
      <c r="M605" s="73" t="inlineStr">
        <is>
          <t>Managed Services (MSP)</t>
        </is>
      </c>
      <c r="N605" s="73" t="inlineStr"/>
      <c r="O605" s="73" t="inlineStr">
        <is>
          <t>Jyothsna Nanda kishore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2025-11-18</t>
        </is>
      </c>
      <c r="Z605" s="73" t="inlineStr">
        <is>
          <t>https://app-na2.hubspot.com/contacts/243046792/record/0-3/222284249838</t>
        </is>
      </c>
      <c r="AA605" s="73" t="inlineStr"/>
    </row>
    <row r="606">
      <c r="A606" s="73" t="n">
        <v>605</v>
      </c>
      <c r="B606" s="73" t="inlineStr">
        <is>
          <t>316973421242</t>
        </is>
      </c>
      <c r="C606" s="73" t="inlineStr"/>
      <c r="D606" s="73" t="inlineStr">
        <is>
          <t xml:space="preserve">As-Needed Cybersecurity Services </t>
        </is>
      </c>
      <c r="E606" s="73" t="inlineStr">
        <is>
          <t>Inland Empire Utilities Agency</t>
        </is>
      </c>
      <c r="F606" s="73" t="inlineStr">
        <is>
          <t>California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2026-04-06</t>
        </is>
      </c>
      <c r="K606" s="73" t="inlineStr">
        <is>
          <t>2026-04-06</t>
        </is>
      </c>
      <c r="L606" s="73" t="n"/>
      <c r="M606" s="73" t="inlineStr">
        <is>
          <t>Managed Services (MSP)</t>
        </is>
      </c>
      <c r="N606" s="73" t="inlineStr">
        <is>
          <t>Portal</t>
        </is>
      </c>
      <c r="O606" s="73" t="inlineStr">
        <is>
          <t>Jyothsna Nanda kishore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2026-03-19</t>
        </is>
      </c>
      <c r="Z606" s="73" t="inlineStr">
        <is>
          <t>https://app-na2.hubspot.com/contacts/243046792/record/0-3/316973421242</t>
        </is>
      </c>
      <c r="AA606" s="73" t="inlineStr"/>
    </row>
    <row r="607">
      <c r="A607" s="73" t="n">
        <v>606</v>
      </c>
      <c r="B607" s="73" t="inlineStr">
        <is>
          <t>316925843186</t>
        </is>
      </c>
      <c r="C607" s="73" t="inlineStr"/>
      <c r="D607" s="73" t="inlineStr">
        <is>
          <t>IT SERVICES</t>
        </is>
      </c>
      <c r="E607" s="73" t="inlineStr">
        <is>
          <t>BUTLER COUNTY REGIONAL TRANSIT AUTHORITY</t>
        </is>
      </c>
      <c r="F607" s="73" t="inlineStr">
        <is>
          <t>Ohio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2026-04-06</t>
        </is>
      </c>
      <c r="K607" s="73" t="inlineStr">
        <is>
          <t>2026-04-06</t>
        </is>
      </c>
      <c r="L607" s="73" t="n"/>
      <c r="M607" s="73" t="inlineStr">
        <is>
          <t>Managed Services (MSP)</t>
        </is>
      </c>
      <c r="N607" s="73" t="inlineStr"/>
      <c r="O607" s="73" t="inlineStr">
        <is>
          <t>Savya Atrey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2026-03-18</t>
        </is>
      </c>
      <c r="Z607" s="73" t="inlineStr">
        <is>
          <t>https://app-na2.hubspot.com/contacts/243046792/record/0-3/316925843186</t>
        </is>
      </c>
      <c r="AA607" s="73" t="inlineStr"/>
    </row>
    <row r="608">
      <c r="A608" s="73" t="n">
        <v>607</v>
      </c>
      <c r="B608" s="73" t="inlineStr">
        <is>
          <t>203838420700</t>
        </is>
      </c>
      <c r="C608" s="73" t="inlineStr"/>
      <c r="D608" s="73" t="inlineStr">
        <is>
          <t>Technology Assessment &amp; Cybersecurity Audit</t>
        </is>
      </c>
      <c r="E608" s="73" t="inlineStr">
        <is>
          <t>Legal Aid Society of Middle Tennessee &amp; The Cumberlands</t>
        </is>
      </c>
      <c r="F608" s="73" t="inlineStr">
        <is>
          <t>Tennessee</t>
        </is>
      </c>
      <c r="G608" s="73" t="inlineStr">
        <is>
          <t>Closed Lost</t>
        </is>
      </c>
      <c r="H608" s="73" t="inlineStr"/>
      <c r="I608" s="73" t="inlineStr"/>
      <c r="J608" s="73" t="inlineStr">
        <is>
          <t>2026-04-06</t>
        </is>
      </c>
      <c r="K608" s="73" t="inlineStr">
        <is>
          <t>2025-11-14</t>
        </is>
      </c>
      <c r="L608" s="73" t="n"/>
      <c r="M608" s="73" t="inlineStr">
        <is>
          <t>Audits and Assessment</t>
        </is>
      </c>
      <c r="N608" s="73" t="inlineStr"/>
      <c r="O608" s="73" t="inlineStr">
        <is>
          <t>Abhishek Zalani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2025-10-30</t>
        </is>
      </c>
      <c r="Z608" s="73" t="inlineStr">
        <is>
          <t>https://app-na2.hubspot.com/contacts/243046792/record/0-3/203838420700</t>
        </is>
      </c>
      <c r="AA608" s="73" t="inlineStr"/>
    </row>
    <row r="609">
      <c r="A609" s="73" t="n">
        <v>608</v>
      </c>
      <c r="B609" s="73" t="inlineStr">
        <is>
          <t>295077878461</t>
        </is>
      </c>
      <c r="C609" s="73" t="inlineStr"/>
      <c r="D609" s="73" t="inlineStr">
        <is>
          <t>offline Professional Services for Assistance with the Management of OKI's Information Technology System</t>
        </is>
      </c>
      <c r="E609" s="73" t="inlineStr">
        <is>
          <t>Ohio-Kentucky-Indiana Regional Council of Governments</t>
        </is>
      </c>
      <c r="F609" s="73" t="inlineStr">
        <is>
          <t>Ohio</t>
        </is>
      </c>
      <c r="G609" s="73" t="inlineStr">
        <is>
          <t>Closed Lost</t>
        </is>
      </c>
      <c r="H609" s="73" t="inlineStr"/>
      <c r="I609" s="73" t="inlineStr"/>
      <c r="J609" s="73" t="inlineStr">
        <is>
          <t>2026-04-06</t>
        </is>
      </c>
      <c r="K609" s="73" t="inlineStr">
        <is>
          <t>2026-03-16</t>
        </is>
      </c>
      <c r="L609" s="73" t="n"/>
      <c r="M609" s="73" t="inlineStr">
        <is>
          <t>Managed Services (MSP)</t>
        </is>
      </c>
      <c r="N609" s="73" t="inlineStr"/>
      <c r="O609" s="73" t="inlineStr">
        <is>
          <t>Savya Atrey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2026-02-13</t>
        </is>
      </c>
      <c r="Z609" s="73" t="inlineStr">
        <is>
          <t>https://app-na2.hubspot.com/contacts/243046792/record/0-3/295077878461</t>
        </is>
      </c>
      <c r="AA609" s="73" t="inlineStr"/>
    </row>
    <row r="610">
      <c r="A610" s="73" t="n">
        <v>609</v>
      </c>
      <c r="B610" s="73" t="inlineStr">
        <is>
          <t>316634162921</t>
        </is>
      </c>
      <c r="C610" s="73" t="inlineStr"/>
      <c r="D610" s="73" t="inlineStr">
        <is>
          <t>Information Technology Consulting and Technology Support Services</t>
        </is>
      </c>
      <c r="E610" s="73" t="inlineStr">
        <is>
          <t>Seaside Heights Borough</t>
        </is>
      </c>
      <c r="F610" s="73" t="inlineStr">
        <is>
          <t>New Jersey</t>
        </is>
      </c>
      <c r="G610" s="73" t="inlineStr">
        <is>
          <t>Closed Lost</t>
        </is>
      </c>
      <c r="H610" s="73" t="inlineStr"/>
      <c r="I610" s="73" t="inlineStr"/>
      <c r="J610" s="73" t="inlineStr">
        <is>
          <t>2026-04-06</t>
        </is>
      </c>
      <c r="K610" s="73" t="inlineStr">
        <is>
          <t>2026-03-24</t>
        </is>
      </c>
      <c r="L610" s="75" t="n">
        <v>54820</v>
      </c>
      <c r="M610" s="73" t="inlineStr">
        <is>
          <t>Managed Services (MSP)</t>
        </is>
      </c>
      <c r="N610" s="73" t="inlineStr">
        <is>
          <t>Offline</t>
        </is>
      </c>
      <c r="O610" s="73" t="inlineStr">
        <is>
          <t>Savya Atrey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2026-03-18</t>
        </is>
      </c>
      <c r="Z610" s="73" t="inlineStr">
        <is>
          <t>https://app-na2.hubspot.com/contacts/243046792/record/0-3/316634162921</t>
        </is>
      </c>
      <c r="AA610" s="73" t="inlineStr"/>
    </row>
    <row r="611">
      <c r="A611" s="73" t="n">
        <v>610</v>
      </c>
      <c r="B611" s="73" t="inlineStr">
        <is>
          <t>316199248583</t>
        </is>
      </c>
      <c r="C611" s="73" t="inlineStr"/>
      <c r="D611" s="73" t="inlineStr">
        <is>
          <t>RFP for IT Services Provider</t>
        </is>
      </c>
      <c r="E611" s="73" t="inlineStr">
        <is>
          <t>Port of Newport</t>
        </is>
      </c>
      <c r="F611" s="73" t="inlineStr">
        <is>
          <t>Oregon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2026-04-07</t>
        </is>
      </c>
      <c r="K611" s="73" t="inlineStr">
        <is>
          <t>2026-04-07</t>
        </is>
      </c>
      <c r="L611" s="75" t="n">
        <v>53900</v>
      </c>
      <c r="M611" s="73" t="inlineStr">
        <is>
          <t>Managed Services (MSP)</t>
        </is>
      </c>
      <c r="N611" s="73" t="inlineStr">
        <is>
          <t>Email</t>
        </is>
      </c>
      <c r="O611" s="73" t="inlineStr">
        <is>
          <t>Savya Atrey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2026-03-13</t>
        </is>
      </c>
      <c r="Z611" s="73" t="inlineStr">
        <is>
          <t>https://app-na2.hubspot.com/contacts/243046792/record/0-3/316199248583</t>
        </is>
      </c>
      <c r="AA611" s="73" t="inlineStr"/>
    </row>
    <row r="612">
      <c r="A612" s="73" t="n">
        <v>611</v>
      </c>
      <c r="B612" s="73" t="inlineStr">
        <is>
          <t>316076333770</t>
        </is>
      </c>
      <c r="C612" s="73" t="inlineStr">
        <is>
          <t>RP011-26</t>
        </is>
      </c>
      <c r="D612" s="73" t="inlineStr">
        <is>
          <t>Information Technology and Other Internal Auditing Services</t>
        </is>
      </c>
      <c r="E612" s="73" t="inlineStr">
        <is>
          <t>Gwinnett County</t>
        </is>
      </c>
      <c r="F612" s="73" t="inlineStr">
        <is>
          <t>Georgia</t>
        </is>
      </c>
      <c r="G612" s="73" t="inlineStr">
        <is>
          <t>Submitted</t>
        </is>
      </c>
      <c r="H612" s="73" t="inlineStr"/>
      <c r="I612" s="73" t="inlineStr"/>
      <c r="J612" s="73" t="inlineStr">
        <is>
          <t>2026-04-07</t>
        </is>
      </c>
      <c r="K612" s="73" t="inlineStr">
        <is>
          <t>2026-04-02</t>
        </is>
      </c>
      <c r="L612" s="73" t="n"/>
      <c r="M612" s="73" t="inlineStr">
        <is>
          <t>Audits and Assessment</t>
        </is>
      </c>
      <c r="N612" s="73" t="inlineStr">
        <is>
          <t>Offline</t>
        </is>
      </c>
      <c r="O612" s="73" t="inlineStr">
        <is>
          <t>Jyothsna Nanda kishore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2026-03-12</t>
        </is>
      </c>
      <c r="Z612" s="73" t="inlineStr">
        <is>
          <t>https://app-na2.hubspot.com/contacts/243046792/record/0-3/316076333770</t>
        </is>
      </c>
      <c r="AA612" s="73" t="inlineStr"/>
    </row>
    <row r="613">
      <c r="A613" s="73" t="n">
        <v>612</v>
      </c>
      <c r="B613" s="73" t="inlineStr">
        <is>
          <t>317195360975</t>
        </is>
      </c>
      <c r="C613" s="73" t="inlineStr"/>
      <c r="D613" s="73" t="inlineStr">
        <is>
          <t xml:space="preserve">Information Technology Support Services </t>
        </is>
      </c>
      <c r="E613" s="73" t="inlineStr">
        <is>
          <t>Early Learning Coalition of Northwest Florida, Inc.</t>
        </is>
      </c>
      <c r="F613" s="73" t="inlineStr">
        <is>
          <t>Florida</t>
        </is>
      </c>
      <c r="G613" s="73" t="inlineStr">
        <is>
          <t>Submitted</t>
        </is>
      </c>
      <c r="H613" s="73" t="inlineStr"/>
      <c r="I613" s="73" t="inlineStr"/>
      <c r="J613" s="73" t="inlineStr">
        <is>
          <t>2026-04-07</t>
        </is>
      </c>
      <c r="K613" s="73" t="inlineStr">
        <is>
          <t>2026-04-06</t>
        </is>
      </c>
      <c r="L613" s="73" t="n"/>
      <c r="M613" s="73" t="inlineStr">
        <is>
          <t>Managed Services (MSP);Support &amp; Maintenance</t>
        </is>
      </c>
      <c r="N613" s="73" t="inlineStr"/>
      <c r="O613" s="73" t="inlineStr">
        <is>
          <t>Savya Atrey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2026-03-20</t>
        </is>
      </c>
      <c r="Z613" s="73" t="inlineStr">
        <is>
          <t>https://app-na2.hubspot.com/contacts/243046792/record/0-3/317195360975</t>
        </is>
      </c>
      <c r="AA613" s="73" t="inlineStr"/>
    </row>
    <row r="614">
      <c r="A614" s="73" t="n">
        <v>613</v>
      </c>
      <c r="B614" s="73" t="inlineStr">
        <is>
          <t>290824554181</t>
        </is>
      </c>
      <c r="C614" s="73" t="inlineStr"/>
      <c r="D614" s="73" t="inlineStr">
        <is>
          <t>OFFLINE IT Managed Services</t>
        </is>
      </c>
      <c r="E614" s="73" t="inlineStr">
        <is>
          <t>City of Augusta</t>
        </is>
      </c>
      <c r="F614" s="73" t="inlineStr">
        <is>
          <t>Maine</t>
        </is>
      </c>
      <c r="G614" s="73" t="inlineStr">
        <is>
          <t>Closed Lost</t>
        </is>
      </c>
      <c r="H614" s="73" t="inlineStr"/>
      <c r="I614" s="73" t="inlineStr"/>
      <c r="J614" s="73" t="inlineStr">
        <is>
          <t>2026-04-07</t>
        </is>
      </c>
      <c r="K614" s="73" t="inlineStr">
        <is>
          <t>2026-02-20</t>
        </is>
      </c>
      <c r="L614" s="73" t="n"/>
      <c r="M614" s="73" t="inlineStr">
        <is>
          <t>Consulting</t>
        </is>
      </c>
      <c r="N614" s="73" t="inlineStr"/>
      <c r="O614" s="73" t="inlineStr">
        <is>
          <t>Savya Atrey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2026-02-09</t>
        </is>
      </c>
      <c r="Z614" s="73" t="inlineStr">
        <is>
          <t>https://app-na2.hubspot.com/contacts/243046792/record/0-3/290824554181</t>
        </is>
      </c>
      <c r="AA614" s="73" t="inlineStr"/>
    </row>
    <row r="615">
      <c r="A615" s="73" t="n">
        <v>614</v>
      </c>
      <c r="B615" s="73" t="inlineStr">
        <is>
          <t>267386743501</t>
        </is>
      </c>
      <c r="C615" s="73" t="inlineStr"/>
      <c r="D615" s="73" t="inlineStr">
        <is>
          <t>FPB – Direct Placement Staffing Services for IT Positions</t>
        </is>
      </c>
      <c r="E615" s="73" t="inlineStr">
        <is>
          <t>University of South Carolina</t>
        </is>
      </c>
      <c r="F615" s="73" t="inlineStr">
        <is>
          <t>South Carolina</t>
        </is>
      </c>
      <c r="G615" s="73" t="inlineStr">
        <is>
          <t>Closed Won</t>
        </is>
      </c>
      <c r="H615" s="73" t="inlineStr"/>
      <c r="I615" s="73" t="inlineStr"/>
      <c r="J615" s="73" t="inlineStr">
        <is>
          <t>2026-04-08</t>
        </is>
      </c>
      <c r="K615" s="73" t="inlineStr">
        <is>
          <t>2026-02-06</t>
        </is>
      </c>
      <c r="L615" s="73" t="n"/>
      <c r="M615" s="73" t="inlineStr">
        <is>
          <t>Staff Augmentation</t>
        </is>
      </c>
      <c r="N615" s="73" t="inlineStr">
        <is>
          <t>Portal</t>
        </is>
      </c>
      <c r="O615" s="73" t="inlineStr">
        <is>
          <t>Jyothsna Nanda kishore</t>
        </is>
      </c>
      <c r="P615" s="73" t="inlineStr"/>
      <c r="Q615" s="73" t="inlineStr"/>
      <c r="R615" s="73" t="inlineStr"/>
      <c r="S615" s="73" t="inlineStr">
        <is>
          <t>2026-02-26</t>
        </is>
      </c>
      <c r="T615" s="73" t="inlineStr"/>
      <c r="U615" s="73" t="inlineStr">
        <is>
          <t>2026-02-26</t>
        </is>
      </c>
      <c r="V615" s="73" t="inlineStr"/>
      <c r="W615" s="73" t="inlineStr"/>
      <c r="X615" s="73" t="inlineStr"/>
      <c r="Y615" s="73" t="inlineStr">
        <is>
          <t>2026-01-20</t>
        </is>
      </c>
      <c r="Z615" s="73" t="inlineStr">
        <is>
          <t>https://app-na2.hubspot.com/contacts/243046792/record/0-3/267386743501</t>
        </is>
      </c>
      <c r="AA615" s="73" t="inlineStr"/>
    </row>
    <row r="616">
      <c r="A616" s="73" t="n">
        <v>615</v>
      </c>
      <c r="B616" s="73" t="inlineStr">
        <is>
          <t>316837417711</t>
        </is>
      </c>
      <c r="C616" s="73" t="inlineStr"/>
      <c r="D616" s="73" t="inlineStr">
        <is>
          <t>FY 25 Sun Cloud Statewide Implementation and Innovations AID Grant RFP</t>
        </is>
      </c>
      <c r="E616" s="73" t="inlineStr">
        <is>
          <t>Maricopa Association of Governments</t>
        </is>
      </c>
      <c r="F616" s="73" t="inlineStr">
        <is>
          <t>Arizona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2026-04-08</t>
        </is>
      </c>
      <c r="K616" s="73" t="inlineStr">
        <is>
          <t>2026-04-08</t>
        </is>
      </c>
      <c r="L616" s="75" t="n">
        <v>649998</v>
      </c>
      <c r="M616" s="73" t="inlineStr">
        <is>
          <t>Consulting</t>
        </is>
      </c>
      <c r="N616" s="73" t="inlineStr"/>
      <c r="O616" s="73" t="inlineStr">
        <is>
          <t>Ashutosh Chauhan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2026-03-18</t>
        </is>
      </c>
      <c r="Z616" s="73" t="inlineStr">
        <is>
          <t>https://app-na2.hubspot.com/contacts/243046792/record/0-3/316837417711</t>
        </is>
      </c>
      <c r="AA616" s="73" t="inlineStr"/>
    </row>
    <row r="617">
      <c r="A617" s="73" t="n">
        <v>616</v>
      </c>
      <c r="B617" s="73" t="inlineStr">
        <is>
          <t>317791592158</t>
        </is>
      </c>
      <c r="C617" s="73" t="inlineStr"/>
      <c r="D617" s="73" t="inlineStr">
        <is>
          <t>Vermont Education Data Visualizations Dashboard</t>
        </is>
      </c>
      <c r="E617" s="73" t="inlineStr">
        <is>
          <t>Vermont Agency of Education</t>
        </is>
      </c>
      <c r="F617" s="73" t="inlineStr">
        <is>
          <t>Vermont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2026-04-08</t>
        </is>
      </c>
      <c r="K617" s="73" t="inlineStr">
        <is>
          <t>2026-04-08</t>
        </is>
      </c>
      <c r="L617" s="73" t="n"/>
      <c r="M617" s="73" t="inlineStr">
        <is>
          <t>Modernization / Migration;Platform Implementation (ERP, CRMs);Support &amp; Maintenance;Consulting</t>
        </is>
      </c>
      <c r="N617" s="73" t="inlineStr"/>
      <c r="O617" s="73" t="inlineStr">
        <is>
          <t>Ashutosh Chauhan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2026-03-26</t>
        </is>
      </c>
      <c r="Z617" s="73" t="inlineStr">
        <is>
          <t>https://app-na2.hubspot.com/contacts/243046792/record/0-3/317791592158</t>
        </is>
      </c>
      <c r="AA617" s="73" t="inlineStr"/>
    </row>
    <row r="618">
      <c r="A618" s="73" t="n">
        <v>617</v>
      </c>
      <c r="B618" s="73" t="inlineStr">
        <is>
          <t>304628097754</t>
        </is>
      </c>
      <c r="C618" s="73" t="inlineStr">
        <is>
          <t>WS5568983661</t>
        </is>
      </c>
      <c r="D618" s="73" t="inlineStr">
        <is>
          <t>151_Managed Detection and Response RFP</t>
        </is>
      </c>
      <c r="E618" s="73" t="inlineStr">
        <is>
          <t>Amtrak</t>
        </is>
      </c>
      <c r="F618" s="73" t="inlineStr">
        <is>
          <t>Washington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2026-04-08</t>
        </is>
      </c>
      <c r="K618" s="73" t="inlineStr">
        <is>
          <t>2026-04-08</t>
        </is>
      </c>
      <c r="L618" s="73" t="n"/>
      <c r="M618" s="73" t="inlineStr">
        <is>
          <t>Managed Services (MSP)</t>
        </is>
      </c>
      <c r="N618" s="73" t="inlineStr"/>
      <c r="O618" s="73" t="inlineStr">
        <is>
          <t>Ashutosh Chauhan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2026-02-24</t>
        </is>
      </c>
      <c r="Z618" s="73" t="inlineStr">
        <is>
          <t>https://app-na2.hubspot.com/contacts/243046792/record/0-3/304628097754</t>
        </is>
      </c>
      <c r="AA618" s="73" t="inlineStr"/>
    </row>
    <row r="619">
      <c r="A619" s="73" t="n">
        <v>618</v>
      </c>
      <c r="B619" s="73" t="inlineStr">
        <is>
          <t>316932382432</t>
        </is>
      </c>
      <c r="C619" s="73" t="inlineStr"/>
      <c r="D619" s="73" t="inlineStr">
        <is>
          <t xml:space="preserve">Information Technology Services </t>
        </is>
      </c>
      <c r="E619" s="73" t="inlineStr">
        <is>
          <t>North Bergen Housing Authority</t>
        </is>
      </c>
      <c r="F619" s="73" t="inlineStr">
        <is>
          <t>New Jersey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2026-04-09</t>
        </is>
      </c>
      <c r="K619" s="73" t="inlineStr">
        <is>
          <t>2026-04-07</t>
        </is>
      </c>
      <c r="L619" s="73" t="n"/>
      <c r="M619" s="73" t="inlineStr">
        <is>
          <t>Consulting;Managed Services (MSP)</t>
        </is>
      </c>
      <c r="N619" s="73" t="inlineStr">
        <is>
          <t>Offline</t>
        </is>
      </c>
      <c r="O619" s="73" t="inlineStr">
        <is>
          <t>Jyothsna Nanda kishore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2026-03-19</t>
        </is>
      </c>
      <c r="Z619" s="73" t="inlineStr">
        <is>
          <t>https://app-na2.hubspot.com/contacts/243046792/record/0-3/316932382432</t>
        </is>
      </c>
      <c r="AA619" s="73" t="inlineStr"/>
    </row>
    <row r="620">
      <c r="A620" s="73" t="n">
        <v>619</v>
      </c>
      <c r="B620" s="73" t="inlineStr">
        <is>
          <t>314883627730</t>
        </is>
      </c>
      <c r="C620" s="73" t="inlineStr"/>
      <c r="D620" s="73" t="inlineStr">
        <is>
          <t>IMPLEMENTATION OF MICROSOFT'S IDENTITY &amp;ACCESS MANAGEMENT (IAM) SOLUTION</t>
        </is>
      </c>
      <c r="E620" s="73" t="inlineStr">
        <is>
          <t>County of San Mateo</t>
        </is>
      </c>
      <c r="F620" s="73" t="inlineStr">
        <is>
          <t>California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2026-04-09</t>
        </is>
      </c>
      <c r="K620" s="73" t="inlineStr">
        <is>
          <t>2026-03-31</t>
        </is>
      </c>
      <c r="L620" s="75" t="n">
        <v>4891925</v>
      </c>
      <c r="M620" s="73" t="inlineStr">
        <is>
          <t>Platform Implementation (ERP, CRMs)</t>
        </is>
      </c>
      <c r="N620" s="73" t="inlineStr"/>
      <c r="O620" s="73" t="inlineStr">
        <is>
          <t>Ashutosh Chauhan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2026-03-09</t>
        </is>
      </c>
      <c r="Z620" s="73" t="inlineStr">
        <is>
          <t>https://app-na2.hubspot.com/contacts/243046792/record/0-3/314883627730</t>
        </is>
      </c>
      <c r="AA620" s="73" t="inlineStr"/>
    </row>
    <row r="621">
      <c r="A621" s="73" t="n">
        <v>620</v>
      </c>
      <c r="B621" s="73" t="inlineStr">
        <is>
          <t>305111030499</t>
        </is>
      </c>
      <c r="C621" s="73" t="inlineStr"/>
      <c r="D621" s="73" t="inlineStr">
        <is>
          <t>ITS Salesforce Center of Excellence (COE) Stand-up</t>
        </is>
      </c>
      <c r="E621" s="73" t="inlineStr">
        <is>
          <t>NYS Office of Information Technology Services</t>
        </is>
      </c>
      <c r="F621" s="73" t="inlineStr">
        <is>
          <t>New York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2026-04-09</t>
        </is>
      </c>
      <c r="K621" s="73" t="inlineStr">
        <is>
          <t>2026-04-09</t>
        </is>
      </c>
      <c r="L621" s="73" t="n"/>
      <c r="M621" s="73" t="inlineStr">
        <is>
          <t>Consulting;Platform Implementation (ERP, CRMs)</t>
        </is>
      </c>
      <c r="N621" s="73" t="inlineStr"/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2026-02-25</t>
        </is>
      </c>
      <c r="Z621" s="73" t="inlineStr">
        <is>
          <t>https://app-na2.hubspot.com/contacts/243046792/record/0-3/305111030499</t>
        </is>
      </c>
      <c r="AA621" s="73" t="inlineStr"/>
    </row>
    <row r="622">
      <c r="A622" s="73" t="n">
        <v>621</v>
      </c>
      <c r="B622" s="73" t="inlineStr">
        <is>
          <t>316930256598</t>
        </is>
      </c>
      <c r="C622" s="73" t="inlineStr"/>
      <c r="D622" s="73" t="inlineStr">
        <is>
          <t>Information Technology Support and Managed IT Services</t>
        </is>
      </c>
      <c r="E622" s="73" t="inlineStr">
        <is>
          <t>Macon County</t>
        </is>
      </c>
      <c r="F622" s="73" t="inlineStr">
        <is>
          <t>Missouri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2026-04-09</t>
        </is>
      </c>
      <c r="K622" s="73" t="inlineStr">
        <is>
          <t>2026-04-06</t>
        </is>
      </c>
      <c r="L622" s="75" t="n">
        <v>16200</v>
      </c>
      <c r="M622" s="73" t="inlineStr">
        <is>
          <t>Managed Services (MSP)</t>
        </is>
      </c>
      <c r="N622" s="73" t="inlineStr">
        <is>
          <t>Offline</t>
        </is>
      </c>
      <c r="O622" s="73" t="inlineStr">
        <is>
          <t>Jyothsna Nanda kishore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2026-03-19</t>
        </is>
      </c>
      <c r="Z622" s="73" t="inlineStr">
        <is>
          <t>https://app-na2.hubspot.com/contacts/243046792/record/0-3/316930256598</t>
        </is>
      </c>
      <c r="AA622" s="73" t="inlineStr"/>
    </row>
    <row r="623">
      <c r="A623" s="73" t="n">
        <v>622</v>
      </c>
      <c r="B623" s="73" t="inlineStr">
        <is>
          <t>317944745689</t>
        </is>
      </c>
      <c r="C623" s="73" t="inlineStr">
        <is>
          <t>0198-M</t>
        </is>
      </c>
      <c r="D623" s="73" t="inlineStr">
        <is>
          <t>Wyoming Digital Archives IT Support</t>
        </is>
      </c>
      <c r="E623" s="73" t="inlineStr">
        <is>
          <t>Wyoming Department of Administration &amp; Information</t>
        </is>
      </c>
      <c r="F623" s="73" t="inlineStr">
        <is>
          <t>Wyoming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2026-04-09</t>
        </is>
      </c>
      <c r="K623" s="73" t="inlineStr">
        <is>
          <t>2026-04-03</t>
        </is>
      </c>
      <c r="L623" s="75" t="n">
        <v>64800</v>
      </c>
      <c r="M623" s="73" t="inlineStr">
        <is>
          <t>Support &amp; Maintenance</t>
        </is>
      </c>
      <c r="N623" s="73" t="inlineStr">
        <is>
          <t>Portal</t>
        </is>
      </c>
      <c r="O623" s="73" t="inlineStr">
        <is>
          <t>Jyothsna Nanda kishore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2026-03-26</t>
        </is>
      </c>
      <c r="Z623" s="73" t="inlineStr">
        <is>
          <t>https://app-na2.hubspot.com/contacts/243046792/record/0-3/317944745689</t>
        </is>
      </c>
      <c r="AA623" s="73" t="inlineStr"/>
    </row>
    <row r="624">
      <c r="A624" s="73" t="n">
        <v>623</v>
      </c>
      <c r="B624" s="73" t="inlineStr">
        <is>
          <t>311299158740</t>
        </is>
      </c>
      <c r="C624" s="73" t="inlineStr"/>
      <c r="D624" s="73" t="inlineStr">
        <is>
          <t xml:space="preserve">Support and Maintenance of Information Technology Systems for Virginia Outdoors Foundation (VOF)  </t>
        </is>
      </c>
      <c r="E624" s="73" t="inlineStr">
        <is>
          <t>Virginia Outdoors Foundation (VOF)</t>
        </is>
      </c>
      <c r="F624" s="73" t="inlineStr">
        <is>
          <t>Virginia</t>
        </is>
      </c>
      <c r="G624" s="73" t="inlineStr">
        <is>
          <t>Submitted</t>
        </is>
      </c>
      <c r="H624" s="73" t="inlineStr"/>
      <c r="I624" s="73" t="inlineStr"/>
      <c r="J624" s="73" t="inlineStr">
        <is>
          <t>2026-04-09</t>
        </is>
      </c>
      <c r="K624" s="73" t="inlineStr">
        <is>
          <t>2026-04-09</t>
        </is>
      </c>
      <c r="L624" s="73" t="n"/>
      <c r="M624" s="73" t="inlineStr">
        <is>
          <t>Managed Services (MSP)</t>
        </is>
      </c>
      <c r="N624" s="73" t="inlineStr"/>
      <c r="O624" s="73" t="inlineStr">
        <is>
          <t>Savya Atrey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2026-03-04</t>
        </is>
      </c>
      <c r="Z624" s="73" t="inlineStr">
        <is>
          <t>https://app-na2.hubspot.com/contacts/243046792/record/0-3/311299158740</t>
        </is>
      </c>
      <c r="AA624" s="73" t="inlineStr"/>
    </row>
    <row r="625">
      <c r="A625" s="73" t="n">
        <v>624</v>
      </c>
      <c r="B625" s="73" t="inlineStr">
        <is>
          <t>199601369812</t>
        </is>
      </c>
      <c r="C625" s="73" t="inlineStr">
        <is>
          <t>RFP 26-IT01</t>
        </is>
      </c>
      <c r="D625" s="73" t="inlineStr">
        <is>
          <t>Managed IT and Security</t>
        </is>
      </c>
      <c r="E625" s="73" t="inlineStr">
        <is>
          <t>City of Milton</t>
        </is>
      </c>
      <c r="F625" s="73" t="inlineStr">
        <is>
          <t>Georgia</t>
        </is>
      </c>
      <c r="G625" s="73" t="inlineStr">
        <is>
          <t>Closed Lost</t>
        </is>
      </c>
      <c r="H625" s="73" t="inlineStr"/>
      <c r="I625" s="73" t="inlineStr"/>
      <c r="J625" s="73" t="inlineStr">
        <is>
          <t>2026-04-09</t>
        </is>
      </c>
      <c r="K625" s="73" t="inlineStr">
        <is>
          <t>2025-11-20</t>
        </is>
      </c>
      <c r="L625" s="73" t="n"/>
      <c r="M625" s="73" t="inlineStr">
        <is>
          <t>Managed Services (MSP)</t>
        </is>
      </c>
      <c r="N625" s="73" t="inlineStr">
        <is>
          <t>Portal</t>
        </is>
      </c>
      <c r="O625" s="73" t="inlineStr">
        <is>
          <t>Ashutosh Chauhan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2025-10-28</t>
        </is>
      </c>
      <c r="Z625" s="73" t="inlineStr">
        <is>
          <t>https://app-na2.hubspot.com/contacts/243046792/record/0-3/199601369812</t>
        </is>
      </c>
      <c r="AA625" s="73" t="inlineStr"/>
    </row>
    <row r="626">
      <c r="A626" s="73" t="n">
        <v>625</v>
      </c>
      <c r="B626" s="73" t="inlineStr">
        <is>
          <t>222842877677</t>
        </is>
      </c>
      <c r="C626" s="73" t="inlineStr"/>
      <c r="D626" s="73" t="inlineStr">
        <is>
          <t>On-Call Geographic Information System (GIS) Professional Services</t>
        </is>
      </c>
      <c r="E626" s="73" t="inlineStr">
        <is>
          <t>City of Roseville</t>
        </is>
      </c>
      <c r="F626" s="73" t="inlineStr">
        <is>
          <t>California</t>
        </is>
      </c>
      <c r="G626" s="73" t="inlineStr">
        <is>
          <t>Closed Lost</t>
        </is>
      </c>
      <c r="H626" s="73" t="inlineStr"/>
      <c r="I626" s="73" t="inlineStr"/>
      <c r="J626" s="73" t="inlineStr">
        <is>
          <t>2026-04-09</t>
        </is>
      </c>
      <c r="K626" s="73" t="inlineStr">
        <is>
          <t>2025-12-11</t>
        </is>
      </c>
      <c r="L626" s="73" t="n"/>
      <c r="M626" s="73" t="inlineStr">
        <is>
          <t>Consulting</t>
        </is>
      </c>
      <c r="N626" s="73" t="inlineStr">
        <is>
          <t>Email</t>
        </is>
      </c>
      <c r="O626" s="73" t="inlineStr">
        <is>
          <t>Ashutosh Chauhan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2025-11-18</t>
        </is>
      </c>
      <c r="Z626" s="73" t="inlineStr">
        <is>
          <t>https://app-na2.hubspot.com/contacts/243046792/record/0-3/222842877677</t>
        </is>
      </c>
      <c r="AA626" s="73" t="inlineStr"/>
    </row>
    <row r="627">
      <c r="A627" s="73" t="n">
        <v>626</v>
      </c>
      <c r="B627" s="73" t="inlineStr">
        <is>
          <t>319105688274</t>
        </is>
      </c>
      <c r="C627" s="73" t="inlineStr"/>
      <c r="D627" s="73" t="inlineStr">
        <is>
          <t>On-Premises AI Analytics Implementation Project</t>
        </is>
      </c>
      <c r="E627" s="73" t="inlineStr">
        <is>
          <t>Ferris State University</t>
        </is>
      </c>
      <c r="F627" s="73" t="inlineStr">
        <is>
          <t>Michigan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2026-04-10</t>
        </is>
      </c>
      <c r="K627" s="73" t="inlineStr">
        <is>
          <t>2026-04-10</t>
        </is>
      </c>
      <c r="L627" s="73" t="n"/>
      <c r="M627" s="73" t="inlineStr">
        <is>
          <t>Custom development</t>
        </is>
      </c>
      <c r="N627" s="73" t="inlineStr"/>
      <c r="O627" s="73" t="inlineStr">
        <is>
          <t>Savya Atrey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2026-04-02</t>
        </is>
      </c>
      <c r="Z627" s="73" t="inlineStr">
        <is>
          <t>https://app-na2.hubspot.com/contacts/243046792/record/0-3/319105688274</t>
        </is>
      </c>
      <c r="AA627" s="73" t="inlineStr"/>
    </row>
    <row r="628">
      <c r="A628" s="73" t="n">
        <v>627</v>
      </c>
      <c r="B628" s="73" t="inlineStr">
        <is>
          <t>316631239404</t>
        </is>
      </c>
      <c r="C628" s="73" t="inlineStr">
        <is>
          <t>21260206151206</t>
        </is>
      </c>
      <c r="D628" s="73" t="inlineStr">
        <is>
          <t>Technical Support and Process Development for Collector Systems Units</t>
        </is>
      </c>
      <c r="E628" s="73" t="inlineStr">
        <is>
          <t>Philadelphia Water Department</t>
        </is>
      </c>
      <c r="F628" s="73" t="inlineStr">
        <is>
          <t>Pennsylvania</t>
        </is>
      </c>
      <c r="G628" s="73" t="inlineStr">
        <is>
          <t>Submitted</t>
        </is>
      </c>
      <c r="H628" s="73" t="inlineStr"/>
      <c r="I628" s="73" t="inlineStr"/>
      <c r="J628" s="73" t="inlineStr">
        <is>
          <t>2026-04-10</t>
        </is>
      </c>
      <c r="K628" s="73" t="inlineStr">
        <is>
          <t>2026-04-10</t>
        </is>
      </c>
      <c r="L628" s="75" t="n">
        <v>441600</v>
      </c>
      <c r="M628" s="73" t="inlineStr">
        <is>
          <t>Consulting;Managed Services (MSP)</t>
        </is>
      </c>
      <c r="N628" s="73" t="inlineStr">
        <is>
          <t>Portal</t>
        </is>
      </c>
      <c r="O628" s="73" t="inlineStr">
        <is>
          <t>Ashutosh Chauhan</t>
        </is>
      </c>
      <c r="P628" s="73" t="inlineStr"/>
      <c r="Q628" s="73" t="inlineStr"/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2026-03-17</t>
        </is>
      </c>
      <c r="Z628" s="73" t="inlineStr">
        <is>
          <t>https://app-na2.hubspot.com/contacts/243046792/record/0-3/316631239404</t>
        </is>
      </c>
      <c r="AA628" s="73" t="inlineStr"/>
    </row>
    <row r="629">
      <c r="A629" s="73" t="n">
        <v>628</v>
      </c>
      <c r="B629" s="73" t="inlineStr">
        <is>
          <t>316972747502</t>
        </is>
      </c>
      <c r="C629" s="73" t="inlineStr"/>
      <c r="D629" s="73" t="inlineStr">
        <is>
          <t xml:space="preserve">ADVISORY SERVICES FOR ENTERPRISE RESOURCE PLANNING (ERP) SYSTEM SELECTION AND IMPLEMENTATION </t>
        </is>
      </c>
      <c r="E629" s="73" t="inlineStr">
        <is>
          <t>City of Pacific Grove</t>
        </is>
      </c>
      <c r="F629" s="73" t="inlineStr">
        <is>
          <t>California</t>
        </is>
      </c>
      <c r="G629" s="73" t="inlineStr">
        <is>
          <t>Submitted</t>
        </is>
      </c>
      <c r="H629" s="73" t="inlineStr"/>
      <c r="I629" s="73" t="inlineStr"/>
      <c r="J629" s="73" t="inlineStr">
        <is>
          <t>2026-04-10</t>
        </is>
      </c>
      <c r="K629" s="73" t="inlineStr">
        <is>
          <t>2026-04-08</t>
        </is>
      </c>
      <c r="L629" s="75" t="n">
        <v>134400</v>
      </c>
      <c r="M629" s="73" t="inlineStr">
        <is>
          <t>Consulting</t>
        </is>
      </c>
      <c r="N629" s="73" t="inlineStr">
        <is>
          <t>Offline</t>
        </is>
      </c>
      <c r="O629" s="73" t="inlineStr">
        <is>
          <t>Jyothsna Nanda kishore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2026-03-19</t>
        </is>
      </c>
      <c r="Z629" s="73" t="inlineStr">
        <is>
          <t>https://app-na2.hubspot.com/contacts/243046792/record/0-3/316972747502</t>
        </is>
      </c>
      <c r="AA629" s="73" t="inlineStr"/>
    </row>
    <row r="630">
      <c r="A630" s="73" t="n">
        <v>629</v>
      </c>
      <c r="B630" s="73" t="inlineStr">
        <is>
          <t>318907181813</t>
        </is>
      </c>
      <c r="C630" s="73" t="inlineStr"/>
      <c r="D630" s="73" t="inlineStr">
        <is>
          <t>OFFLINE - Comprehensive Cyber Security Managed Services &amp; Equipment</t>
        </is>
      </c>
      <c r="E630" s="73" t="inlineStr">
        <is>
          <t>City of Dexter</t>
        </is>
      </c>
      <c r="F630" s="73" t="inlineStr">
        <is>
          <t>Missouri</t>
        </is>
      </c>
      <c r="G630" s="73" t="inlineStr">
        <is>
          <t>Submitted</t>
        </is>
      </c>
      <c r="H630" s="73" t="inlineStr"/>
      <c r="I630" s="73" t="inlineStr"/>
      <c r="J630" s="73" t="inlineStr">
        <is>
          <t>2026-04-10</t>
        </is>
      </c>
      <c r="K630" s="73" t="inlineStr">
        <is>
          <t>2026-04-08</t>
        </is>
      </c>
      <c r="L630" s="75" t="n">
        <v>162200</v>
      </c>
      <c r="M630" s="73" t="inlineStr">
        <is>
          <t>Managed Services (MSP);Reseller</t>
        </is>
      </c>
      <c r="N630" s="73" t="inlineStr">
        <is>
          <t>Offline</t>
        </is>
      </c>
      <c r="O630" s="73" t="inlineStr">
        <is>
          <t>Savya Atrey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2026-04-02</t>
        </is>
      </c>
      <c r="Z630" s="73" t="inlineStr">
        <is>
          <t>https://app-na2.hubspot.com/contacts/243046792/record/0-3/318907181813</t>
        </is>
      </c>
      <c r="AA630" s="73" t="inlineStr"/>
    </row>
    <row r="631">
      <c r="A631" s="73" t="n">
        <v>630</v>
      </c>
      <c r="B631" s="73" t="inlineStr">
        <is>
          <t>318902876904</t>
        </is>
      </c>
      <c r="C631" s="73" t="inlineStr"/>
      <c r="D631" s="73" t="inlineStr">
        <is>
          <t>Managed Infrastructure Support Services</t>
        </is>
      </c>
      <c r="E631" s="73" t="inlineStr">
        <is>
          <t>City of Upper Arlington</t>
        </is>
      </c>
      <c r="F631" s="73" t="inlineStr">
        <is>
          <t>Ohio</t>
        </is>
      </c>
      <c r="G631" s="73" t="inlineStr">
        <is>
          <t>Submitted</t>
        </is>
      </c>
      <c r="H631" s="73" t="inlineStr"/>
      <c r="I631" s="73" t="inlineStr"/>
      <c r="J631" s="73" t="inlineStr">
        <is>
          <t>2026-04-13</t>
        </is>
      </c>
      <c r="K631" s="73" t="inlineStr">
        <is>
          <t>2026-04-13</t>
        </is>
      </c>
      <c r="L631" s="73" t="n"/>
      <c r="M631" s="73" t="inlineStr">
        <is>
          <t>Managed Services (MSP)</t>
        </is>
      </c>
      <c r="N631" s="73" t="inlineStr">
        <is>
          <t>Portal</t>
        </is>
      </c>
      <c r="O631" s="73" t="inlineStr">
        <is>
          <t>Jyothsna Nanda kishore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2026-04-01</t>
        </is>
      </c>
      <c r="Z631" s="73" t="inlineStr">
        <is>
          <t>https://app-na2.hubspot.com/contacts/243046792/record/0-3/318902876904</t>
        </is>
      </c>
      <c r="AA631" s="73" t="inlineStr"/>
    </row>
    <row r="632">
      <c r="A632" s="73" t="n">
        <v>631</v>
      </c>
      <c r="B632" s="73" t="inlineStr">
        <is>
          <t>316633497326</t>
        </is>
      </c>
      <c r="C632" s="73" t="inlineStr"/>
      <c r="D632" s="73" t="inlineStr">
        <is>
          <t>Information Technology Support Services</t>
        </is>
      </c>
      <c r="E632" s="73" t="inlineStr">
        <is>
          <t>CITY OF PIEDMONT</t>
        </is>
      </c>
      <c r="F632" s="73" t="inlineStr">
        <is>
          <t>California</t>
        </is>
      </c>
      <c r="G632" s="73" t="inlineStr">
        <is>
          <t>Submitted</t>
        </is>
      </c>
      <c r="H632" s="73" t="inlineStr"/>
      <c r="I632" s="73" t="inlineStr"/>
      <c r="J632" s="73" t="inlineStr">
        <is>
          <t>2026-04-13</t>
        </is>
      </c>
      <c r="K632" s="73" t="inlineStr">
        <is>
          <t>2026-04-13</t>
        </is>
      </c>
      <c r="L632" s="75" t="n">
        <v>350500</v>
      </c>
      <c r="M632" s="73" t="inlineStr">
        <is>
          <t>Managed Services (MSP);Support &amp; Maintenance</t>
        </is>
      </c>
      <c r="N632" s="73" t="inlineStr"/>
      <c r="O632" s="73" t="inlineStr">
        <is>
          <t>Ashutosh Chauhan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2026-03-18</t>
        </is>
      </c>
      <c r="Z632" s="73" t="inlineStr">
        <is>
          <t>https://app-na2.hubspot.com/contacts/243046792/record/0-3/316633497326</t>
        </is>
      </c>
      <c r="AA632" s="73" t="inlineStr"/>
    </row>
    <row r="633">
      <c r="A633" s="73" t="n">
        <v>632</v>
      </c>
      <c r="B633" s="73" t="inlineStr">
        <is>
          <t>316929505981</t>
        </is>
      </c>
      <c r="C633" s="73" t="inlineStr"/>
      <c r="D633" s="73" t="inlineStr">
        <is>
          <t>Salesforce Professional Services</t>
        </is>
      </c>
      <c r="E633" s="73" t="inlineStr">
        <is>
          <t>City and County of San Francisco</t>
        </is>
      </c>
      <c r="F633" s="73" t="inlineStr">
        <is>
          <t>California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2026-04-13</t>
        </is>
      </c>
      <c r="K633" s="73" t="inlineStr">
        <is>
          <t>2026-04-13</t>
        </is>
      </c>
      <c r="L633" s="73" t="n"/>
      <c r="M633" s="73" t="inlineStr">
        <is>
          <t>Staff Augmentation</t>
        </is>
      </c>
      <c r="N633" s="73" t="inlineStr"/>
      <c r="O633" s="73" t="inlineStr">
        <is>
          <t>Jyothsna Nanda kishore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2026-03-19</t>
        </is>
      </c>
      <c r="Z633" s="73" t="inlineStr">
        <is>
          <t>https://app-na2.hubspot.com/contacts/243046792/record/0-3/316929505981</t>
        </is>
      </c>
      <c r="AA633" s="73" t="inlineStr"/>
    </row>
    <row r="634">
      <c r="A634" s="73" t="n">
        <v>633</v>
      </c>
      <c r="B634" s="73" t="inlineStr">
        <is>
          <t>318902162116</t>
        </is>
      </c>
      <c r="C634" s="73" t="inlineStr"/>
      <c r="D634" s="73" t="inlineStr">
        <is>
          <t>Information Technology (IT) Managed Services</t>
        </is>
      </c>
      <c r="E634" s="73" t="inlineStr">
        <is>
          <t>Town of Prospect</t>
        </is>
      </c>
      <c r="F634" s="73" t="inlineStr">
        <is>
          <t>Connecticut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2026-04-13</t>
        </is>
      </c>
      <c r="K634" s="73" t="inlineStr">
        <is>
          <t>2026-04-13</t>
        </is>
      </c>
      <c r="L634" s="75" t="n">
        <v>104400</v>
      </c>
      <c r="M634" s="73" t="inlineStr">
        <is>
          <t>Managed Services (MSP)</t>
        </is>
      </c>
      <c r="N634" s="73" t="inlineStr">
        <is>
          <t>Offline;Email</t>
        </is>
      </c>
      <c r="O634" s="73" t="inlineStr">
        <is>
          <t>Jyothsna Nanda kishore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2026-04-01</t>
        </is>
      </c>
      <c r="Z634" s="73" t="inlineStr">
        <is>
          <t>https://app-na2.hubspot.com/contacts/243046792/record/0-3/318902162116</t>
        </is>
      </c>
      <c r="AA634" s="73" t="inlineStr"/>
    </row>
    <row r="635">
      <c r="A635" s="73" t="n">
        <v>634</v>
      </c>
      <c r="B635" s="73" t="inlineStr">
        <is>
          <t>316199247586</t>
        </is>
      </c>
      <c r="C635" s="73" t="inlineStr"/>
      <c r="D635" s="73" t="inlineStr">
        <is>
          <t>ITS Discretionary Procurement Salesforce</t>
        </is>
      </c>
      <c r="E635" s="73" t="inlineStr">
        <is>
          <t>NYS Office of Information Technology Services</t>
        </is>
      </c>
      <c r="F635" s="73" t="inlineStr">
        <is>
          <t>New York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2026-04-14</t>
        </is>
      </c>
      <c r="K635" s="73" t="inlineStr">
        <is>
          <t>2026-04-14</t>
        </is>
      </c>
      <c r="L635" s="73" t="n"/>
      <c r="M635" s="73" t="inlineStr">
        <is>
          <t>Staff Augmentation;Consulting</t>
        </is>
      </c>
      <c r="N635" s="73" t="inlineStr"/>
      <c r="O635" s="73" t="inlineStr">
        <is>
          <t>Savya Atrey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2026-03-13</t>
        </is>
      </c>
      <c r="Z635" s="73" t="inlineStr">
        <is>
          <t>https://app-na2.hubspot.com/contacts/243046792/record/0-3/316199247586</t>
        </is>
      </c>
      <c r="AA635" s="73" t="inlineStr"/>
    </row>
    <row r="636">
      <c r="A636" s="73" t="n">
        <v>635</v>
      </c>
      <c r="B636" s="73" t="inlineStr">
        <is>
          <t>317943306990</t>
        </is>
      </c>
      <c r="C636" s="73" t="inlineStr"/>
      <c r="D636" s="73" t="inlineStr">
        <is>
          <t>Website Hosting and Support Services</t>
        </is>
      </c>
      <c r="E636" s="73" t="inlineStr">
        <is>
          <t>Shasta Regional Transportation Agency</t>
        </is>
      </c>
      <c r="F636" s="73" t="inlineStr"/>
      <c r="G636" s="73" t="inlineStr">
        <is>
          <t>Submitted</t>
        </is>
      </c>
      <c r="H636" s="73" t="inlineStr"/>
      <c r="I636" s="73" t="inlineStr"/>
      <c r="J636" s="73" t="inlineStr">
        <is>
          <t>2026-04-14</t>
        </is>
      </c>
      <c r="K636" s="73" t="inlineStr">
        <is>
          <t>2026-04-14</t>
        </is>
      </c>
      <c r="L636" s="73" t="n"/>
      <c r="M636" s="73" t="inlineStr">
        <is>
          <t>Support &amp; Maintenance</t>
        </is>
      </c>
      <c r="N636" s="73" t="inlineStr"/>
      <c r="O636" s="73" t="inlineStr">
        <is>
          <t>Savya Atrey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2026-03-26</t>
        </is>
      </c>
      <c r="Z636" s="73" t="inlineStr">
        <is>
          <t>https://app-na2.hubspot.com/contacts/243046792/record/0-3/317943306990</t>
        </is>
      </c>
      <c r="AA636" s="73" t="inlineStr"/>
    </row>
    <row r="637">
      <c r="A637" s="73" t="n">
        <v>636</v>
      </c>
      <c r="B637" s="73" t="inlineStr">
        <is>
          <t>261931261661</t>
        </is>
      </c>
      <c r="C637" s="73" t="inlineStr">
        <is>
          <t>10219</t>
        </is>
      </c>
      <c r="D637" s="73" t="inlineStr">
        <is>
          <t>Community Services Asset Management Software</t>
        </is>
      </c>
      <c r="E637" s="73" t="inlineStr">
        <is>
          <t>City of Fort Collins</t>
        </is>
      </c>
      <c r="F637" s="73" t="inlineStr">
        <is>
          <t>Colorado</t>
        </is>
      </c>
      <c r="G637" s="73" t="inlineStr">
        <is>
          <t>Closed Lost</t>
        </is>
      </c>
      <c r="H637" s="73" t="inlineStr"/>
      <c r="I637" s="73" t="inlineStr"/>
      <c r="J637" s="73" t="inlineStr">
        <is>
          <t>2026-04-15</t>
        </is>
      </c>
      <c r="K637" s="73" t="inlineStr">
        <is>
          <t>2026-02-13</t>
        </is>
      </c>
      <c r="L637" s="75" t="n">
        <v>382447</v>
      </c>
      <c r="M637" s="73" t="inlineStr">
        <is>
          <t>Platform Implementation (ERP, CRMs)</t>
        </is>
      </c>
      <c r="N637" s="73" t="inlineStr"/>
      <c r="O637" s="73" t="inlineStr">
        <is>
          <t>Ashutosh Chauhan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2026-01-14</t>
        </is>
      </c>
      <c r="Z637" s="73" t="inlineStr">
        <is>
          <t>https://app-na2.hubspot.com/contacts/243046792/record/0-3/261931261661</t>
        </is>
      </c>
      <c r="AA637" s="73" t="inlineStr"/>
    </row>
    <row r="638">
      <c r="A638" s="73" t="n">
        <v>637</v>
      </c>
      <c r="B638" s="73" t="inlineStr">
        <is>
          <t>320490435282</t>
        </is>
      </c>
      <c r="C638" s="73" t="inlineStr"/>
      <c r="D638" s="73" t="inlineStr">
        <is>
          <t>Microsoft Office 365</t>
        </is>
      </c>
      <c r="E638" s="73" t="inlineStr">
        <is>
          <t>City of Morristown</t>
        </is>
      </c>
      <c r="F638" s="73" t="inlineStr">
        <is>
          <t>Tennessee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2026-04-15</t>
        </is>
      </c>
      <c r="K638" s="73" t="inlineStr">
        <is>
          <t>2026-04-14</t>
        </is>
      </c>
      <c r="L638" s="75" t="n">
        <v>75000</v>
      </c>
      <c r="M638" s="73" t="inlineStr">
        <is>
          <t>Reseller</t>
        </is>
      </c>
      <c r="N638" s="73" t="inlineStr">
        <is>
          <t>Offline</t>
        </is>
      </c>
      <c r="O638" s="73" t="inlineStr">
        <is>
          <t>Ashutosh Chauhan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2026-04-10</t>
        </is>
      </c>
      <c r="Z638" s="73" t="inlineStr">
        <is>
          <t>https://app-na2.hubspot.com/contacts/243046792/record/0-3/320490435282</t>
        </is>
      </c>
      <c r="AA638" s="73" t="inlineStr"/>
    </row>
    <row r="639">
      <c r="A639" s="73" t="n">
        <v>638</v>
      </c>
      <c r="B639" s="73" t="inlineStr">
        <is>
          <t>317945474767</t>
        </is>
      </c>
      <c r="C639" s="73" t="inlineStr"/>
      <c r="D639" s="73" t="inlineStr">
        <is>
          <t>ServiceNow Technical Services</t>
        </is>
      </c>
      <c r="E639" s="73" t="inlineStr">
        <is>
          <t>City of Sacramento</t>
        </is>
      </c>
      <c r="F639" s="73" t="inlineStr">
        <is>
          <t>California</t>
        </is>
      </c>
      <c r="G639" s="73" t="inlineStr">
        <is>
          <t>RFx Cancelled</t>
        </is>
      </c>
      <c r="H639" s="73" t="inlineStr"/>
      <c r="I639" s="73" t="inlineStr"/>
      <c r="J639" s="73" t="inlineStr">
        <is>
          <t>2026-04-17</t>
        </is>
      </c>
      <c r="K639" s="73" t="inlineStr"/>
      <c r="L639" s="73" t="n"/>
      <c r="M639" s="73" t="inlineStr"/>
      <c r="N639" s="73" t="inlineStr"/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https://app-na2.hubspot.com/contacts/243046792/record/0-3/317945474767</t>
        </is>
      </c>
      <c r="AA639" s="73" t="inlineStr"/>
    </row>
  </sheetData>
  <autoFilter ref="A1:AA639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127482767062</t>
        </is>
      </c>
      <c r="C2" s="73" t="inlineStr">
        <is>
          <t>2024-013</t>
        </is>
      </c>
      <c r="D2" s="73" t="inlineStr">
        <is>
          <t>Marin Housing Authority- Managed IT Services, CIO and Cybersecurity Services</t>
        </is>
      </c>
      <c r="E2" s="73" t="inlineStr">
        <is>
          <t>Marin Housing Authority</t>
        </is>
      </c>
      <c r="F2" s="73" t="inlineStr">
        <is>
          <t>California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5" t="n">
        <v>1200000</v>
      </c>
      <c r="M2" s="73" t="inlineStr">
        <is>
          <t>Managed Services (MSP)</t>
        </is>
      </c>
      <c r="N2" s="73" t="inlineStr"/>
      <c r="O2" s="73" t="inlineStr">
        <is>
          <t>Jyothsna Nanda kishore</t>
        </is>
      </c>
      <c r="P2" s="73" t="inlineStr"/>
      <c r="Q2" s="73" t="inlineStr"/>
      <c r="R2" s="73" t="inlineStr"/>
      <c r="S2" s="73" t="inlineStr">
        <is>
          <t>2024-12-26</t>
        </is>
      </c>
      <c r="T2" s="73" t="inlineStr"/>
      <c r="U2" s="73" t="inlineStr">
        <is>
          <t>2025-01-04</t>
        </is>
      </c>
      <c r="V2" s="73" t="inlineStr"/>
      <c r="W2" s="73" t="inlineStr"/>
      <c r="X2" s="73" t="inlineStr"/>
      <c r="Y2" s="73" t="inlineStr">
        <is>
          <t>2025-07-23</t>
        </is>
      </c>
      <c r="Z2" s="73" t="inlineStr">
        <is>
          <t>https://app-na2.hubspot.com/contacts/243046792/record/0-3/127482767062</t>
        </is>
      </c>
      <c r="AA2" s="73" t="inlineStr">
        <is>
          <t>Yes</t>
        </is>
      </c>
    </row>
    <row r="3">
      <c r="A3" s="73" t="n">
        <v>2</v>
      </c>
      <c r="B3" s="73" t="inlineStr">
        <is>
          <t>127482769082</t>
        </is>
      </c>
      <c r="C3" s="73" t="inlineStr"/>
      <c r="D3" s="73" t="inlineStr">
        <is>
          <t>Ohio Department of Natural Resources- H2O PROJECT MANAGEMENTTASK TACKING TOOLENHANCEMENTS-SALESFORCE DEVELOPER</t>
        </is>
      </c>
      <c r="E3" s="73" t="inlineStr">
        <is>
          <t>Ohio Department of Natural Resources</t>
        </is>
      </c>
      <c r="F3" s="73" t="inlineStr">
        <is>
          <t>Ohio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5" t="n">
        <v>11275</v>
      </c>
      <c r="M3" s="73" t="inlineStr">
        <is>
          <t>Platform Implementation (ERP, CRMs)</t>
        </is>
      </c>
      <c r="N3" s="73" t="inlineStr"/>
      <c r="O3" s="73" t="inlineStr">
        <is>
          <t>Jyothsna Nanda kishore</t>
        </is>
      </c>
      <c r="P3" s="73" t="inlineStr"/>
      <c r="Q3" s="73" t="inlineStr"/>
      <c r="R3" s="73" t="inlineStr"/>
      <c r="S3" s="73" t="inlineStr">
        <is>
          <t>2025-04-03</t>
        </is>
      </c>
      <c r="T3" s="73" t="inlineStr"/>
      <c r="U3" s="73" t="inlineStr">
        <is>
          <t>2025-04-17</t>
        </is>
      </c>
      <c r="V3" s="73" t="inlineStr">
        <is>
          <t>Completed</t>
        </is>
      </c>
      <c r="W3" s="73" t="inlineStr"/>
      <c r="X3" s="73" t="inlineStr"/>
      <c r="Y3" s="73" t="inlineStr">
        <is>
          <t>2025-07-23</t>
        </is>
      </c>
      <c r="Z3" s="73" t="inlineStr">
        <is>
          <t>https://app-na2.hubspot.com/contacts/243046792/record/0-3/127482769082</t>
        </is>
      </c>
      <c r="AA3" s="73" t="inlineStr">
        <is>
          <t>Yes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/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127690112742</t>
        </is>
      </c>
      <c r="C5" s="73" t="inlineStr"/>
      <c r="D5" s="73" t="inlineStr">
        <is>
          <t>Illinois Department of Public Health- Data Literacy Training</t>
        </is>
      </c>
      <c r="E5" s="73" t="inlineStr">
        <is>
          <t>Illinois Department of Public Health</t>
        </is>
      </c>
      <c r="F5" s="73" t="inlineStr">
        <is>
          <t>Illinois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5" t="n">
        <v>18499</v>
      </c>
      <c r="M5" s="73" t="inlineStr">
        <is>
          <t>Training</t>
        </is>
      </c>
      <c r="N5" s="73" t="inlineStr"/>
      <c r="O5" s="73" t="inlineStr">
        <is>
          <t>Jyothsna Nanda kishore</t>
        </is>
      </c>
      <c r="P5" s="73" t="inlineStr"/>
      <c r="Q5" s="73" t="inlineStr"/>
      <c r="R5" s="73" t="inlineStr"/>
      <c r="S5" s="73" t="inlineStr">
        <is>
          <t>2025-05-05</t>
        </is>
      </c>
      <c r="T5" s="73" t="inlineStr"/>
      <c r="U5" s="73" t="inlineStr">
        <is>
          <t>2025-07-30</t>
        </is>
      </c>
      <c r="V5" s="73" t="inlineStr">
        <is>
          <t>In Process</t>
        </is>
      </c>
      <c r="W5" s="73" t="inlineStr"/>
      <c r="X5" s="73" t="inlineStr"/>
      <c r="Y5" s="73" t="inlineStr">
        <is>
          <t>2025-07-23</t>
        </is>
      </c>
      <c r="Z5" s="73" t="inlineStr">
        <is>
          <t>https://app-na2.hubspot.com/contacts/243046792/record/0-3/127690112742</t>
        </is>
      </c>
      <c r="AA5" s="73" t="inlineStr">
        <is>
          <t>Yes</t>
        </is>
      </c>
    </row>
    <row r="6">
      <c r="A6" s="73" t="n">
        <v>5</v>
      </c>
      <c r="B6" s="73" t="inlineStr">
        <is>
          <t>116977709771</t>
        </is>
      </c>
      <c r="C6" s="73" t="inlineStr">
        <is>
          <t>RFP-25-0005</t>
        </is>
      </c>
      <c r="D6" s="73" t="inlineStr">
        <is>
          <t>Certified Partner - NEIGHBORWORKS AMERICA, IT  SERVICES</t>
        </is>
      </c>
      <c r="E6" s="73" t="inlineStr">
        <is>
          <t>NeighborWorks America</t>
        </is>
      </c>
      <c r="F6" s="73" t="inlineStr">
        <is>
          <t>DC</t>
        </is>
      </c>
      <c r="G6" s="73" t="inlineStr">
        <is>
          <t>Closed Won</t>
        </is>
      </c>
      <c r="H6" s="73" t="inlineStr"/>
      <c r="I6" s="73" t="inlineStr"/>
      <c r="J6" s="73" t="inlineStr"/>
      <c r="K6" s="73" t="inlineStr"/>
      <c r="L6" s="73" t="n"/>
      <c r="M6" s="73" t="inlineStr"/>
      <c r="N6" s="73" t="inlineStr"/>
      <c r="O6" s="73" t="inlineStr">
        <is>
          <t>Yashaswini Gautam</t>
        </is>
      </c>
      <c r="P6" s="73" t="inlineStr"/>
      <c r="Q6" s="73" t="inlineStr"/>
      <c r="R6" s="73" t="inlineStr"/>
      <c r="S6" s="73" t="inlineStr">
        <is>
          <t>2025-04-09</t>
        </is>
      </c>
      <c r="T6" s="73" t="inlineStr"/>
      <c r="U6" s="73" t="inlineStr">
        <is>
          <t>2026-08-04</t>
        </is>
      </c>
      <c r="V6" s="73" t="inlineStr"/>
      <c r="W6" s="73" t="inlineStr"/>
      <c r="X6" s="73" t="inlineStr"/>
      <c r="Y6" s="73" t="inlineStr">
        <is>
          <t>2025-07-10</t>
        </is>
      </c>
      <c r="Z6" s="73" t="inlineStr">
        <is>
          <t>https://app-na2.hubspot.com/contacts/243046792/record/0-3/116977709771</t>
        </is>
      </c>
      <c r="AA6" s="73" t="inlineStr">
        <is>
          <t>No</t>
        </is>
      </c>
    </row>
    <row r="7">
      <c r="A7" s="73" t="n">
        <v>6</v>
      </c>
      <c r="B7" s="73" t="inlineStr">
        <is>
          <t>116977709757</t>
        </is>
      </c>
      <c r="C7" s="73" t="inlineStr">
        <is>
          <t>RCA-017-25010066</t>
        </is>
      </c>
      <c r="D7" s="73" t="inlineStr">
        <is>
          <t>ON-LINE MARKETPLACE FOR CLOUD SERVICES AND SOFTWARE</t>
        </is>
      </c>
      <c r="E7" s="73" t="inlineStr">
        <is>
          <t>Orange County</t>
        </is>
      </c>
      <c r="F7" s="73" t="inlineStr">
        <is>
          <t>California</t>
        </is>
      </c>
      <c r="G7" s="73" t="inlineStr">
        <is>
          <t>Closed Won</t>
        </is>
      </c>
      <c r="H7" s="73" t="inlineStr"/>
      <c r="I7" s="73" t="inlineStr"/>
      <c r="J7" s="73" t="inlineStr"/>
      <c r="K7" s="73" t="inlineStr"/>
      <c r="L7" s="73" t="n"/>
      <c r="M7" s="73" t="inlineStr">
        <is>
          <t>Consulting;Reseller</t>
        </is>
      </c>
      <c r="N7" s="73" t="inlineStr"/>
      <c r="O7" s="73" t="inlineStr">
        <is>
          <t>Yashaswini Gautam</t>
        </is>
      </c>
      <c r="P7" s="73" t="inlineStr"/>
      <c r="Q7" s="73" t="inlineStr"/>
      <c r="R7" s="73" t="inlineStr"/>
      <c r="S7" s="73" t="inlineStr">
        <is>
          <t>2025-01-09</t>
        </is>
      </c>
      <c r="T7" s="73" t="inlineStr"/>
      <c r="U7" s="73" t="inlineStr"/>
      <c r="V7" s="73" t="inlineStr"/>
      <c r="W7" s="73" t="inlineStr"/>
      <c r="X7" s="73" t="inlineStr"/>
      <c r="Y7" s="73" t="inlineStr">
        <is>
          <t>2025-07-10</t>
        </is>
      </c>
      <c r="Z7" s="73" t="inlineStr">
        <is>
          <t>https://app-na2.hubspot.com/contacts/243046792/record/0-3/116977709757</t>
        </is>
      </c>
      <c r="AA7" s="73" t="inlineStr">
        <is>
          <t>No</t>
        </is>
      </c>
    </row>
    <row r="8">
      <c r="A8" s="73" t="n">
        <v>7</v>
      </c>
      <c r="B8" s="73" t="inlineStr">
        <is>
          <t>269389012723</t>
        </is>
      </c>
      <c r="C8" s="73" t="inlineStr">
        <is>
          <t>COVB-25-101486</t>
        </is>
      </c>
      <c r="D8" s="73" t="inlineStr">
        <is>
          <t>IT Services</t>
        </is>
      </c>
      <c r="E8" s="73" t="inlineStr">
        <is>
          <t xml:space="preserve">City of Virginia Beach </t>
        </is>
      </c>
      <c r="F8" s="73" t="inlineStr">
        <is>
          <t>Virginia</t>
        </is>
      </c>
      <c r="G8" s="73" t="inlineStr">
        <is>
          <t>Closed Won</t>
        </is>
      </c>
      <c r="H8" s="73" t="inlineStr"/>
      <c r="I8" s="73" t="inlineStr"/>
      <c r="J8" s="73" t="inlineStr"/>
      <c r="K8" s="73" t="inlineStr"/>
      <c r="L8" s="73" t="n"/>
      <c r="M8" s="73" t="inlineStr">
        <is>
          <t>Staff Augmentation</t>
        </is>
      </c>
      <c r="N8" s="73" t="inlineStr"/>
      <c r="O8" s="73" t="inlineStr">
        <is>
          <t>Yashaswini Gautam</t>
        </is>
      </c>
      <c r="P8" s="73" t="inlineStr"/>
      <c r="Q8" s="73" t="inlineStr"/>
      <c r="R8" s="73" t="inlineStr"/>
      <c r="S8" s="73" t="inlineStr">
        <is>
          <t>2026-01-13</t>
        </is>
      </c>
      <c r="T8" s="73" t="inlineStr"/>
      <c r="U8" s="73" t="inlineStr">
        <is>
          <t>2026-01-13</t>
        </is>
      </c>
      <c r="V8" s="73" t="inlineStr"/>
      <c r="W8" s="73" t="inlineStr"/>
      <c r="X8" s="73" t="inlineStr"/>
      <c r="Y8" s="73" t="inlineStr">
        <is>
          <t>2026-01-20</t>
        </is>
      </c>
      <c r="Z8" s="73" t="inlineStr">
        <is>
          <t>https://app-na2.hubspot.com/contacts/243046792/record/0-3/269389012723</t>
        </is>
      </c>
      <c r="AA8" s="73" t="inlineStr">
        <is>
          <t>No</t>
        </is>
      </c>
    </row>
    <row r="9">
      <c r="A9" s="73" t="n">
        <v>8</v>
      </c>
      <c r="B9" s="73" t="inlineStr">
        <is>
          <t>127590445803</t>
        </is>
      </c>
      <c r="C9" s="73" t="inlineStr"/>
      <c r="D9" s="73" t="inlineStr">
        <is>
          <t>IT Staffing and Professional Services</t>
        </is>
      </c>
      <c r="E9" s="73" t="inlineStr">
        <is>
          <t>Roswell Park Comprehensive Cancer Centre</t>
        </is>
      </c>
      <c r="F9" s="73" t="inlineStr">
        <is>
          <t>New York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2024-06-26</t>
        </is>
      </c>
      <c r="K9" s="73" t="inlineStr"/>
      <c r="L9" s="73" t="n"/>
      <c r="M9" s="73" t="inlineStr">
        <is>
          <t>Consulting;Staff Augmentation</t>
        </is>
      </c>
      <c r="N9" s="73" t="inlineStr"/>
      <c r="O9" s="73" t="inlineStr">
        <is>
          <t>Madhav Mitruka</t>
        </is>
      </c>
      <c r="P9" s="73" t="inlineStr"/>
      <c r="Q9" s="73" t="inlineStr"/>
      <c r="R9" s="73" t="inlineStr"/>
      <c r="S9" s="73" t="inlineStr">
        <is>
          <t>2025-01-09</t>
        </is>
      </c>
      <c r="T9" s="73" t="inlineStr"/>
      <c r="U9" s="73" t="inlineStr">
        <is>
          <t>2025-02-18</t>
        </is>
      </c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https://app-na2.hubspot.com/contacts/243046792/record/0-3/127590445803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126592758469</t>
        </is>
      </c>
      <c r="C10" s="73" t="inlineStr">
        <is>
          <t>(RFQ) #T000599</t>
        </is>
      </c>
      <c r="D10" s="73" t="inlineStr">
        <is>
          <t>Data Governance Training</t>
        </is>
      </c>
      <c r="E10" s="73" t="inlineStr">
        <is>
          <t>New York Department of Financial Services</t>
        </is>
      </c>
      <c r="F10" s="73" t="inlineStr">
        <is>
          <t>New York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2024-08-22</t>
        </is>
      </c>
      <c r="K10" s="73" t="inlineStr">
        <is>
          <t>2024-08-23</t>
        </is>
      </c>
      <c r="L10" s="75" t="n">
        <v>5800</v>
      </c>
      <c r="M10" s="73" t="inlineStr"/>
      <c r="N10" s="73" t="inlineStr">
        <is>
          <t>Email</t>
        </is>
      </c>
      <c r="O10" s="73" t="inlineStr">
        <is>
          <t>Jyothsna Nanda kishore</t>
        </is>
      </c>
      <c r="P10" s="73" t="inlineStr"/>
      <c r="Q10" s="73" t="inlineStr"/>
      <c r="R10" s="73" t="inlineStr"/>
      <c r="S10" s="73" t="inlineStr"/>
      <c r="T10" s="73" t="inlineStr"/>
      <c r="U10" s="73" t="inlineStr">
        <is>
          <t>2024-11-07</t>
        </is>
      </c>
      <c r="V10" s="73" t="inlineStr">
        <is>
          <t>In Process</t>
        </is>
      </c>
      <c r="W10" s="73" t="inlineStr"/>
      <c r="X10" s="73" t="inlineStr"/>
      <c r="Y10" s="73" t="inlineStr">
        <is>
          <t>2025-07-21</t>
        </is>
      </c>
      <c r="Z10" s="73" t="inlineStr">
        <is>
          <t>https://app-na2.hubspot.com/contacts/243046792/record/0-3/126592758469</t>
        </is>
      </c>
      <c r="AA10" s="73" t="inlineStr">
        <is>
          <t>Yes</t>
        </is>
      </c>
    </row>
    <row r="11">
      <c r="A11" s="73" t="n">
        <v>10</v>
      </c>
      <c r="B11" s="73" t="inlineStr">
        <is>
          <t>127482765027</t>
        </is>
      </c>
      <c r="C11" s="73" t="inlineStr">
        <is>
          <t>SW1025</t>
        </is>
      </c>
      <c r="D11" s="73" t="inlineStr">
        <is>
          <t>IT Staffing</t>
        </is>
      </c>
      <c r="E11" s="73" t="inlineStr">
        <is>
          <t>Office of Management &amp; Enterprise Services</t>
        </is>
      </c>
      <c r="F11" s="73" t="inlineStr">
        <is>
          <t>Oklahoma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2024-10-31</t>
        </is>
      </c>
      <c r="K11" s="73" t="inlineStr">
        <is>
          <t>2024-10-31</t>
        </is>
      </c>
      <c r="L11" s="73" t="n"/>
      <c r="M11" s="73" t="inlineStr"/>
      <c r="N11" s="73" t="inlineStr">
        <is>
          <t>Portal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2025-07-23</t>
        </is>
      </c>
      <c r="Z11" s="73" t="inlineStr">
        <is>
          <t>https://app-na2.hubspot.com/contacts/243046792/record/0-3/127482765027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123670192881</t>
        </is>
      </c>
      <c r="C12" s="73" t="inlineStr">
        <is>
          <t>24-31</t>
        </is>
      </c>
      <c r="D12" s="73" t="inlineStr">
        <is>
          <t>Arapahoe County - IT RECRUITMENT AND STAFFING</t>
        </is>
      </c>
      <c r="E12" s="73" t="inlineStr">
        <is>
          <t>Arapahoe County</t>
        </is>
      </c>
      <c r="F12" s="73" t="inlineStr">
        <is>
          <t>Colorado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2024-11-13</t>
        </is>
      </c>
      <c r="K12" s="73" t="inlineStr"/>
      <c r="L12" s="73" t="n"/>
      <c r="M12" s="73" t="inlineStr"/>
      <c r="N12" s="73" t="inlineStr"/>
      <c r="O12" s="73" t="inlineStr">
        <is>
          <t>Jyothsna Nanda kishore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2025-07-18</t>
        </is>
      </c>
      <c r="Z12" s="73" t="inlineStr">
        <is>
          <t>https://app-na2.hubspot.com/contacts/243046792/record/0-3/123670192881</t>
        </is>
      </c>
      <c r="AA12" s="73" t="inlineStr">
        <is>
          <t>No</t>
        </is>
      </c>
    </row>
    <row r="13">
      <c r="A13" s="73" t="n">
        <v>12</v>
      </c>
      <c r="B13" s="73" t="inlineStr">
        <is>
          <t>114864632551</t>
        </is>
      </c>
      <c r="C13" s="73" t="inlineStr">
        <is>
          <t>F25-077</t>
        </is>
      </c>
      <c r="D13" s="73" t="inlineStr">
        <is>
          <t>City of Sunnyvale - Group 4, Software/Application/Database Development, Business Requirements Analysis, and Integration Services</t>
        </is>
      </c>
      <c r="E13" s="73" t="inlineStr">
        <is>
          <t>City of Sunnyvale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2024-11-14</t>
        </is>
      </c>
      <c r="K13" s="73" t="inlineStr"/>
      <c r="L13" s="73" t="n"/>
      <c r="M13" s="73" t="inlineStr">
        <is>
          <t>Staff Augmentation</t>
        </is>
      </c>
      <c r="N13" s="73" t="inlineStr">
        <is>
          <t>Email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2025-02-18</t>
        </is>
      </c>
      <c r="T13" s="73" t="inlineStr"/>
      <c r="U13" s="73" t="inlineStr">
        <is>
          <t>2025-02-18</t>
        </is>
      </c>
      <c r="V13" s="73" t="inlineStr"/>
      <c r="W13" s="73" t="inlineStr"/>
      <c r="X13" s="73" t="inlineStr"/>
      <c r="Y13" s="73" t="inlineStr">
        <is>
          <t>2025-07-09</t>
        </is>
      </c>
      <c r="Z13" s="73" t="inlineStr">
        <is>
          <t>https://app-na2.hubspot.com/contacts/243046792/record/0-3/114864632551</t>
        </is>
      </c>
      <c r="AA13" s="73" t="inlineStr">
        <is>
          <t>No</t>
        </is>
      </c>
    </row>
    <row r="14">
      <c r="A14" s="73" t="n">
        <v>13</v>
      </c>
      <c r="B14" s="73" t="inlineStr">
        <is>
          <t>116521161421</t>
        </is>
      </c>
      <c r="C14" s="73" t="inlineStr"/>
      <c r="D14" s="73" t="inlineStr">
        <is>
          <t>[Project Completed] CUSTOM JAVASCRIPT PROGRAMMINGFOR 2025 NATIONAL PROFILE OFLOCAL HEALTH DEPARTMENTS(PROFILE) SURVEY</t>
        </is>
      </c>
      <c r="E14" s="73" t="inlineStr">
        <is>
          <t>NACCHO</t>
        </is>
      </c>
      <c r="F14" s="73" t="inlineStr">
        <is>
          <t>DC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2024-11-18</t>
        </is>
      </c>
      <c r="K14" s="73" t="inlineStr"/>
      <c r="L14" s="75" t="n">
        <v>9225</v>
      </c>
      <c r="M14" s="73" t="inlineStr">
        <is>
          <t>Consulting</t>
        </is>
      </c>
      <c r="N14" s="73" t="inlineStr">
        <is>
          <t>Email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2024-12-13</t>
        </is>
      </c>
      <c r="T14" s="73" t="inlineStr"/>
      <c r="U14" s="73" t="inlineStr">
        <is>
          <t>2024-02-24</t>
        </is>
      </c>
      <c r="V14" s="73" t="inlineStr"/>
      <c r="W14" s="73" t="inlineStr"/>
      <c r="X14" s="73" t="inlineStr"/>
      <c r="Y14" s="73" t="inlineStr">
        <is>
          <t>2025-07-09</t>
        </is>
      </c>
      <c r="Z14" s="73" t="inlineStr">
        <is>
          <t>https://app-na2.hubspot.com/contacts/243046792/record/0-3/116521161421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127701416677</t>
        </is>
      </c>
      <c r="C15" s="73" t="inlineStr">
        <is>
          <t>RFP- 282503</t>
        </is>
      </c>
      <c r="D15" s="73" t="inlineStr">
        <is>
          <t>Digital Accessibility Services</t>
        </is>
      </c>
      <c r="E15" s="73" t="inlineStr">
        <is>
          <t>Arizona State University</t>
        </is>
      </c>
      <c r="F15" s="73" t="inlineStr">
        <is>
          <t>Arizona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2025-01-22</t>
        </is>
      </c>
      <c r="K15" s="73" t="inlineStr">
        <is>
          <t>2025-01-22</t>
        </is>
      </c>
      <c r="L15" s="73" t="n"/>
      <c r="M15" s="73" t="inlineStr"/>
      <c r="N15" s="73" t="inlineStr">
        <is>
          <t>Portal</t>
        </is>
      </c>
      <c r="O15" s="73" t="inlineStr">
        <is>
          <t>Jyothsna Nanda kishore</t>
        </is>
      </c>
      <c r="P15" s="73" t="inlineStr"/>
      <c r="Q15" s="73" t="inlineStr"/>
      <c r="R15" s="73" t="inlineStr"/>
      <c r="S15" s="73" t="inlineStr"/>
      <c r="T15" s="73" t="inlineStr"/>
      <c r="U15" s="73" t="inlineStr">
        <is>
          <t>2025-07-16</t>
        </is>
      </c>
      <c r="V15" s="73" t="inlineStr"/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https://app-na2.hubspot.com/contacts/243046792/record/0-3/127701416677</t>
        </is>
      </c>
      <c r="AA15" s="73" t="inlineStr">
        <is>
          <t>No</t>
        </is>
      </c>
    </row>
    <row r="16">
      <c r="A16" s="73" t="n">
        <v>15</v>
      </c>
      <c r="B16" s="73" t="inlineStr">
        <is>
          <t>127678196421</t>
        </is>
      </c>
      <c r="C16" s="73" t="inlineStr">
        <is>
          <t>RFQ 24 - 00332</t>
        </is>
      </c>
      <c r="D16" s="73" t="inlineStr">
        <is>
          <t>HRT - Workday HCM Staffing Services</t>
        </is>
      </c>
      <c r="E16" s="73" t="inlineStr">
        <is>
          <t>Hampton Roads Transit</t>
        </is>
      </c>
      <c r="F16" s="73" t="inlineStr">
        <is>
          <t>Virginia</t>
        </is>
      </c>
      <c r="G16" s="73" t="inlineStr">
        <is>
          <t>Closed Won</t>
        </is>
      </c>
      <c r="H16" s="73" t="inlineStr"/>
      <c r="I16" s="73" t="inlineStr"/>
      <c r="J16" s="73" t="inlineStr">
        <is>
          <t>2025-01-28</t>
        </is>
      </c>
      <c r="K16" s="73" t="inlineStr"/>
      <c r="L16" s="75" t="n">
        <v>10000</v>
      </c>
      <c r="M16" s="73" t="inlineStr">
        <is>
          <t>Staff Augmentation</t>
        </is>
      </c>
      <c r="N16" s="73" t="inlineStr"/>
      <c r="O16" s="73" t="inlineStr">
        <is>
          <t>Arshdeep Kaur</t>
        </is>
      </c>
      <c r="P16" s="73" t="inlineStr"/>
      <c r="Q16" s="73" t="inlineStr"/>
      <c r="R16" s="73" t="inlineStr"/>
      <c r="S16" s="73" t="inlineStr">
        <is>
          <t>2025-02-25</t>
        </is>
      </c>
      <c r="T16" s="73" t="inlineStr"/>
      <c r="U16" s="73" t="inlineStr">
        <is>
          <t>2025-02-27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2025-07-23</t>
        </is>
      </c>
      <c r="Z16" s="73" t="inlineStr">
        <is>
          <t>https://app-na2.hubspot.com/contacts/243046792/record/0-3/127678196421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126590238401</t>
        </is>
      </c>
      <c r="C17" s="73" t="inlineStr">
        <is>
          <t>RFQ #01-25</t>
        </is>
      </c>
      <c r="D17" s="73" t="inlineStr">
        <is>
          <t>Microsoft 365 Migration</t>
        </is>
      </c>
      <c r="E17" s="73" t="inlineStr">
        <is>
          <t>Macomb County</t>
        </is>
      </c>
      <c r="F17" s="73" t="inlineStr">
        <is>
          <t>Michigan</t>
        </is>
      </c>
      <c r="G17" s="73" t="inlineStr">
        <is>
          <t>Closed Won</t>
        </is>
      </c>
      <c r="H17" s="73" t="inlineStr">
        <is>
          <t>Yes</t>
        </is>
      </c>
      <c r="I17" s="73" t="inlineStr">
        <is>
          <t>Interview</t>
        </is>
      </c>
      <c r="J17" s="73" t="inlineStr">
        <is>
          <t>2025-02-13</t>
        </is>
      </c>
      <c r="K17" s="73" t="inlineStr">
        <is>
          <t>2025-01-13</t>
        </is>
      </c>
      <c r="L17" s="75" t="n">
        <v>354900</v>
      </c>
      <c r="M17" s="73" t="inlineStr">
        <is>
          <t>Modernization / Migration</t>
        </is>
      </c>
      <c r="N17" s="73" t="inlineStr">
        <is>
          <t>Offline</t>
        </is>
      </c>
      <c r="O17" s="73" t="inlineStr">
        <is>
          <t>Jyothsna Nanda kishore</t>
        </is>
      </c>
      <c r="P17" s="73" t="inlineStr">
        <is>
          <t>Interview Scheduled</t>
        </is>
      </c>
      <c r="Q17" s="73" t="inlineStr">
        <is>
          <t>2025-03-07</t>
        </is>
      </c>
      <c r="R17" s="73" t="inlineStr"/>
      <c r="S17" s="73" t="inlineStr"/>
      <c r="T17" s="73" t="inlineStr"/>
      <c r="U17" s="73" t="inlineStr">
        <is>
          <t>2025-04-23</t>
        </is>
      </c>
      <c r="V17" s="73" t="inlineStr">
        <is>
          <t>In Process</t>
        </is>
      </c>
      <c r="W17" s="73" t="inlineStr"/>
      <c r="X17" s="73" t="inlineStr"/>
      <c r="Y17" s="73" t="inlineStr">
        <is>
          <t>2025-07-21</t>
        </is>
      </c>
      <c r="Z17" s="73" t="inlineStr">
        <is>
          <t>https://app-na2.hubspot.com/contacts/243046792/record/0-3/126590238401</t>
        </is>
      </c>
      <c r="AA17" s="73" t="inlineStr">
        <is>
          <t>Yes</t>
        </is>
      </c>
    </row>
    <row r="18">
      <c r="A18" s="73" t="n">
        <v>17</v>
      </c>
      <c r="B18" s="73" t="inlineStr">
        <is>
          <t>127482766020</t>
        </is>
      </c>
      <c r="C18" s="73" t="inlineStr"/>
      <c r="D18" s="73" t="inlineStr">
        <is>
          <t>Contingency Health IT Staffing - San Mateo County</t>
        </is>
      </c>
      <c r="E18" s="73" t="inlineStr">
        <is>
          <t>County of San Mateo</t>
        </is>
      </c>
      <c r="F18" s="73" t="inlineStr">
        <is>
          <t>California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2025-03-03</t>
        </is>
      </c>
      <c r="K18" s="73" t="inlineStr"/>
      <c r="L18" s="73" t="n"/>
      <c r="M18" s="73" t="inlineStr">
        <is>
          <t>Staff Augmentation</t>
        </is>
      </c>
      <c r="N18" s="73" t="inlineStr">
        <is>
          <t>Portal</t>
        </is>
      </c>
      <c r="O18" s="73" t="inlineStr">
        <is>
          <t>Arshdeep Kaur</t>
        </is>
      </c>
      <c r="P18" s="73" t="inlineStr"/>
      <c r="Q18" s="73" t="inlineStr"/>
      <c r="R18" s="73" t="inlineStr"/>
      <c r="S18" s="73" t="inlineStr">
        <is>
          <t>2025-03-05</t>
        </is>
      </c>
      <c r="T18" s="73" t="inlineStr"/>
      <c r="U18" s="73" t="inlineStr">
        <is>
          <t>2025-05-20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https://app-na2.hubspot.com/contacts/243046792/record/0-3/127482766020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127590445777</t>
        </is>
      </c>
      <c r="C19" s="73" t="inlineStr"/>
      <c r="D19" s="73" t="inlineStr">
        <is>
          <t>Temporary Professional Staff Services 2</t>
        </is>
      </c>
      <c r="E19" s="73" t="inlineStr">
        <is>
          <t>State of South Dakota Department of Social Services</t>
        </is>
      </c>
      <c r="F19" s="73" t="inlineStr">
        <is>
          <t>South Dakota</t>
        </is>
      </c>
      <c r="G19" s="73" t="inlineStr">
        <is>
          <t>Closed Won</t>
        </is>
      </c>
      <c r="H19" s="73" t="inlineStr"/>
      <c r="I19" s="73" t="inlineStr"/>
      <c r="J19" s="73" t="inlineStr">
        <is>
          <t>2025-03-13</t>
        </is>
      </c>
      <c r="K19" s="73" t="inlineStr"/>
      <c r="L19" s="73" t="n"/>
      <c r="M19" s="73" t="inlineStr">
        <is>
          <t>Staff Augmentation</t>
        </is>
      </c>
      <c r="N19" s="73" t="inlineStr"/>
      <c r="O19" s="73" t="inlineStr">
        <is>
          <t>Madhav Mitruka</t>
        </is>
      </c>
      <c r="P19" s="73" t="inlineStr"/>
      <c r="Q19" s="73" t="inlineStr"/>
      <c r="R19" s="73" t="inlineStr"/>
      <c r="S19" s="73" t="inlineStr">
        <is>
          <t>2025-04-21</t>
        </is>
      </c>
      <c r="T19" s="73" t="inlineStr"/>
      <c r="U19" s="73" t="inlineStr">
        <is>
          <t>2025-07-08</t>
        </is>
      </c>
      <c r="V19" s="73" t="inlineStr"/>
      <c r="W19" s="73" t="inlineStr"/>
      <c r="X19" s="73" t="inlineStr"/>
      <c r="Y19" s="73" t="inlineStr">
        <is>
          <t>2025-07-23</t>
        </is>
      </c>
      <c r="Z19" s="73" t="inlineStr">
        <is>
          <t>https://app-na2.hubspot.com/contacts/243046792/record/0-3/127590445777</t>
        </is>
      </c>
      <c r="AA19" s="73" t="inlineStr">
        <is>
          <t>No</t>
        </is>
      </c>
    </row>
    <row r="20">
      <c r="A20" s="73" t="n">
        <v>19</v>
      </c>
      <c r="B20" s="73" t="inlineStr">
        <is>
          <t>126600317675</t>
        </is>
      </c>
      <c r="C20" s="73" t="inlineStr">
        <is>
          <t>RFP S24262</t>
        </is>
      </c>
      <c r="D20" s="73" t="inlineStr">
        <is>
          <t>Employee Application</t>
        </is>
      </c>
      <c r="E20" s="73" t="inlineStr">
        <is>
          <t>Santa Clara Valley Transportation Authority</t>
        </is>
      </c>
      <c r="F20" s="73" t="inlineStr">
        <is>
          <t>California</t>
        </is>
      </c>
      <c r="G20" s="73" t="inlineStr">
        <is>
          <t>Closed Won</t>
        </is>
      </c>
      <c r="H20" s="73" t="inlineStr">
        <is>
          <t>Yes</t>
        </is>
      </c>
      <c r="I20" s="73" t="inlineStr">
        <is>
          <t>Interview</t>
        </is>
      </c>
      <c r="J20" s="73" t="inlineStr">
        <is>
          <t>2025-03-13</t>
        </is>
      </c>
      <c r="K20" s="73" t="inlineStr">
        <is>
          <t>2025-04-14</t>
        </is>
      </c>
      <c r="L20" s="75" t="n">
        <v>212000</v>
      </c>
      <c r="M20" s="73" t="inlineStr">
        <is>
          <t>Modernization / Migration;Support &amp; Maintenance;Platform Implementation (ERP, CRMs)</t>
        </is>
      </c>
      <c r="N20" s="73" t="inlineStr">
        <is>
          <t>Portal</t>
        </is>
      </c>
      <c r="O20" s="73" t="inlineStr">
        <is>
          <t>Jyothsna Nanda kishore</t>
        </is>
      </c>
      <c r="P20" s="73" t="inlineStr">
        <is>
          <t>Interview Scheduled</t>
        </is>
      </c>
      <c r="Q20" s="73" t="inlineStr">
        <is>
          <t>2025-05-08</t>
        </is>
      </c>
      <c r="R20" s="73" t="inlineStr"/>
      <c r="S20" s="73" t="inlineStr"/>
      <c r="T20" s="73" t="inlineStr"/>
      <c r="U20" s="73" t="inlineStr">
        <is>
          <t>2025-06-25</t>
        </is>
      </c>
      <c r="V20" s="73" t="inlineStr">
        <is>
          <t>In Process</t>
        </is>
      </c>
      <c r="W20" s="73" t="inlineStr"/>
      <c r="X20" s="73" t="inlineStr"/>
      <c r="Y20" s="73" t="inlineStr">
        <is>
          <t>2025-07-21</t>
        </is>
      </c>
      <c r="Z20" s="73" t="inlineStr">
        <is>
          <t>https://app-na2.hubspot.com/contacts/243046792/record/0-3/126600317675</t>
        </is>
      </c>
      <c r="AA20" s="73" t="inlineStr">
        <is>
          <t>Yes</t>
        </is>
      </c>
    </row>
    <row r="21">
      <c r="A21" s="73" t="n">
        <v>20</v>
      </c>
      <c r="B21" s="73" t="inlineStr">
        <is>
          <t>127685792505</t>
        </is>
      </c>
      <c r="C21" s="73" t="inlineStr">
        <is>
          <t>EVT00010112</t>
        </is>
      </c>
      <c r="D21" s="73" t="inlineStr">
        <is>
          <t>Temporary Staffing Services - State of Kansas</t>
        </is>
      </c>
      <c r="E21" s="73" t="inlineStr">
        <is>
          <t xml:space="preserve">Kansas Department of Administration </t>
        </is>
      </c>
      <c r="F21" s="73" t="inlineStr">
        <is>
          <t xml:space="preserve">Kansas 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2025-03-21</t>
        </is>
      </c>
      <c r="K21" s="73" t="inlineStr"/>
      <c r="L21" s="73" t="n"/>
      <c r="M21" s="73" t="inlineStr">
        <is>
          <t>Staff Augmentation</t>
        </is>
      </c>
      <c r="N21" s="73" t="inlineStr"/>
      <c r="O21" s="73" t="inlineStr">
        <is>
          <t>Arshdeep Kaur</t>
        </is>
      </c>
      <c r="P21" s="73" t="inlineStr"/>
      <c r="Q21" s="73" t="inlineStr"/>
      <c r="R21" s="73" t="inlineStr"/>
      <c r="S21" s="73" t="inlineStr">
        <is>
          <t>2025-04-23</t>
        </is>
      </c>
      <c r="T21" s="73" t="inlineStr"/>
      <c r="U21" s="73" t="inlineStr">
        <is>
          <t>2025-04-25</t>
        </is>
      </c>
      <c r="V21" s="73" t="inlineStr"/>
      <c r="W21" s="73" t="inlineStr"/>
      <c r="X21" s="73" t="inlineStr"/>
      <c r="Y21" s="73" t="inlineStr">
        <is>
          <t>2025-07-23</t>
        </is>
      </c>
      <c r="Z21" s="73" t="inlineStr">
        <is>
          <t>https://app-na2.hubspot.com/contacts/243046792/record/0-3/127685792505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142851074788</t>
        </is>
      </c>
      <c r="C22" s="73" t="inlineStr">
        <is>
          <t>RFQ-DH-1394</t>
        </is>
      </c>
      <c r="D22" s="73" t="inlineStr">
        <is>
          <t>ON-CALL INFORMATION TECHNOLOGY INFRASTRUCTURE SERVICES</t>
        </is>
      </c>
      <c r="E22" s="73" t="inlineStr">
        <is>
          <t>Metropolitan Water District of Southern California</t>
        </is>
      </c>
      <c r="F22" s="73" t="inlineStr">
        <is>
          <t>California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/>
      <c r="L22" s="73" t="n"/>
      <c r="M22" s="73" t="inlineStr">
        <is>
          <t>Staff Augmentation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2025-07-25</t>
        </is>
      </c>
      <c r="T22" s="73" t="inlineStr"/>
      <c r="U22" s="73" t="inlineStr">
        <is>
          <t>2025-07-25</t>
        </is>
      </c>
      <c r="V22" s="73" t="inlineStr"/>
      <c r="W22" s="73" t="inlineStr"/>
      <c r="X22" s="73" t="inlineStr"/>
      <c r="Y22" s="73" t="inlineStr">
        <is>
          <t>2025-08-19</t>
        </is>
      </c>
      <c r="Z22" s="73" t="inlineStr">
        <is>
          <t>https://app-na2.hubspot.com/contacts/243046792/record/0-3/142851074788</t>
        </is>
      </c>
      <c r="AA22" s="73" t="inlineStr">
        <is>
          <t>No</t>
        </is>
      </c>
    </row>
    <row r="23">
      <c r="A23" s="73" t="n">
        <v>22</v>
      </c>
      <c r="B23" s="73" t="inlineStr">
        <is>
          <t>114864632563</t>
        </is>
      </c>
      <c r="C23" s="73" t="inlineStr">
        <is>
          <t>IT1638-25</t>
        </is>
      </c>
      <c r="D23" s="73" t="inlineStr">
        <is>
          <t>Marion County - Oracle Support Services</t>
        </is>
      </c>
      <c r="E23" s="73" t="inlineStr">
        <is>
          <t>Marion County</t>
        </is>
      </c>
      <c r="F23" s="73" t="inlineStr">
        <is>
          <t>Oregon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2025-04-03</t>
        </is>
      </c>
      <c r="K23" s="73" t="inlineStr">
        <is>
          <t>2025-04-03</t>
        </is>
      </c>
      <c r="L23" s="75" t="n">
        <v>100000</v>
      </c>
      <c r="M23" s="73" t="inlineStr">
        <is>
          <t>Support &amp; Maintenance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2025-05-19</t>
        </is>
      </c>
      <c r="T23" s="73" t="inlineStr"/>
      <c r="U23" s="73" t="inlineStr">
        <is>
          <t>2025-06-11</t>
        </is>
      </c>
      <c r="V23" s="73" t="inlineStr">
        <is>
          <t>In Process</t>
        </is>
      </c>
      <c r="W23" s="73" t="inlineStr"/>
      <c r="X23" s="73" t="inlineStr"/>
      <c r="Y23" s="73" t="inlineStr">
        <is>
          <t>2025-07-09</t>
        </is>
      </c>
      <c r="Z23" s="73" t="inlineStr">
        <is>
          <t>https://app-na2.hubspot.com/contacts/243046792/record/0-3/114864632563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127482750660</t>
        </is>
      </c>
      <c r="C24" s="73" t="inlineStr"/>
      <c r="D24" s="73" t="inlineStr">
        <is>
          <t>ON-CALL INFORMATION TECHNOLOGY (IT) QUALITY ASSURANCE AND CONTROL, PROJECT MANAGEMENT, AND BUSINESS ANALYSIS SUPPORT SERVICES (RFQ-MN-1395)</t>
        </is>
      </c>
      <c r="E24" s="73" t="inlineStr"/>
      <c r="F24" s="73" t="inlineStr"/>
      <c r="G24" s="73" t="inlineStr">
        <is>
          <t>Closed Won</t>
        </is>
      </c>
      <c r="H24" s="73" t="inlineStr"/>
      <c r="I24" s="73" t="inlineStr"/>
      <c r="J24" s="73" t="inlineStr">
        <is>
          <t>2025-04-08</t>
        </is>
      </c>
      <c r="K24" s="73" t="inlineStr">
        <is>
          <t>2025-04-08</t>
        </is>
      </c>
      <c r="L24" s="73" t="n"/>
      <c r="M24" s="73" t="inlineStr"/>
      <c r="N24" s="73" t="inlineStr">
        <is>
          <t>Portal</t>
        </is>
      </c>
      <c r="O24" s="73" t="inlineStr">
        <is>
          <t>Madhav Mitruka</t>
        </is>
      </c>
      <c r="P24" s="73" t="inlineStr"/>
      <c r="Q24" s="73" t="inlineStr"/>
      <c r="R24" s="73" t="inlineStr"/>
      <c r="S24" s="73" t="inlineStr">
        <is>
          <t>2025-07-22</t>
        </is>
      </c>
      <c r="T24" s="73" t="inlineStr"/>
      <c r="U24" s="73" t="inlineStr">
        <is>
          <t>2025-07-22</t>
        </is>
      </c>
      <c r="V24" s="73" t="inlineStr"/>
      <c r="W24" s="73" t="inlineStr"/>
      <c r="X24" s="73" t="inlineStr"/>
      <c r="Y24" s="73" t="inlineStr">
        <is>
          <t>2025-07-23</t>
        </is>
      </c>
      <c r="Z24" s="73" t="inlineStr">
        <is>
          <t>https://app-na2.hubspot.com/contacts/243046792/record/0-3/127482750660</t>
        </is>
      </c>
      <c r="AA24" s="73" t="inlineStr"/>
    </row>
    <row r="25">
      <c r="A25" s="73" t="n">
        <v>24</v>
      </c>
      <c r="B25" s="73" t="inlineStr">
        <is>
          <t>132776626904</t>
        </is>
      </c>
      <c r="C25" s="73" t="inlineStr"/>
      <c r="D25" s="73" t="inlineStr">
        <is>
          <t>ON-CALL INFORMATION TECHNOLOGY (IT) APPLICATION SUPPORT SERVICES (RFQ-DS-1397)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2025-04-10</t>
        </is>
      </c>
      <c r="K25" s="73" t="inlineStr"/>
      <c r="L25" s="73" t="n"/>
      <c r="M25" s="73" t="inlineStr"/>
      <c r="N25" s="73" t="inlineStr"/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2025-07-28</t>
        </is>
      </c>
      <c r="T25" s="73" t="inlineStr"/>
      <c r="U25" s="73" t="inlineStr">
        <is>
          <t>2025-07-28</t>
        </is>
      </c>
      <c r="V25" s="73" t="inlineStr"/>
      <c r="W25" s="73" t="inlineStr"/>
      <c r="X25" s="73" t="inlineStr"/>
      <c r="Y25" s="73" t="inlineStr">
        <is>
          <t>2025-07-29</t>
        </is>
      </c>
      <c r="Z25" s="73" t="inlineStr">
        <is>
          <t>https://app-na2.hubspot.com/contacts/243046792/record/0-3/132776626904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126595998395</t>
        </is>
      </c>
      <c r="C26" s="73" t="inlineStr">
        <is>
          <t>DOR RFP 24/25-59</t>
        </is>
      </c>
      <c r="D26" s="73" t="inlineStr">
        <is>
          <t>FLDOR - SAP License Analysis</t>
        </is>
      </c>
      <c r="E26" s="73" t="inlineStr">
        <is>
          <t>Florida Department of Revenue</t>
        </is>
      </c>
      <c r="F26" s="73" t="inlineStr">
        <is>
          <t>Florida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2025-04-14</t>
        </is>
      </c>
      <c r="K26" s="73" t="inlineStr">
        <is>
          <t>2025-04-14</t>
        </is>
      </c>
      <c r="L26" s="75" t="n">
        <v>58800</v>
      </c>
      <c r="M26" s="73" t="inlineStr"/>
      <c r="N26" s="73" t="inlineStr">
        <is>
          <t>Offline</t>
        </is>
      </c>
      <c r="O26" s="73" t="inlineStr">
        <is>
          <t>Jyothsna Nanda kishore</t>
        </is>
      </c>
      <c r="P26" s="73" t="inlineStr"/>
      <c r="Q26" s="73" t="inlineStr"/>
      <c r="R26" s="73" t="inlineStr"/>
      <c r="S26" s="73" t="inlineStr"/>
      <c r="T26" s="73" t="inlineStr"/>
      <c r="U26" s="73" t="inlineStr">
        <is>
          <t>2025-05-22</t>
        </is>
      </c>
      <c r="V26" s="73" t="inlineStr">
        <is>
          <t>In Process</t>
        </is>
      </c>
      <c r="W26" s="73" t="inlineStr"/>
      <c r="X26" s="73" t="inlineStr"/>
      <c r="Y26" s="73" t="inlineStr">
        <is>
          <t>2025-07-21</t>
        </is>
      </c>
      <c r="Z26" s="73" t="inlineStr">
        <is>
          <t>https://app-na2.hubspot.com/contacts/243046792/record/0-3/126595998395</t>
        </is>
      </c>
      <c r="AA26" s="73" t="inlineStr">
        <is>
          <t>Yes</t>
        </is>
      </c>
    </row>
    <row r="27">
      <c r="A27" s="73" t="n">
        <v>26</v>
      </c>
      <c r="B27" s="73" t="inlineStr">
        <is>
          <t>127678196440</t>
        </is>
      </c>
      <c r="C27" s="73" t="inlineStr"/>
      <c r="D27" s="73" t="inlineStr">
        <is>
          <t>MINNESOTA JUDICIAL BRANCH - IT Technical/infrastructure Services, Information Technology Application Development And Support Services &amp; Data Science And Machine Learning Services</t>
        </is>
      </c>
      <c r="E27" s="73" t="inlineStr">
        <is>
          <t>Minnesota Judicial Branch</t>
        </is>
      </c>
      <c r="F27" s="73" t="inlineStr"/>
      <c r="G27" s="73" t="inlineStr">
        <is>
          <t>Closed Won</t>
        </is>
      </c>
      <c r="H27" s="73" t="inlineStr"/>
      <c r="I27" s="73" t="inlineStr"/>
      <c r="J27" s="73" t="inlineStr">
        <is>
          <t>2025-04-29</t>
        </is>
      </c>
      <c r="K27" s="73" t="inlineStr"/>
      <c r="L27" s="73" t="n"/>
      <c r="M27" s="73" t="inlineStr">
        <is>
          <t>Staff Augmentation</t>
        </is>
      </c>
      <c r="N27" s="73" t="inlineStr"/>
      <c r="O27" s="73" t="inlineStr">
        <is>
          <t>Arshdeep Kaur</t>
        </is>
      </c>
      <c r="P27" s="73" t="inlineStr"/>
      <c r="Q27" s="73" t="inlineStr"/>
      <c r="R27" s="73" t="inlineStr"/>
      <c r="S27" s="73" t="inlineStr">
        <is>
          <t>2025-07-08</t>
        </is>
      </c>
      <c r="T27" s="73" t="inlineStr"/>
      <c r="U27" s="73" t="inlineStr">
        <is>
          <t>2025-08-27</t>
        </is>
      </c>
      <c r="V27" s="73" t="inlineStr"/>
      <c r="W27" s="73" t="inlineStr"/>
      <c r="X27" s="73" t="inlineStr"/>
      <c r="Y27" s="73" t="inlineStr">
        <is>
          <t>2025-07-23</t>
        </is>
      </c>
      <c r="Z27" s="73" t="inlineStr">
        <is>
          <t>https://app-na2.hubspot.com/contacts/243046792/record/0-3/127678196440</t>
        </is>
      </c>
      <c r="AA27" s="73" t="inlineStr"/>
    </row>
    <row r="28">
      <c r="A28" s="73" t="n">
        <v>27</v>
      </c>
      <c r="B28" s="73" t="inlineStr">
        <is>
          <t>186570653428</t>
        </is>
      </c>
      <c r="C28" s="73" t="inlineStr">
        <is>
          <t>405 24R0019168C</t>
        </is>
      </c>
      <c r="D28" s="73" t="inlineStr">
        <is>
          <t>Cherwell Professional Services</t>
        </is>
      </c>
      <c r="E28" s="73" t="inlineStr">
        <is>
          <t>Texas Department of Public Safety</t>
        </is>
      </c>
      <c r="F28" s="73" t="inlineStr">
        <is>
          <t>Texas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2025-05-14</t>
        </is>
      </c>
      <c r="K28" s="73" t="inlineStr"/>
      <c r="L28" s="75" t="n">
        <v>148500</v>
      </c>
      <c r="M28" s="73" t="inlineStr">
        <is>
          <t>Managed Services (MSP)</t>
        </is>
      </c>
      <c r="N28" s="73" t="inlineStr">
        <is>
          <t>Email</t>
        </is>
      </c>
      <c r="O28" s="73" t="inlineStr">
        <is>
          <t>Satvik Chaudhary</t>
        </is>
      </c>
      <c r="P28" s="73" t="inlineStr"/>
      <c r="Q28" s="73" t="inlineStr"/>
      <c r="R28" s="73" t="inlineStr"/>
      <c r="S28" s="73" t="inlineStr">
        <is>
          <t>2025-10-09</t>
        </is>
      </c>
      <c r="T28" s="73" t="inlineStr"/>
      <c r="U28" s="73" t="inlineStr">
        <is>
          <t>2025-10-17</t>
        </is>
      </c>
      <c r="V28" s="73" t="inlineStr"/>
      <c r="W28" s="73" t="inlineStr"/>
      <c r="X28" s="73" t="inlineStr"/>
      <c r="Y28" s="73" t="inlineStr">
        <is>
          <t>2025-10-13</t>
        </is>
      </c>
      <c r="Z28" s="73" t="inlineStr">
        <is>
          <t>https://app-na2.hubspot.com/contacts/243046792/record/0-3/186570653428</t>
        </is>
      </c>
      <c r="AA28" s="73" t="inlineStr">
        <is>
          <t>Yes</t>
        </is>
      </c>
    </row>
    <row r="29">
      <c r="A29" s="73" t="n">
        <v>28</v>
      </c>
      <c r="B29" s="73" t="inlineStr">
        <is>
          <t>127482765035</t>
        </is>
      </c>
      <c r="C29" s="73" t="inlineStr">
        <is>
          <t>RFP NO. NC- 2025-14</t>
        </is>
      </c>
      <c r="D29" s="73" t="inlineStr">
        <is>
          <t>Computer Maintenance &amp; Technology Support Services - FCSS Fresno County Superintendent of Schools</t>
        </is>
      </c>
      <c r="E29" s="73" t="inlineStr">
        <is>
          <t>FRESNO COUNTY SUPERINTENDENT OF SCHOOLS</t>
        </is>
      </c>
      <c r="F29" s="73" t="inlineStr">
        <is>
          <t>California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2025-05-19</t>
        </is>
      </c>
      <c r="K29" s="73" t="inlineStr"/>
      <c r="L29" s="73" t="n"/>
      <c r="M29" s="73" t="inlineStr">
        <is>
          <t>Consulting;Support &amp; Maintenance</t>
        </is>
      </c>
      <c r="N29" s="73" t="inlineStr"/>
      <c r="O29" s="73" t="inlineStr">
        <is>
          <t>Arshdeep Kaur</t>
        </is>
      </c>
      <c r="P29" s="73" t="inlineStr"/>
      <c r="Q29" s="73" t="inlineStr"/>
      <c r="R29" s="73" t="inlineStr"/>
      <c r="S29" s="73" t="inlineStr">
        <is>
          <t>2025-06-13</t>
        </is>
      </c>
      <c r="T29" s="73" t="inlineStr"/>
      <c r="U29" s="73" t="inlineStr">
        <is>
          <t>2025-11-07</t>
        </is>
      </c>
      <c r="V29" s="73" t="inlineStr"/>
      <c r="W29" s="73" t="inlineStr"/>
      <c r="X29" s="73" t="inlineStr"/>
      <c r="Y29" s="73" t="inlineStr">
        <is>
          <t>2025-07-23</t>
        </is>
      </c>
      <c r="Z29" s="73" t="inlineStr">
        <is>
          <t>https://app-na2.hubspot.com/contacts/243046792/record/0-3/127482765035</t>
        </is>
      </c>
      <c r="AA29" s="73" t="inlineStr"/>
    </row>
    <row r="30">
      <c r="A30" s="73" t="n">
        <v>29</v>
      </c>
      <c r="B30" s="73" t="inlineStr">
        <is>
          <t>127590445789</t>
        </is>
      </c>
      <c r="C30" s="73" t="inlineStr"/>
      <c r="D30" s="73" t="inlineStr">
        <is>
          <t>Retainer Contract Opportunity for Information Technology (IT) Services</t>
        </is>
      </c>
      <c r="E30" s="73" t="inlineStr">
        <is>
          <t>State of Vermont (Department of Buildings and General Services)</t>
        </is>
      </c>
      <c r="F30" s="73" t="inlineStr"/>
      <c r="G30" s="73" t="inlineStr">
        <is>
          <t>Closed Won</t>
        </is>
      </c>
      <c r="H30" s="73" t="inlineStr"/>
      <c r="I30" s="73" t="inlineStr"/>
      <c r="J30" s="73" t="inlineStr">
        <is>
          <t>2025-05-30</t>
        </is>
      </c>
      <c r="K30" s="73" t="inlineStr"/>
      <c r="L30" s="73" t="n"/>
      <c r="M30" s="73" t="inlineStr"/>
      <c r="N30" s="73" t="inlineStr"/>
      <c r="O30" s="73" t="inlineStr">
        <is>
          <t>Madhav Mitruka</t>
        </is>
      </c>
      <c r="P30" s="73" t="inlineStr"/>
      <c r="Q30" s="73" t="inlineStr"/>
      <c r="R30" s="73" t="inlineStr"/>
      <c r="S30" s="73" t="inlineStr">
        <is>
          <t>2025-06-28</t>
        </is>
      </c>
      <c r="T30" s="73" t="inlineStr"/>
      <c r="U30" s="73" t="inlineStr">
        <is>
          <t>2026-01-21</t>
        </is>
      </c>
      <c r="V30" s="73" t="inlineStr"/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https://app-na2.hubspot.com/contacts/243046792/record/0-3/127590445789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181172764367</t>
        </is>
      </c>
      <c r="C31" s="73" t="inlineStr"/>
      <c r="D31" s="73" t="inlineStr">
        <is>
          <t>Temporary Personnel Services for Information Technology</t>
        </is>
      </c>
      <c r="E31" s="73" t="inlineStr">
        <is>
          <t>Monroe County</t>
        </is>
      </c>
      <c r="F31" s="73" t="inlineStr">
        <is>
          <t>New York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2025-06-27</t>
        </is>
      </c>
      <c r="K31" s="73" t="inlineStr">
        <is>
          <t>2025-06-25</t>
        </is>
      </c>
      <c r="L31" s="73" t="n"/>
      <c r="M31" s="73" t="inlineStr">
        <is>
          <t>Platform Implementation (ERP, CRMs);Support &amp; Maintenance</t>
        </is>
      </c>
      <c r="N31" s="73" t="inlineStr">
        <is>
          <t>Email</t>
        </is>
      </c>
      <c r="O31" s="73" t="inlineStr">
        <is>
          <t>Jyothsna Nanda kishore</t>
        </is>
      </c>
      <c r="P31" s="73" t="inlineStr"/>
      <c r="Q31" s="73" t="inlineStr"/>
      <c r="R31" s="73" t="inlineStr"/>
      <c r="S31" s="73" t="inlineStr">
        <is>
          <t>2025-10-08</t>
        </is>
      </c>
      <c r="T31" s="73" t="inlineStr"/>
      <c r="U31" s="73" t="inlineStr">
        <is>
          <t>2025-10-08</t>
        </is>
      </c>
      <c r="V31" s="73" t="inlineStr"/>
      <c r="W31" s="73" t="inlineStr"/>
      <c r="X31" s="73" t="inlineStr"/>
      <c r="Y31" s="73" t="inlineStr">
        <is>
          <t>2025-10-08</t>
        </is>
      </c>
      <c r="Z31" s="73" t="inlineStr">
        <is>
          <t>https://app-na2.hubspot.com/contacts/243046792/record/0-3/181172764367</t>
        </is>
      </c>
      <c r="AA31" s="73" t="inlineStr"/>
    </row>
    <row r="32">
      <c r="A32" s="73" t="n">
        <v>31</v>
      </c>
      <c r="B32" s="73" t="inlineStr">
        <is>
          <t>127677476588</t>
        </is>
      </c>
      <c r="C32" s="73" t="inlineStr">
        <is>
          <t>23-030</t>
        </is>
      </c>
      <c r="D32" s="73" t="inlineStr">
        <is>
          <t>Miscellaneous Consultant Services</t>
        </is>
      </c>
      <c r="E32" s="73" t="inlineStr">
        <is>
          <t>San Antonio Independent School District</t>
        </is>
      </c>
      <c r="F32" s="73" t="inlineStr">
        <is>
          <t>Texas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2025-06-30</t>
        </is>
      </c>
      <c r="K32" s="73" t="inlineStr">
        <is>
          <t>2025-06-30</t>
        </is>
      </c>
      <c r="L32" s="73" t="n"/>
      <c r="M32" s="73" t="inlineStr">
        <is>
          <t>Staff Augmentation</t>
        </is>
      </c>
      <c r="N32" s="73" t="inlineStr">
        <is>
          <t>Portal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/>
      <c r="T32" s="73" t="inlineStr"/>
      <c r="U32" s="73" t="inlineStr">
        <is>
          <t>2025-07-11</t>
        </is>
      </c>
      <c r="V32" s="73" t="inlineStr">
        <is>
          <t>In Process</t>
        </is>
      </c>
      <c r="W32" s="73" t="inlineStr"/>
      <c r="X32" s="73" t="inlineStr"/>
      <c r="Y32" s="73" t="inlineStr">
        <is>
          <t>2025-07-23</t>
        </is>
      </c>
      <c r="Z32" s="73" t="inlineStr">
        <is>
          <t>https://app-na2.hubspot.com/contacts/243046792/record/0-3/127677476588</t>
        </is>
      </c>
      <c r="AA32" s="73" t="inlineStr">
        <is>
          <t>No</t>
        </is>
      </c>
    </row>
    <row r="33">
      <c r="A33" s="73" t="n">
        <v>32</v>
      </c>
      <c r="B33" s="73" t="inlineStr">
        <is>
          <t>135198825206</t>
        </is>
      </c>
      <c r="C33" s="73" t="inlineStr">
        <is>
          <t>24-25-78</t>
        </is>
      </c>
      <c r="D33" s="73" t="inlineStr">
        <is>
          <t>IT Project Management &amp; Consulting Services</t>
        </is>
      </c>
      <c r="E33" s="73" t="inlineStr">
        <is>
          <t>City of Santa Clara</t>
        </is>
      </c>
      <c r="F33" s="73" t="inlineStr">
        <is>
          <t>California</t>
        </is>
      </c>
      <c r="G33" s="73" t="inlineStr">
        <is>
          <t>Closed Won</t>
        </is>
      </c>
      <c r="H33" s="73" t="inlineStr">
        <is>
          <t>Yes</t>
        </is>
      </c>
      <c r="I33" s="73" t="inlineStr">
        <is>
          <t>Interview</t>
        </is>
      </c>
      <c r="J33" s="73" t="inlineStr">
        <is>
          <t>2025-08-11</t>
        </is>
      </c>
      <c r="K33" s="73" t="inlineStr"/>
      <c r="L33" s="73" t="n"/>
      <c r="M33" s="73" t="inlineStr">
        <is>
          <t>Consulting</t>
        </is>
      </c>
      <c r="N33" s="73" t="inlineStr"/>
      <c r="O33" s="73" t="inlineStr">
        <is>
          <t>Madhav Mitruka</t>
        </is>
      </c>
      <c r="P33" s="73" t="inlineStr">
        <is>
          <t>Interview Scheduled</t>
        </is>
      </c>
      <c r="Q33" s="73" t="inlineStr">
        <is>
          <t>2025-07-23</t>
        </is>
      </c>
      <c r="R33" s="73" t="inlineStr"/>
      <c r="S33" s="73" t="inlineStr">
        <is>
          <t>2025-08-01</t>
        </is>
      </c>
      <c r="T33" s="73" t="inlineStr"/>
      <c r="U33" s="73" t="inlineStr">
        <is>
          <t>2025-11-10</t>
        </is>
      </c>
      <c r="V33" s="73" t="inlineStr"/>
      <c r="W33" s="73" t="inlineStr"/>
      <c r="X33" s="73" t="inlineStr"/>
      <c r="Y33" s="73" t="inlineStr">
        <is>
          <t>2025-08-01</t>
        </is>
      </c>
      <c r="Z33" s="73" t="inlineStr">
        <is>
          <t>https://app-na2.hubspot.com/contacts/243046792/record/0-3/135198825206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129524913852</t>
        </is>
      </c>
      <c r="C34" s="73" t="inlineStr">
        <is>
          <t>2124952</t>
        </is>
      </c>
      <c r="D34" s="73" t="inlineStr">
        <is>
          <t>Broadcom CA ESP dSeries Workload Automation Migration</t>
        </is>
      </c>
      <c r="E34" s="73" t="inlineStr">
        <is>
          <t>New York State Office of the State Comptroller</t>
        </is>
      </c>
      <c r="F34" s="73" t="inlineStr">
        <is>
          <t>New York</t>
        </is>
      </c>
      <c r="G34" s="73" t="inlineStr">
        <is>
          <t>Intent to Award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2025-08-25</t>
        </is>
      </c>
      <c r="K34" s="73" t="inlineStr">
        <is>
          <t>2025-08-18</t>
        </is>
      </c>
      <c r="L34" s="75" t="n">
        <v>126200</v>
      </c>
      <c r="M34" s="73" t="inlineStr">
        <is>
          <t>Modernization / Migration</t>
        </is>
      </c>
      <c r="N34" s="73" t="inlineStr">
        <is>
          <t>Email</t>
        </is>
      </c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2025-10-23</t>
        </is>
      </c>
      <c r="R34" s="73" t="inlineStr"/>
      <c r="S34" s="73" t="inlineStr">
        <is>
          <t>2026-01-06</t>
        </is>
      </c>
      <c r="T34" s="73" t="inlineStr"/>
      <c r="U34" s="73" t="inlineStr"/>
      <c r="V34" s="73" t="inlineStr"/>
      <c r="W34" s="73" t="inlineStr"/>
      <c r="X34" s="73" t="inlineStr"/>
      <c r="Y34" s="73" t="inlineStr">
        <is>
          <t>2025-07-28</t>
        </is>
      </c>
      <c r="Z34" s="73" t="inlineStr">
        <is>
          <t>https://app-na2.hubspot.com/contacts/243046792/record/0-3/129524913852</t>
        </is>
      </c>
      <c r="AA34" s="73" t="inlineStr">
        <is>
          <t>Yes</t>
        </is>
      </c>
    </row>
    <row r="35">
      <c r="A35" s="73" t="n">
        <v>34</v>
      </c>
      <c r="B35" s="73" t="inlineStr">
        <is>
          <t>110968802000</t>
        </is>
      </c>
      <c r="C35" s="73" t="inlineStr">
        <is>
          <t>201-2025-1000-1</t>
        </is>
      </c>
      <c r="D35" s="73" t="inlineStr">
        <is>
          <t>School Data Migration</t>
        </is>
      </c>
      <c r="E35" s="73" t="inlineStr">
        <is>
          <t>North Dakota Department of Public Instruction</t>
        </is>
      </c>
      <c r="F35" s="73" t="inlineStr">
        <is>
          <t>North Dakota</t>
        </is>
      </c>
      <c r="G35" s="73" t="inlineStr">
        <is>
          <t>Closed Won</t>
        </is>
      </c>
      <c r="H35" s="73" t="inlineStr"/>
      <c r="I35" s="73" t="inlineStr"/>
      <c r="J35" s="73" t="inlineStr">
        <is>
          <t>2025-08-26</t>
        </is>
      </c>
      <c r="K35" s="73" t="inlineStr">
        <is>
          <t>2025-07-30</t>
        </is>
      </c>
      <c r="L35" s="75" t="n">
        <v>193000</v>
      </c>
      <c r="M35" s="73" t="inlineStr">
        <is>
          <t>Modernization / Migration</t>
        </is>
      </c>
      <c r="N35" s="73" t="inlineStr">
        <is>
          <t>Portal</t>
        </is>
      </c>
      <c r="O35" s="73" t="inlineStr">
        <is>
          <t>Arshdeep Kaur</t>
        </is>
      </c>
      <c r="P35" s="73" t="inlineStr"/>
      <c r="Q35" s="73" t="inlineStr"/>
      <c r="R35" s="73" t="inlineStr"/>
      <c r="S35" s="73" t="inlineStr">
        <is>
          <t>2025-08-25</t>
        </is>
      </c>
      <c r="T35" s="73" t="inlineStr"/>
      <c r="U35" s="73" t="inlineStr">
        <is>
          <t>2025-10-16</t>
        </is>
      </c>
      <c r="V35" s="73" t="inlineStr"/>
      <c r="W35" s="73" t="inlineStr"/>
      <c r="X35" s="73" t="inlineStr"/>
      <c r="Y35" s="73" t="inlineStr">
        <is>
          <t>2025-07-02</t>
        </is>
      </c>
      <c r="Z35" s="73" t="inlineStr">
        <is>
          <t>https://app-na2.hubspot.com/contacts/243046792/record/0-3/110968802000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108072562388</t>
        </is>
      </c>
      <c r="C36" s="73" t="inlineStr"/>
      <c r="D36" s="73" t="inlineStr">
        <is>
          <t>IT Augmentation Partner (SOW 1)</t>
        </is>
      </c>
      <c r="E36" s="73" t="inlineStr">
        <is>
          <t>Madison Metropolitan Sewerage District</t>
        </is>
      </c>
      <c r="F36" s="73" t="inlineStr">
        <is>
          <t>Wisconsin</t>
        </is>
      </c>
      <c r="G36" s="73" t="inlineStr">
        <is>
          <t>Closed Won</t>
        </is>
      </c>
      <c r="H36" s="73" t="inlineStr">
        <is>
          <t>Yes</t>
        </is>
      </c>
      <c r="I36" s="73" t="inlineStr">
        <is>
          <t>Interview</t>
        </is>
      </c>
      <c r="J36" s="73" t="inlineStr">
        <is>
          <t>2025-09-03</t>
        </is>
      </c>
      <c r="K36" s="73" t="inlineStr">
        <is>
          <t>2025-05-24</t>
        </is>
      </c>
      <c r="L36" s="75" t="n">
        <v>1450000</v>
      </c>
      <c r="M36" s="73" t="inlineStr"/>
      <c r="N36" s="73" t="inlineStr"/>
      <c r="O36" s="73" t="inlineStr">
        <is>
          <t>Madhav Mitruka</t>
        </is>
      </c>
      <c r="P36" s="73" t="inlineStr">
        <is>
          <t>Interview Scheduled</t>
        </is>
      </c>
      <c r="Q36" s="73" t="inlineStr">
        <is>
          <t>2025-07-28</t>
        </is>
      </c>
      <c r="R36" s="73" t="inlineStr"/>
      <c r="S36" s="73" t="inlineStr">
        <is>
          <t>2025-08-14</t>
        </is>
      </c>
      <c r="T36" s="73" t="inlineStr"/>
      <c r="U36" s="73" t="inlineStr">
        <is>
          <t>2025-09-18</t>
        </is>
      </c>
      <c r="V36" s="73" t="inlineStr"/>
      <c r="W36" s="73" t="inlineStr"/>
      <c r="X36" s="73" t="inlineStr"/>
      <c r="Y36" s="73" t="inlineStr">
        <is>
          <t>2025-06-25</t>
        </is>
      </c>
      <c r="Z36" s="73" t="inlineStr">
        <is>
          <t>https://app-na2.hubspot.com/contacts/243046792/record/0-3/108072562388</t>
        </is>
      </c>
      <c r="AA36" s="73" t="inlineStr"/>
    </row>
    <row r="37">
      <c r="A37" s="73" t="n">
        <v>36</v>
      </c>
      <c r="B37" s="73" t="inlineStr">
        <is>
          <t>126587718330</t>
        </is>
      </c>
      <c r="C37" s="73" t="inlineStr"/>
      <c r="D37" s="73" t="inlineStr">
        <is>
          <t>E-Rate Cybersecurity Pilot Program - Next Generation Firewall</t>
        </is>
      </c>
      <c r="E37" s="73" t="inlineStr">
        <is>
          <t>Alachua County Library District</t>
        </is>
      </c>
      <c r="F37" s="73" t="inlineStr">
        <is>
          <t>FL</t>
        </is>
      </c>
      <c r="G37" s="73" t="inlineStr">
        <is>
          <t>Closed Won</t>
        </is>
      </c>
      <c r="H37" s="73" t="inlineStr"/>
      <c r="I37" s="73" t="inlineStr"/>
      <c r="J37" s="73" t="inlineStr">
        <is>
          <t>2025-09-05</t>
        </is>
      </c>
      <c r="K37" s="73" t="inlineStr">
        <is>
          <t>2025-08-21</t>
        </is>
      </c>
      <c r="L37" s="75" t="n">
        <v>125000</v>
      </c>
      <c r="M37" s="73" t="inlineStr">
        <is>
          <t>Consulting</t>
        </is>
      </c>
      <c r="N37" s="73" t="inlineStr">
        <is>
          <t>Portal</t>
        </is>
      </c>
      <c r="O37" s="73" t="inlineStr">
        <is>
          <t>Yashaswini Gautam</t>
        </is>
      </c>
      <c r="P37" s="73" t="inlineStr"/>
      <c r="Q37" s="73" t="inlineStr"/>
      <c r="R37" s="73" t="inlineStr"/>
      <c r="S37" s="73" t="inlineStr">
        <is>
          <t>2025-09-05</t>
        </is>
      </c>
      <c r="T37" s="73" t="inlineStr"/>
      <c r="U37" s="73" t="inlineStr"/>
      <c r="V37" s="73" t="inlineStr"/>
      <c r="W37" s="73" t="inlineStr"/>
      <c r="X37" s="73" t="inlineStr"/>
      <c r="Y37" s="73" t="inlineStr">
        <is>
          <t>2025-07-21</t>
        </is>
      </c>
      <c r="Z37" s="73" t="inlineStr">
        <is>
          <t>https://app-na2.hubspot.com/contacts/243046792/record/0-3/126587718330</t>
        </is>
      </c>
      <c r="AA37" s="73" t="inlineStr"/>
    </row>
    <row r="38">
      <c r="A38" s="73" t="n">
        <v>37</v>
      </c>
      <c r="B38" s="73" t="inlineStr">
        <is>
          <t>127743477490</t>
        </is>
      </c>
      <c r="C38" s="73" t="inlineStr"/>
      <c r="D38" s="73" t="inlineStr">
        <is>
          <t>EPIC 6- RFP 21.25 Technology Solutions &amp; Services</t>
        </is>
      </c>
      <c r="E38" s="73" t="inlineStr">
        <is>
          <t>EPIC 6</t>
        </is>
      </c>
      <c r="F38" s="73" t="inlineStr">
        <is>
          <t>Texas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2025-09-10</t>
        </is>
      </c>
      <c r="K38" s="73" t="inlineStr"/>
      <c r="L38" s="73" t="n"/>
      <c r="M38" s="73" t="inlineStr">
        <is>
          <t>Staff Augmentation</t>
        </is>
      </c>
      <c r="N38" s="73" t="inlineStr">
        <is>
          <t>Portal</t>
        </is>
      </c>
      <c r="O38" s="73" t="inlineStr">
        <is>
          <t>Jyothsna Nanda kishore</t>
        </is>
      </c>
      <c r="P38" s="73" t="inlineStr"/>
      <c r="Q38" s="73" t="inlineStr"/>
      <c r="R38" s="73" t="inlineStr"/>
      <c r="S38" s="73" t="inlineStr">
        <is>
          <t>2025-06-16</t>
        </is>
      </c>
      <c r="T38" s="73" t="inlineStr"/>
      <c r="U38" s="73" t="inlineStr">
        <is>
          <t>2025-06-23</t>
        </is>
      </c>
      <c r="V38" s="73" t="inlineStr"/>
      <c r="W38" s="73" t="inlineStr"/>
      <c r="X38" s="73" t="inlineStr"/>
      <c r="Y38" s="73" t="inlineStr">
        <is>
          <t>2025-07-23</t>
        </is>
      </c>
      <c r="Z38" s="73" t="inlineStr">
        <is>
          <t>https://app-na2.hubspot.com/contacts/243046792/record/0-3/127743477490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/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/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Consulting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Consulting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/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/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/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/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240974373562</t>
        </is>
      </c>
      <c r="C51" s="73" t="inlineStr">
        <is>
          <t>Consolidated IT Services Bench</t>
        </is>
      </c>
      <c r="D51" s="73" t="inlineStr">
        <is>
          <t xml:space="preserve">Consolidated IT Services Bench 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2025-11-21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https://app-na2.hubspot.com/contacts/243046792/record/0-3/240974373562</t>
        </is>
      </c>
      <c r="AA51" s="73" t="inlineStr"/>
    </row>
    <row r="52">
      <c r="A52" s="73" t="n">
        <v>51</v>
      </c>
      <c r="B52" s="73" t="inlineStr">
        <is>
          <t>182109882089</t>
        </is>
      </c>
      <c r="C52" s="73" t="inlineStr"/>
      <c r="D52" s="73" t="inlineStr">
        <is>
          <t>Enterprise Software Application Services Bench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2025-12-10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https://app-na2.hubspot.com/contacts/243046792/record/0-3/182109882089</t>
        </is>
      </c>
      <c r="AA52" s="73" t="inlineStr"/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>
        <is>
          <t>2026-01-21</t>
        </is>
      </c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/>
      <c r="T55" s="73" t="inlineStr"/>
      <c r="U55" s="73" t="inlineStr">
        <is>
          <t>2025-10-24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5" t="n">
        <v>62977</v>
      </c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/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/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/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Illinois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/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/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/>
      <c r="T64" s="73" t="inlineStr"/>
      <c r="U64" s="73" t="inlineStr">
        <is>
          <t>2025-11-18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235964612297</t>
        </is>
      </c>
      <c r="C65" s="73" t="inlineStr"/>
      <c r="D65" s="73" t="inlineStr">
        <is>
          <t>AI Governance, Compliance, and Enablement Platform</t>
        </is>
      </c>
      <c r="E65" s="73" t="inlineStr">
        <is>
          <t>North Central Texas Council of Governments</t>
        </is>
      </c>
      <c r="F65" s="73" t="inlineStr">
        <is>
          <t>Texas</t>
        </is>
      </c>
      <c r="G65" s="73" t="inlineStr">
        <is>
          <t>Intent to Award</t>
        </is>
      </c>
      <c r="H65" s="73" t="inlineStr"/>
      <c r="I65" s="73" t="inlineStr"/>
      <c r="J65" s="73" t="inlineStr">
        <is>
          <t>2026-01-16</t>
        </is>
      </c>
      <c r="K65" s="73" t="inlineStr">
        <is>
          <t>2026-01-16</t>
        </is>
      </c>
      <c r="L65" s="73" t="n"/>
      <c r="M65" s="73" t="inlineStr">
        <is>
          <t>Consulting</t>
        </is>
      </c>
      <c r="N65" s="73" t="inlineStr"/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2026-03-10</t>
        </is>
      </c>
      <c r="T65" s="73" t="inlineStr"/>
      <c r="U65" s="73" t="inlineStr"/>
      <c r="V65" s="73" t="inlineStr"/>
      <c r="W65" s="73" t="inlineStr"/>
      <c r="X65" s="73" t="inlineStr"/>
      <c r="Y65" s="73" t="inlineStr">
        <is>
          <t>2025-12-09</t>
        </is>
      </c>
      <c r="Z65" s="73" t="inlineStr">
        <is>
          <t>https://app-na2.hubspot.com/contacts/243046792/record/0-3/235964612297</t>
        </is>
      </c>
      <c r="AA65" s="73" t="inlineStr"/>
    </row>
    <row r="66">
      <c r="A66" s="73" t="n">
        <v>65</v>
      </c>
      <c r="B66" s="73" t="inlineStr">
        <is>
          <t>225906283257</t>
        </is>
      </c>
      <c r="C66" s="73" t="inlineStr"/>
      <c r="D66" s="73" t="inlineStr">
        <is>
          <t>Information Systems Consultant</t>
        </is>
      </c>
      <c r="E66" s="73" t="inlineStr">
        <is>
          <t>Community Action Partnership of Kern</t>
        </is>
      </c>
      <c r="F66" s="73" t="inlineStr">
        <is>
          <t>California</t>
        </is>
      </c>
      <c r="G66" s="73" t="inlineStr">
        <is>
          <t>Closed Won</t>
        </is>
      </c>
      <c r="H66" s="73" t="inlineStr"/>
      <c r="I66" s="73" t="inlineStr"/>
      <c r="J66" s="73" t="inlineStr">
        <is>
          <t>2026-01-21</t>
        </is>
      </c>
      <c r="K66" s="73" t="inlineStr">
        <is>
          <t>2025-12-18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2026-01-14</t>
        </is>
      </c>
      <c r="T66" s="73" t="inlineStr"/>
      <c r="U66" s="73" t="inlineStr">
        <is>
          <t>2026-01-14</t>
        </is>
      </c>
      <c r="V66" s="73" t="inlineStr">
        <is>
          <t>Awarded</t>
        </is>
      </c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https://app-na2.hubspot.com/contacts/243046792/record/0-3/225906283257</t>
        </is>
      </c>
      <c r="AA66" s="73" t="inlineStr">
        <is>
          <t>Yes</t>
        </is>
      </c>
    </row>
    <row r="67">
      <c r="A67" s="73" t="n">
        <v>66</v>
      </c>
      <c r="B67" s="73" t="inlineStr">
        <is>
          <t>225906287352</t>
        </is>
      </c>
      <c r="C67" s="73" t="inlineStr"/>
      <c r="D67" s="73" t="inlineStr">
        <is>
          <t>Small Software Application Development</t>
        </is>
      </c>
      <c r="E67" s="73" t="inlineStr">
        <is>
          <t xml:space="preserve">Insurance Reserve Fund </t>
        </is>
      </c>
      <c r="F67" s="73" t="inlineStr">
        <is>
          <t>South Carolina</t>
        </is>
      </c>
      <c r="G67" s="73" t="inlineStr">
        <is>
          <t>Intent to Award</t>
        </is>
      </c>
      <c r="H67" s="73" t="inlineStr"/>
      <c r="I67" s="73" t="inlineStr"/>
      <c r="J67" s="73" t="inlineStr">
        <is>
          <t>2026-01-26</t>
        </is>
      </c>
      <c r="K67" s="73" t="inlineStr">
        <is>
          <t>2026-01-26</t>
        </is>
      </c>
      <c r="L67" s="73" t="n"/>
      <c r="M67" s="73" t="inlineStr">
        <is>
          <t>Staff Augmentation</t>
        </is>
      </c>
      <c r="N67" s="73" t="inlineStr">
        <is>
          <t>Portal</t>
        </is>
      </c>
      <c r="O67" s="73" t="inlineStr">
        <is>
          <t>Ashutosh Chauhan</t>
        </is>
      </c>
      <c r="P67" s="73" t="inlineStr"/>
      <c r="Q67" s="73" t="inlineStr"/>
      <c r="R67" s="73" t="inlineStr"/>
      <c r="S67" s="73" t="inlineStr">
        <is>
          <t>2026-03-02</t>
        </is>
      </c>
      <c r="T67" s="73" t="inlineStr"/>
      <c r="U67" s="73" t="inlineStr">
        <is>
          <t>2026-03-18</t>
        </is>
      </c>
      <c r="V67" s="73" t="inlineStr"/>
      <c r="W67" s="73" t="inlineStr"/>
      <c r="X67" s="73" t="inlineStr"/>
      <c r="Y67" s="73" t="inlineStr">
        <is>
          <t>2025-11-24</t>
        </is>
      </c>
      <c r="Z67" s="73" t="inlineStr">
        <is>
          <t>https://app-na2.hubspot.com/contacts/243046792/record/0-3/225906287352</t>
        </is>
      </c>
      <c r="AA67" s="73" t="inlineStr"/>
    </row>
    <row r="68">
      <c r="A68" s="73" t="n">
        <v>67</v>
      </c>
      <c r="B68" s="73" t="inlineStr">
        <is>
          <t>169109642951</t>
        </is>
      </c>
      <c r="C68" s="73" t="inlineStr">
        <is>
          <t>242-25-00022</t>
        </is>
      </c>
      <c r="D68" s="73" t="inlineStr">
        <is>
          <t xml:space="preserve">Consulting &amp; Training Support - Workday Adaptive Planning </t>
        </is>
      </c>
      <c r="E68" s="73" t="inlineStr">
        <is>
          <t>Christopher Newport University</t>
        </is>
      </c>
      <c r="F68" s="73" t="inlineStr">
        <is>
          <t>Virginia</t>
        </is>
      </c>
      <c r="G68" s="73" t="inlineStr">
        <is>
          <t>Closed Won</t>
        </is>
      </c>
      <c r="H68" s="73" t="inlineStr">
        <is>
          <t>Yes</t>
        </is>
      </c>
      <c r="I68" s="73" t="inlineStr">
        <is>
          <t>Interview</t>
        </is>
      </c>
      <c r="J68" s="73" t="inlineStr">
        <is>
          <t>2026-01-27</t>
        </is>
      </c>
      <c r="K68" s="73" t="inlineStr">
        <is>
          <t>2025-10-18</t>
        </is>
      </c>
      <c r="L68" s="75" t="n">
        <v>30000</v>
      </c>
      <c r="M68" s="73" t="inlineStr">
        <is>
          <t>Consulting;Training</t>
        </is>
      </c>
      <c r="N68" s="73" t="inlineStr">
        <is>
          <t>Offline</t>
        </is>
      </c>
      <c r="O68" s="73" t="inlineStr">
        <is>
          <t>Ashutosh Chauhan</t>
        </is>
      </c>
      <c r="P68" s="73" t="inlineStr">
        <is>
          <t>Interview Scheduled</t>
        </is>
      </c>
      <c r="Q68" s="73" t="inlineStr">
        <is>
          <t>2025-12-08</t>
        </is>
      </c>
      <c r="R68" s="73" t="inlineStr"/>
      <c r="S68" s="73" t="inlineStr">
        <is>
          <t>2026-01-14</t>
        </is>
      </c>
      <c r="T68" s="73" t="inlineStr"/>
      <c r="U68" s="73" t="inlineStr">
        <is>
          <t>2026-01-26</t>
        </is>
      </c>
      <c r="V68" s="73" t="inlineStr"/>
      <c r="W68" s="73" t="inlineStr"/>
      <c r="X68" s="73" t="inlineStr"/>
      <c r="Y68" s="73" t="inlineStr">
        <is>
          <t>2025-09-24</t>
        </is>
      </c>
      <c r="Z68" s="73" t="inlineStr">
        <is>
          <t>https://app-na2.hubspot.com/contacts/243046792/record/0-3/169109642951</t>
        </is>
      </c>
      <c r="AA68" s="73" t="inlineStr"/>
    </row>
    <row r="69">
      <c r="A69" s="73" t="n">
        <v>68</v>
      </c>
      <c r="B69" s="73" t="inlineStr">
        <is>
          <t>126595998432</t>
        </is>
      </c>
      <c r="C69" s="73" t="inlineStr">
        <is>
          <t>RFP-554-2025-0052-0-2025/AH</t>
        </is>
      </c>
      <c r="D69" s="73" t="inlineStr">
        <is>
          <t>SharePoint Consultant</t>
        </is>
      </c>
      <c r="E69" s="73" t="inlineStr">
        <is>
          <t>Raleigh Durham Airport Authority [NC]</t>
        </is>
      </c>
      <c r="F69" s="73" t="inlineStr">
        <is>
          <t>North Carolina</t>
        </is>
      </c>
      <c r="G69" s="73" t="inlineStr">
        <is>
          <t>Closed Won</t>
        </is>
      </c>
      <c r="H69" s="73" t="inlineStr"/>
      <c r="I69" s="73" t="inlineStr"/>
      <c r="J69" s="73" t="inlineStr">
        <is>
          <t>2026-01-30</t>
        </is>
      </c>
      <c r="K69" s="73" t="inlineStr">
        <is>
          <t>2025-10-02</t>
        </is>
      </c>
      <c r="L69" s="73" t="n"/>
      <c r="M69" s="73" t="inlineStr">
        <is>
          <t>Consulting</t>
        </is>
      </c>
      <c r="N69" s="73" t="inlineStr">
        <is>
          <t>Portal</t>
        </is>
      </c>
      <c r="O69" s="73" t="inlineStr">
        <is>
          <t>Madhav Mitruka</t>
        </is>
      </c>
      <c r="P69" s="73" t="inlineStr"/>
      <c r="Q69" s="73" t="inlineStr"/>
      <c r="R69" s="73" t="inlineStr"/>
      <c r="S69" s="73" t="inlineStr">
        <is>
          <t>2026-01-30</t>
        </is>
      </c>
      <c r="T69" s="73" t="inlineStr"/>
      <c r="U69" s="73" t="inlineStr"/>
      <c r="V69" s="73" t="inlineStr"/>
      <c r="W69" s="73" t="inlineStr"/>
      <c r="X69" s="73" t="inlineStr"/>
      <c r="Y69" s="73" t="inlineStr">
        <is>
          <t>2025-07-21</t>
        </is>
      </c>
      <c r="Z69" s="73" t="inlineStr">
        <is>
          <t>https://app-na2.hubspot.com/contacts/243046792/record/0-3/126595998432</t>
        </is>
      </c>
      <c r="AA69" s="73" t="inlineStr"/>
    </row>
    <row r="70">
      <c r="A70" s="73" t="n">
        <v>69</v>
      </c>
      <c r="B70" s="73" t="inlineStr">
        <is>
          <t>209641964265</t>
        </is>
      </c>
      <c r="C70" s="73" t="inlineStr"/>
      <c r="D70" s="73" t="inlineStr">
        <is>
          <t>Professional and Technical IT Contracting Services for SharePoint Migration</t>
        </is>
      </c>
      <c r="E70" s="73" t="inlineStr">
        <is>
          <t>City of Sunnyvale</t>
        </is>
      </c>
      <c r="F70" s="73" t="inlineStr">
        <is>
          <t>California</t>
        </is>
      </c>
      <c r="G70" s="73" t="inlineStr">
        <is>
          <t>Closed Won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2025-11-18</t>
        </is>
      </c>
      <c r="L70" s="75" t="n">
        <v>45800</v>
      </c>
      <c r="M70" s="73" t="inlineStr">
        <is>
          <t>Modernization / Migration</t>
        </is>
      </c>
      <c r="N70" s="73" t="inlineStr"/>
      <c r="O70" s="73" t="inlineStr">
        <is>
          <t>Jyothsna Nanda kishore</t>
        </is>
      </c>
      <c r="P70" s="73" t="inlineStr"/>
      <c r="Q70" s="73" t="inlineStr">
        <is>
          <t>2025-12-11</t>
        </is>
      </c>
      <c r="R70" s="73" t="inlineStr"/>
      <c r="S70" s="73" t="inlineStr">
        <is>
          <t>2025-12-30</t>
        </is>
      </c>
      <c r="T70" s="73" t="inlineStr"/>
      <c r="U70" s="73" t="inlineStr">
        <is>
          <t>2025-12-31</t>
        </is>
      </c>
      <c r="V70" s="73" t="inlineStr"/>
      <c r="W70" s="73" t="inlineStr"/>
      <c r="X70" s="73" t="inlineStr"/>
      <c r="Y70" s="73" t="inlineStr">
        <is>
          <t>2025-11-03</t>
        </is>
      </c>
      <c r="Z70" s="73" t="inlineStr">
        <is>
          <t>https://app-na2.hubspot.com/contacts/243046792/record/0-3/209641964265</t>
        </is>
      </c>
      <c r="AA70" s="73" t="inlineStr">
        <is>
          <t>Yes</t>
        </is>
      </c>
    </row>
    <row r="71">
      <c r="A71" s="73" t="n">
        <v>70</v>
      </c>
      <c r="B71" s="73" t="inlineStr">
        <is>
          <t>158113559231</t>
        </is>
      </c>
      <c r="C71" s="73" t="inlineStr"/>
      <c r="D71" s="73" t="inlineStr">
        <is>
          <t>Legacy File Server Migration to SharePoint Modernization</t>
        </is>
      </c>
      <c r="E71" s="73" t="inlineStr">
        <is>
          <t>City of San Carlos</t>
        </is>
      </c>
      <c r="F71" s="73" t="inlineStr">
        <is>
          <t>California</t>
        </is>
      </c>
      <c r="G71" s="73" t="inlineStr">
        <is>
          <t>Intent to Award</t>
        </is>
      </c>
      <c r="H71" s="73" t="inlineStr">
        <is>
          <t>Yes</t>
        </is>
      </c>
      <c r="I71" s="73" t="inlineStr">
        <is>
          <t>Interview</t>
        </is>
      </c>
      <c r="J71" s="73" t="inlineStr">
        <is>
          <t>2026-02-05</t>
        </is>
      </c>
      <c r="K71" s="73" t="inlineStr">
        <is>
          <t>2025-10-06</t>
        </is>
      </c>
      <c r="L71" s="75" t="n">
        <v>98000</v>
      </c>
      <c r="M71" s="73" t="inlineStr">
        <is>
          <t>Modernization / Migration</t>
        </is>
      </c>
      <c r="N71" s="73" t="inlineStr">
        <is>
          <t>Email</t>
        </is>
      </c>
      <c r="O71" s="73" t="inlineStr">
        <is>
          <t>Abhishek Zalani</t>
        </is>
      </c>
      <c r="P71" s="73" t="inlineStr">
        <is>
          <t>Interview Scheduled</t>
        </is>
      </c>
      <c r="Q71" s="73" t="inlineStr">
        <is>
          <t>2025-12-10</t>
        </is>
      </c>
      <c r="R71" s="73" t="inlineStr"/>
      <c r="S71" s="73" t="inlineStr"/>
      <c r="T71" s="73" t="inlineStr"/>
      <c r="U71" s="73" t="inlineStr">
        <is>
          <t>2026-01-28</t>
        </is>
      </c>
      <c r="V71" s="73" t="inlineStr"/>
      <c r="W71" s="73" t="inlineStr"/>
      <c r="X71" s="73" t="inlineStr"/>
      <c r="Y71" s="73" t="inlineStr">
        <is>
          <t>2025-09-10</t>
        </is>
      </c>
      <c r="Z71" s="73" t="inlineStr">
        <is>
          <t>https://app-na2.hubspot.com/contacts/243046792/record/0-3/158113559231</t>
        </is>
      </c>
      <c r="AA71" s="73" t="inlineStr"/>
    </row>
    <row r="72">
      <c r="A72" s="73" t="n">
        <v>71</v>
      </c>
      <c r="B72" s="73" t="inlineStr">
        <is>
          <t>235886616288</t>
        </is>
      </c>
      <c r="C72" s="73" t="inlineStr"/>
      <c r="D72" s="73" t="inlineStr">
        <is>
          <t>Rebid- Information Technology Services</t>
        </is>
      </c>
      <c r="E72" s="73" t="inlineStr">
        <is>
          <t>LEAD CHARTER SCHOOL</t>
        </is>
      </c>
      <c r="F72" s="73" t="inlineStr">
        <is>
          <t>New Jersey</t>
        </is>
      </c>
      <c r="G72" s="73" t="inlineStr">
        <is>
          <t>Intent to Award</t>
        </is>
      </c>
      <c r="H72" s="73" t="inlineStr"/>
      <c r="I72" s="73" t="inlineStr"/>
      <c r="J72" s="73" t="inlineStr">
        <is>
          <t>2026-02-19</t>
        </is>
      </c>
      <c r="K72" s="73" t="inlineStr">
        <is>
          <t>2026-01-01</t>
        </is>
      </c>
      <c r="L72" s="75" t="n">
        <v>24750</v>
      </c>
      <c r="M72" s="73" t="inlineStr">
        <is>
          <t>Managed Services (MSP)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/>
      <c r="T72" s="73" t="inlineStr"/>
      <c r="U72" s="73" t="inlineStr">
        <is>
          <t>2026-02-09</t>
        </is>
      </c>
      <c r="V72" s="73" t="inlineStr"/>
      <c r="W72" s="73" t="inlineStr"/>
      <c r="X72" s="73" t="inlineStr"/>
      <c r="Y72" s="73" t="inlineStr">
        <is>
          <t>2025-12-09</t>
        </is>
      </c>
      <c r="Z72" s="73" t="inlineStr">
        <is>
          <t>https://app-na2.hubspot.com/contacts/243046792/record/0-3/235886616288</t>
        </is>
      </c>
      <c r="AA72" s="73" t="inlineStr"/>
    </row>
    <row r="73">
      <c r="A73" s="73" t="n">
        <v>72</v>
      </c>
      <c r="B73" s="73" t="inlineStr">
        <is>
          <t>202061536982</t>
        </is>
      </c>
      <c r="C73" s="73" t="inlineStr"/>
      <c r="D73" s="73" t="inlineStr">
        <is>
          <t>INFORMATION TECHNOLOGY (IT)MANAGED SERVICE PROVIDER AND NETWORK OPERATIONS CENTER (NOC)</t>
        </is>
      </c>
      <c r="E73" s="73" t="inlineStr">
        <is>
          <t xml:space="preserve">New Mexico Finance Authority (“NMFA”) </t>
        </is>
      </c>
      <c r="F73" s="73" t="inlineStr"/>
      <c r="G73" s="73" t="inlineStr">
        <is>
          <t>Intent to Award</t>
        </is>
      </c>
      <c r="H73" s="73" t="inlineStr">
        <is>
          <t>Yes</t>
        </is>
      </c>
      <c r="I73" s="73" t="inlineStr">
        <is>
          <t>Interview</t>
        </is>
      </c>
      <c r="J73" s="73" t="inlineStr">
        <is>
          <t>2026-02-20</t>
        </is>
      </c>
      <c r="K73" s="73" t="inlineStr">
        <is>
          <t>2025-12-05</t>
        </is>
      </c>
      <c r="L73" s="75" t="n">
        <v>84000</v>
      </c>
      <c r="M73" s="73" t="inlineStr">
        <is>
          <t>Managed Services (MSP)</t>
        </is>
      </c>
      <c r="N73" s="73" t="inlineStr">
        <is>
          <t>Email</t>
        </is>
      </c>
      <c r="O73" s="73" t="inlineStr">
        <is>
          <t>Ashutosh Chauhan</t>
        </is>
      </c>
      <c r="P73" s="73" t="inlineStr">
        <is>
          <t>Interview Scheduled</t>
        </is>
      </c>
      <c r="Q73" s="73" t="inlineStr">
        <is>
          <t>2026-02-13</t>
        </is>
      </c>
      <c r="R73" s="73" t="inlineStr"/>
      <c r="S73" s="73" t="inlineStr">
        <is>
          <t>2026-02-19</t>
        </is>
      </c>
      <c r="T73" s="73" t="inlineStr"/>
      <c r="U73" s="73" t="inlineStr"/>
      <c r="V73" s="73" t="inlineStr"/>
      <c r="W73" s="73" t="inlineStr"/>
      <c r="X73" s="73" t="inlineStr"/>
      <c r="Y73" s="73" t="inlineStr">
        <is>
          <t>2025-10-28</t>
        </is>
      </c>
      <c r="Z73" s="73" t="inlineStr">
        <is>
          <t>https://app-na2.hubspot.com/contacts/243046792/record/0-3/202061536982</t>
        </is>
      </c>
      <c r="AA73" s="73" t="inlineStr">
        <is>
          <t>Yes</t>
        </is>
      </c>
    </row>
    <row r="74">
      <c r="A74" s="73" t="n">
        <v>73</v>
      </c>
      <c r="B74" s="73" t="inlineStr">
        <is>
          <t>231581420260</t>
        </is>
      </c>
      <c r="C74" s="73" t="inlineStr"/>
      <c r="D74" s="73" t="inlineStr">
        <is>
          <t>Information Technology Services</t>
        </is>
      </c>
      <c r="E74" s="73" t="inlineStr">
        <is>
          <t>New Castle County</t>
        </is>
      </c>
      <c r="F74" s="73" t="inlineStr">
        <is>
          <t>Delaware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2026-03-02</t>
        </is>
      </c>
      <c r="K74" s="73" t="inlineStr">
        <is>
          <t>2025-12-08</t>
        </is>
      </c>
      <c r="L74" s="73" t="n"/>
      <c r="M74" s="73" t="inlineStr">
        <is>
          <t>Staff Augmentation</t>
        </is>
      </c>
      <c r="N74" s="73" t="inlineStr">
        <is>
          <t>Offline</t>
        </is>
      </c>
      <c r="O74" s="73" t="inlineStr">
        <is>
          <t>Jyothsna Nanda kishore</t>
        </is>
      </c>
      <c r="P74" s="73" t="inlineStr"/>
      <c r="Q74" s="73" t="inlineStr"/>
      <c r="R74" s="73" t="inlineStr"/>
      <c r="S74" s="73" t="inlineStr">
        <is>
          <t>2026-02-13</t>
        </is>
      </c>
      <c r="T74" s="73" t="inlineStr"/>
      <c r="U74" s="73" t="inlineStr">
        <is>
          <t>2026-02-13</t>
        </is>
      </c>
      <c r="V74" s="73" t="inlineStr"/>
      <c r="W74" s="73" t="inlineStr"/>
      <c r="X74" s="73" t="inlineStr"/>
      <c r="Y74" s="73" t="inlineStr">
        <is>
          <t>2025-12-02</t>
        </is>
      </c>
      <c r="Z74" s="73" t="inlineStr">
        <is>
          <t>https://app-na2.hubspot.com/contacts/243046792/record/0-3/231581420260</t>
        </is>
      </c>
      <c r="AA74" s="73" t="inlineStr">
        <is>
          <t>No</t>
        </is>
      </c>
    </row>
    <row r="75">
      <c r="A75" s="73" t="n">
        <v>74</v>
      </c>
      <c r="B75" s="73" t="inlineStr">
        <is>
          <t>182109882068</t>
        </is>
      </c>
      <c r="C75" s="73" t="inlineStr"/>
      <c r="D75" s="73" t="inlineStr">
        <is>
          <t>Professional Consultant Services (Rebid)</t>
        </is>
      </c>
      <c r="E75" s="73" t="inlineStr">
        <is>
          <t>Greene County</t>
        </is>
      </c>
      <c r="F75" s="73" t="inlineStr">
        <is>
          <t>New York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2025-11-07</t>
        </is>
      </c>
      <c r="L75" s="73" t="n"/>
      <c r="M75" s="73" t="inlineStr">
        <is>
          <t>Staff Augmentation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2025-12-09</t>
        </is>
      </c>
      <c r="T75" s="73" t="inlineStr"/>
      <c r="U75" s="73" t="inlineStr">
        <is>
          <t>2026-02-26</t>
        </is>
      </c>
      <c r="V75" s="73" t="inlineStr"/>
      <c r="W75" s="73" t="inlineStr"/>
      <c r="X75" s="73" t="inlineStr"/>
      <c r="Y75" s="73" t="inlineStr">
        <is>
          <t>2025-10-09</t>
        </is>
      </c>
      <c r="Z75" s="73" t="inlineStr">
        <is>
          <t>https://app-na2.hubspot.com/contacts/243046792/record/0-3/182109882068</t>
        </is>
      </c>
      <c r="AA75" s="73" t="inlineStr">
        <is>
          <t>No</t>
        </is>
      </c>
    </row>
    <row r="76">
      <c r="A76" s="73" t="n">
        <v>75</v>
      </c>
      <c r="B76" s="73" t="inlineStr">
        <is>
          <t>290824554187</t>
        </is>
      </c>
      <c r="C76" s="73" t="inlineStr"/>
      <c r="D76" s="73" t="inlineStr">
        <is>
          <t>Cybersecurity Policy and Protocol Consultant Services</t>
        </is>
      </c>
      <c r="E76" s="73" t="inlineStr">
        <is>
          <t>Navojo Housing Authority</t>
        </is>
      </c>
      <c r="F76" s="73" t="inlineStr">
        <is>
          <t>Arizona</t>
        </is>
      </c>
      <c r="G76" s="73" t="inlineStr">
        <is>
          <t>Closed Won</t>
        </is>
      </c>
      <c r="H76" s="73" t="inlineStr"/>
      <c r="I76" s="73" t="inlineStr"/>
      <c r="J76" s="73" t="inlineStr">
        <is>
          <t>2026-03-16</t>
        </is>
      </c>
      <c r="K76" s="73" t="inlineStr">
        <is>
          <t>2026-02-27</t>
        </is>
      </c>
      <c r="L76" s="73" t="n"/>
      <c r="M76" s="73" t="inlineStr">
        <is>
          <t>Consulting</t>
        </is>
      </c>
      <c r="N76" s="73" t="inlineStr"/>
      <c r="O76" s="73" t="inlineStr">
        <is>
          <t>Savya Atrey</t>
        </is>
      </c>
      <c r="P76" s="73" t="inlineStr"/>
      <c r="Q76" s="73" t="inlineStr"/>
      <c r="R76" s="73" t="inlineStr"/>
      <c r="S76" s="73" t="inlineStr">
        <is>
          <t>2026-03-30</t>
        </is>
      </c>
      <c r="T76" s="73" t="inlineStr"/>
      <c r="U76" s="73" t="inlineStr">
        <is>
          <t>2026-03-16</t>
        </is>
      </c>
      <c r="V76" s="73" t="inlineStr">
        <is>
          <t>Awarded</t>
        </is>
      </c>
      <c r="W76" s="73" t="inlineStr"/>
      <c r="X76" s="73" t="inlineStr"/>
      <c r="Y76" s="73" t="inlineStr">
        <is>
          <t>2026-02-09</t>
        </is>
      </c>
      <c r="Z76" s="73" t="inlineStr">
        <is>
          <t>https://app-na2.hubspot.com/contacts/243046792/record/0-3/290824554187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277951244006</t>
        </is>
      </c>
      <c r="C77" s="73" t="inlineStr"/>
      <c r="D77" s="73" t="inlineStr">
        <is>
          <t>offline + online IT Disaster Response Plan</t>
        </is>
      </c>
      <c r="E77" s="73" t="inlineStr">
        <is>
          <t>City of Kenai</t>
        </is>
      </c>
      <c r="F77" s="73" t="inlineStr">
        <is>
          <t>Alaska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2026-03-16</t>
        </is>
      </c>
      <c r="K77" s="73" t="inlineStr">
        <is>
          <t>2026-02-12</t>
        </is>
      </c>
      <c r="L77" s="73" t="n"/>
      <c r="M77" s="73" t="inlineStr">
        <is>
          <t>Consulting</t>
        </is>
      </c>
      <c r="N77" s="73" t="inlineStr"/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2026-02-24</t>
        </is>
      </c>
      <c r="T77" s="73" t="inlineStr"/>
      <c r="U77" s="73" t="inlineStr">
        <is>
          <t>2026-03-19</t>
        </is>
      </c>
      <c r="V77" s="73" t="inlineStr">
        <is>
          <t>Awarded</t>
        </is>
      </c>
      <c r="W77" s="73" t="inlineStr"/>
      <c r="X77" s="73" t="inlineStr"/>
      <c r="Y77" s="73" t="inlineStr">
        <is>
          <t>2026-01-29</t>
        </is>
      </c>
      <c r="Z77" s="73" t="inlineStr">
        <is>
          <t>https://app-na2.hubspot.com/contacts/243046792/record/0-3/277951244006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159501546182</t>
        </is>
      </c>
      <c r="C78" s="73" t="inlineStr">
        <is>
          <t>25-082</t>
        </is>
      </c>
      <c r="D78" s="73" t="inlineStr">
        <is>
          <t>Amazon Web Services Website Managed ServicesID: 25-082</t>
        </is>
      </c>
      <c r="E78" s="73" t="inlineStr">
        <is>
          <t>El Paso County</t>
        </is>
      </c>
      <c r="F78" s="73" t="inlineStr">
        <is>
          <t>Colorado</t>
        </is>
      </c>
      <c r="G78" s="73" t="inlineStr">
        <is>
          <t>Closed Won</t>
        </is>
      </c>
      <c r="H78" s="73" t="inlineStr">
        <is>
          <t>Yes</t>
        </is>
      </c>
      <c r="I78" s="73" t="inlineStr">
        <is>
          <t>Interview</t>
        </is>
      </c>
      <c r="J78" s="73" t="inlineStr">
        <is>
          <t>2026-03-30</t>
        </is>
      </c>
      <c r="K78" s="73" t="inlineStr">
        <is>
          <t>2025-10-15</t>
        </is>
      </c>
      <c r="L78" s="75" t="n">
        <v>769752</v>
      </c>
      <c r="M78" s="73" t="inlineStr">
        <is>
          <t>Managed Services (MSP)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>
        <is>
          <t>2025-12-17</t>
        </is>
      </c>
      <c r="R78" s="73" t="inlineStr"/>
      <c r="S78" s="73" t="inlineStr">
        <is>
          <t>2026-02-03</t>
        </is>
      </c>
      <c r="T78" s="73" t="inlineStr"/>
      <c r="U78" s="73" t="inlineStr">
        <is>
          <t>2026-02-15</t>
        </is>
      </c>
      <c r="V78" s="73" t="inlineStr">
        <is>
          <t>In Process</t>
        </is>
      </c>
      <c r="W78" s="73" t="inlineStr"/>
      <c r="X78" s="73" t="inlineStr"/>
      <c r="Y78" s="73" t="inlineStr">
        <is>
          <t>2025-09-12</t>
        </is>
      </c>
      <c r="Z78" s="73" t="inlineStr">
        <is>
          <t>https://app-na2.hubspot.com/contacts/243046792/record/0-3/159501546182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275926212329</t>
        </is>
      </c>
      <c r="C79" s="73" t="inlineStr"/>
      <c r="D79" s="73" t="inlineStr">
        <is>
          <t>MICROSOFT OFFICE 365 LICENSING</t>
        </is>
      </c>
      <c r="E79" s="73" t="inlineStr">
        <is>
          <t>Village of Tinley Park</t>
        </is>
      </c>
      <c r="F79" s="73" t="inlineStr">
        <is>
          <t>Illinois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2026-04-01</t>
        </is>
      </c>
      <c r="K79" s="73" t="inlineStr">
        <is>
          <t>2026-02-06</t>
        </is>
      </c>
      <c r="L79" s="75" t="n">
        <v>114400</v>
      </c>
      <c r="M79" s="73" t="inlineStr">
        <is>
          <t>Reseller</t>
        </is>
      </c>
      <c r="N79" s="73" t="inlineStr">
        <is>
          <t>Offline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/>
      <c r="T79" s="73" t="inlineStr"/>
      <c r="U79" s="73" t="inlineStr">
        <is>
          <t>2026-02-09</t>
        </is>
      </c>
      <c r="V79" s="73" t="inlineStr"/>
      <c r="W79" s="73" t="inlineStr"/>
      <c r="X79" s="73" t="inlineStr"/>
      <c r="Y79" s="73" t="inlineStr">
        <is>
          <t>2026-01-28</t>
        </is>
      </c>
      <c r="Z79" s="73" t="inlineStr">
        <is>
          <t>https://app-na2.hubspot.com/contacts/243046792/record/0-3/275926212329</t>
        </is>
      </c>
      <c r="AA79" s="73" t="inlineStr">
        <is>
          <t>No</t>
        </is>
      </c>
    </row>
    <row r="80">
      <c r="A80" s="73" t="n">
        <v>79</v>
      </c>
      <c r="B80" s="73" t="inlineStr">
        <is>
          <t>285814477558</t>
        </is>
      </c>
      <c r="C80" s="73" t="inlineStr"/>
      <c r="D80" s="73" t="inlineStr">
        <is>
          <t>RFQ - 1400 Long Beach Cybersecurity Grant Program</t>
        </is>
      </c>
      <c r="E80" s="73" t="inlineStr">
        <is>
          <t>City of Long Beach</t>
        </is>
      </c>
      <c r="F80" s="73" t="inlineStr">
        <is>
          <t>California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2026-04-01</t>
        </is>
      </c>
      <c r="K80" s="73" t="inlineStr">
        <is>
          <t>2026-02-26</t>
        </is>
      </c>
      <c r="L80" s="73" t="n"/>
      <c r="M80" s="73" t="inlineStr">
        <is>
          <t>Audits and Assessment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2026-03-12</t>
        </is>
      </c>
      <c r="T80" s="73" t="inlineStr"/>
      <c r="U80" s="73" t="inlineStr">
        <is>
          <t>2026-03-03</t>
        </is>
      </c>
      <c r="V80" s="73" t="inlineStr"/>
      <c r="W80" s="73" t="inlineStr"/>
      <c r="X80" s="73" t="inlineStr"/>
      <c r="Y80" s="73" t="inlineStr">
        <is>
          <t>2026-02-04</t>
        </is>
      </c>
      <c r="Z80" s="73" t="inlineStr">
        <is>
          <t>https://app-na2.hubspot.com/contacts/243046792/record/0-3/285814477558</t>
        </is>
      </c>
      <c r="AA80" s="73" t="inlineStr">
        <is>
          <t>Yes</t>
        </is>
      </c>
    </row>
    <row r="81">
      <c r="A81" s="73" t="n">
        <v>80</v>
      </c>
      <c r="B81" s="73" t="inlineStr">
        <is>
          <t>159541459657</t>
        </is>
      </c>
      <c r="C81" s="73" t="inlineStr">
        <is>
          <t>WSD001</t>
        </is>
      </c>
      <c r="D81" s="73" t="inlineStr">
        <is>
          <t>Microsoft Power Platform Training</t>
        </is>
      </c>
      <c r="E81" s="73" t="inlineStr">
        <is>
          <t>County of Los Angeles Department of Public Works</t>
        </is>
      </c>
      <c r="F81" s="73" t="inlineStr">
        <is>
          <t>California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2026-04-02</t>
        </is>
      </c>
      <c r="K81" s="73" t="inlineStr">
        <is>
          <t>2025-09-25</t>
        </is>
      </c>
      <c r="L81" s="75" t="n">
        <v>12000</v>
      </c>
      <c r="M81" s="73" t="inlineStr">
        <is>
          <t>Training</t>
        </is>
      </c>
      <c r="N81" s="73" t="inlineStr">
        <is>
          <t>Email</t>
        </is>
      </c>
      <c r="O81" s="73" t="inlineStr">
        <is>
          <t>Jyothsna Nanda kishore</t>
        </is>
      </c>
      <c r="P81" s="73" t="inlineStr"/>
      <c r="Q81" s="73" t="inlineStr"/>
      <c r="R81" s="73" t="inlineStr"/>
      <c r="S81" s="73" t="inlineStr"/>
      <c r="T81" s="73" t="inlineStr"/>
      <c r="U81" s="73" t="inlineStr">
        <is>
          <t>2026-04-01</t>
        </is>
      </c>
      <c r="V81" s="73" t="inlineStr"/>
      <c r="W81" s="73" t="inlineStr"/>
      <c r="X81" s="73" t="inlineStr"/>
      <c r="Y81" s="73" t="inlineStr">
        <is>
          <t>2025-09-12</t>
        </is>
      </c>
      <c r="Z81" s="73" t="inlineStr">
        <is>
          <t>https://app-na2.hubspot.com/contacts/243046792/record/0-3/159541459657</t>
        </is>
      </c>
      <c r="AA81" s="73" t="inlineStr">
        <is>
          <t>Yes</t>
        </is>
      </c>
    </row>
    <row r="82">
      <c r="A82" s="73" t="n">
        <v>81</v>
      </c>
      <c r="B82" s="73" t="inlineStr">
        <is>
          <t>267386743501</t>
        </is>
      </c>
      <c r="C82" s="73" t="inlineStr"/>
      <c r="D82" s="73" t="inlineStr">
        <is>
          <t>FPB – Direct Placement Staffing Services for IT Positions</t>
        </is>
      </c>
      <c r="E82" s="73" t="inlineStr">
        <is>
          <t>University of South Carolina</t>
        </is>
      </c>
      <c r="F82" s="73" t="inlineStr">
        <is>
          <t>South Carolina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2026-04-08</t>
        </is>
      </c>
      <c r="K82" s="73" t="inlineStr">
        <is>
          <t>2026-02-06</t>
        </is>
      </c>
      <c r="L82" s="73" t="n"/>
      <c r="M82" s="73" t="inlineStr">
        <is>
          <t>Staff Augmentation</t>
        </is>
      </c>
      <c r="N82" s="73" t="inlineStr">
        <is>
          <t>Portal</t>
        </is>
      </c>
      <c r="O82" s="73" t="inlineStr">
        <is>
          <t>Jyothsna Nanda kishore</t>
        </is>
      </c>
      <c r="P82" s="73" t="inlineStr"/>
      <c r="Q82" s="73" t="inlineStr"/>
      <c r="R82" s="73" t="inlineStr"/>
      <c r="S82" s="73" t="inlineStr">
        <is>
          <t>2026-02-26</t>
        </is>
      </c>
      <c r="T82" s="73" t="inlineStr"/>
      <c r="U82" s="73" t="inlineStr">
        <is>
          <t>2026-02-26</t>
        </is>
      </c>
      <c r="V82" s="73" t="inlineStr"/>
      <c r="W82" s="73" t="inlineStr"/>
      <c r="X82" s="73" t="inlineStr"/>
      <c r="Y82" s="73" t="inlineStr">
        <is>
          <t>2026-01-20</t>
        </is>
      </c>
      <c r="Z82" s="73" t="inlineStr">
        <is>
          <t>https://app-na2.hubspot.com/contacts/243046792/record/0-3/267386743501</t>
        </is>
      </c>
      <c r="AA82" s="73" t="inlineStr"/>
    </row>
  </sheetData>
  <autoFilter ref="A1:AA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2026-04-15T11:54:25Z</dcterms:modified>
</cp:coreProperties>
</file>